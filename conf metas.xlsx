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mc:AlternateContent xmlns:mc="http://schemas.openxmlformats.org/markup-compatibility/2006">
    <mc:Choice Requires="x15">
      <x15ac:absPath xmlns:x15ac="http://schemas.microsoft.com/office/spreadsheetml/2010/11/ac" url="C:\Users\mateus.paula\Downloads\"/>
    </mc:Choice>
  </mc:AlternateContent>
  <xr:revisionPtr revIDLastSave="0" documentId="13_ncr:1_{83397A3A-0D37-4761-AFFD-78499131E35C}" xr6:coauthVersionLast="47" xr6:coauthVersionMax="47" xr10:uidLastSave="{00000000-0000-0000-0000-000000000000}"/>
  <bookViews>
    <workbookView xWindow="-120" yWindow="-120" windowWidth="24240" windowHeight="13140" tabRatio="732" activeTab="1" xr2:uid="{00000000-000D-0000-FFFF-FFFF00000000}"/>
  </bookViews>
  <sheets>
    <sheet name="METAS 2025" sheetId="4" r:id="rId1"/>
    <sheet name="FILTRO" sheetId="20" r:id="rId2"/>
    <sheet name="CHAMADOS" sheetId="19" r:id="rId3"/>
    <sheet name="AGO - 25" sheetId="12" state="hidden" r:id="rId4"/>
    <sheet name="JUL - 25" sheetId="10" state="hidden" r:id="rId5"/>
    <sheet name="JUN - 25" sheetId="18" state="hidden" r:id="rId6"/>
    <sheet name="MAI - 25" sheetId="17" state="hidden" r:id="rId7"/>
    <sheet name="ABR - 25" sheetId="16" state="hidden" r:id="rId8"/>
    <sheet name="MAR - 25" sheetId="15" state="hidden" r:id="rId9"/>
    <sheet name="FEV - 25" sheetId="14" state="hidden" r:id="rId10"/>
    <sheet name="JAN - 25" sheetId="13" state="hidden" r:id="rId11"/>
  </sheets>
  <definedNames>
    <definedName name="_xlnm._FilterDatabase" localSheetId="3" hidden="1">'AGO - 25'!$A$2:$Q$2</definedName>
    <definedName name="_xlnm._FilterDatabase" localSheetId="2" hidden="1">CHAMADOS!$A$1:$P$1</definedName>
    <definedName name="_xlnm._FilterDatabase" localSheetId="4" hidden="1">'JUL - 25'!$A$1:$L$444</definedName>
    <definedName name="_xlnm._FilterDatabase" localSheetId="0" hidden="1">'METAS 2025'!$A$1:$R$238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0" l="1" a="1"/>
  <c r="H7" i="20" s="1"/>
  <c r="G7" i="20" a="1"/>
  <c r="G7" i="20" s="1"/>
  <c r="F7" i="20" a="1"/>
  <c r="F7" i="20" s="1"/>
  <c r="D7" i="20" a="1"/>
  <c r="D7" i="20" s="1"/>
  <c r="E7" i="20" l="1" a="1"/>
  <c r="E7" i="20" s="1"/>
  <c r="C7" i="20" a="1"/>
  <c r="C7" i="20" s="1"/>
  <c r="I7" i="20" a="1"/>
  <c r="I7" i="20" s="1"/>
  <c r="H3" i="20" a="1"/>
  <c r="H3" i="20" s="1"/>
  <c r="I3" i="20" s="1" a="1"/>
  <c r="I3" i="20" s="1"/>
  <c r="G3" i="20" a="1"/>
  <c r="G3" i="20" s="1"/>
  <c r="F3" i="20" a="1"/>
  <c r="F3" i="20" s="1"/>
  <c r="E3" i="20" a="1"/>
  <c r="E3" i="20" s="1"/>
  <c r="D3" i="20" a="1"/>
  <c r="D3" i="20" s="1"/>
  <c r="C3" i="20" a="1"/>
  <c r="C3" i="20" s="1"/>
  <c r="K290" i="12" l="1"/>
  <c r="K289" i="12"/>
  <c r="K288" i="12"/>
  <c r="K287" i="12"/>
  <c r="K286" i="12"/>
  <c r="K285" i="12"/>
  <c r="K284" i="12"/>
  <c r="K283" i="12"/>
  <c r="K282" i="12"/>
  <c r="K281" i="12"/>
  <c r="D1"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<sst xmlns="http://schemas.openxmlformats.org/spreadsheetml/2006/main" count="21337" uniqueCount="4587">
  <si>
    <t>FECHAMENTO</t>
  </si>
  <si>
    <t>COD</t>
  </si>
  <si>
    <t>INICIO</t>
  </si>
  <si>
    <t>FIM</t>
  </si>
  <si>
    <t>META</t>
  </si>
  <si>
    <t>PRÊMIO GANHO</t>
  </si>
  <si>
    <t>PRODUÇÃO MÊS</t>
  </si>
  <si>
    <t>CRÉDITO</t>
  </si>
  <si>
    <t>FILIAL</t>
  </si>
  <si>
    <t>SOLICITAÇÃO (E-MAIL)</t>
  </si>
  <si>
    <t>OBS</t>
  </si>
  <si>
    <t>MENSAL</t>
  </si>
  <si>
    <t>FILIAL RJ</t>
  </si>
  <si>
    <t>FILIAL PORTO ALEGRE</t>
  </si>
  <si>
    <t>FILIAL FORTALEZA</t>
  </si>
  <si>
    <t>FILIAL FLORIANOPOLIS</t>
  </si>
  <si>
    <t>FILIAL LONDRINA</t>
  </si>
  <si>
    <t>FILIAL UBERLANDIA</t>
  </si>
  <si>
    <t>FILIAL SALVADOR</t>
  </si>
  <si>
    <t>FILIAL BH2</t>
  </si>
  <si>
    <t>FILIAL SP</t>
  </si>
  <si>
    <t>FILIAL CAMPO GRANDE</t>
  </si>
  <si>
    <t>FILIAL CURITIBA</t>
  </si>
  <si>
    <t>FINAL DA CAMPANHA</t>
  </si>
  <si>
    <t>FILIAL MC</t>
  </si>
  <si>
    <t>FILIAL RECIFE</t>
  </si>
  <si>
    <t>02 - FEVEREIRO</t>
  </si>
  <si>
    <t>FILIAL JOAO PESSOA</t>
  </si>
  <si>
    <t>03 - MARÇO</t>
  </si>
  <si>
    <t>FILIAL BH1</t>
  </si>
  <si>
    <t>FILIAL NATAL</t>
  </si>
  <si>
    <t>04 - ABRIL</t>
  </si>
  <si>
    <t>FILIAL GOIANIA</t>
  </si>
  <si>
    <t>08 - AGOSTO</t>
  </si>
  <si>
    <t>FILIAL RIBEIRAO PRETO</t>
  </si>
  <si>
    <t>05 - MAIO</t>
  </si>
  <si>
    <t>07 - JULHO</t>
  </si>
  <si>
    <t>06 - JUNHO</t>
  </si>
  <si>
    <t>-</t>
  </si>
  <si>
    <t>FILIAL VITORIA</t>
  </si>
  <si>
    <t>09 - SETEMBRO</t>
  </si>
  <si>
    <t>FILIAL RONDONIA</t>
  </si>
  <si>
    <t>FILIAL CUIABA</t>
  </si>
  <si>
    <t>Nº</t>
  </si>
  <si>
    <t>PERÍODO FECHAMENTO</t>
  </si>
  <si>
    <t>PARÂMETRO</t>
  </si>
  <si>
    <t>FILIAL SAO LUIZ</t>
  </si>
  <si>
    <t>FILIAL MANAUS</t>
  </si>
  <si>
    <t>FILIAL BELEM</t>
  </si>
  <si>
    <t>FILIAL PIAUI</t>
  </si>
  <si>
    <t>FILIAL ESTRATEGICA</t>
  </si>
  <si>
    <t>12466 </t>
  </si>
  <si>
    <t>BANCO FACTA - INSS - NOVO - 84x</t>
  </si>
  <si>
    <t>FILIAL ALAGOAS</t>
  </si>
  <si>
    <t>PERC DE PRÊMIO</t>
  </si>
  <si>
    <t>GERENTE</t>
  </si>
  <si>
    <t>ASSUNTO (E-MAIL)</t>
  </si>
  <si>
    <t>QUANTIDADE DE METAS:</t>
  </si>
  <si>
    <t>1- AUTOMÁTICO</t>
  </si>
  <si>
    <t>2- MANUAL</t>
  </si>
  <si>
    <t>CAROLINE ADRIANA DOS SANTOS BRAGA</t>
  </si>
  <si>
    <t>THAIS JUNIA AUGUSTA DE OLIVEIRA MELO</t>
  </si>
  <si>
    <t>JOAO EURICO PINHEIRO IGNACIO DOS SANTOS</t>
  </si>
  <si>
    <t>TODA A PRODUÇÃO</t>
  </si>
  <si>
    <t>ANGELITA ALVES DA SILVA</t>
  </si>
  <si>
    <t>LAIS PASCOAL PEREIRA</t>
  </si>
  <si>
    <t>JOSE WILLIAM MARTINS ESCOBAR</t>
  </si>
  <si>
    <t>MARILIA DIAS HONORIO</t>
  </si>
  <si>
    <t>EMMANOEL LIBERATO DO VALE JUNIOR</t>
  </si>
  <si>
    <t>WELLINGTON DE MELO COUTINHO CHAVES</t>
  </si>
  <si>
    <t>WANDER CRISTIAN ANTUNES BARBOSA</t>
  </si>
  <si>
    <t>MICHAELE RIBEIRO ALVES DA SILVA</t>
  </si>
  <si>
    <t>PAN - INSS - NOVO - 84X</t>
  </si>
  <si>
    <t>DANIELA PRADO BULDO</t>
  </si>
  <si>
    <t>LARISSA CERQUEIRA SOUSA</t>
  </si>
  <si>
    <t>KARLA SUANE AZEVEDO DOS SANTOS</t>
  </si>
  <si>
    <t>CONFORME REGRAS FACTA</t>
  </si>
  <si>
    <t>EDVAN GOMES FARIAS</t>
  </si>
  <si>
    <t>JONAS CARLOS VICENTE</t>
  </si>
  <si>
    <t>MARCOS EDUARDO DA SILVA SANTOS DE CARVALHO</t>
  </si>
  <si>
    <t>ALEX SILVA GARCIA</t>
  </si>
  <si>
    <t>MARCELO DE CARVALHO BATISTA</t>
  </si>
  <si>
    <t>DIEGO FERREIRA DE MOURA</t>
  </si>
  <si>
    <t>DANIELA SANTOS DA SILVA</t>
  </si>
  <si>
    <t>CRISTIANE RIBEIRO FERNANDES</t>
  </si>
  <si>
    <t>TIAGO ROGANA FERNANDES</t>
  </si>
  <si>
    <t>PARAMETRIZAR CAMPANHA - GC MICHAELE</t>
  </si>
  <si>
    <t>LUCYANA DA SILVA MEDEIROS</t>
  </si>
  <si>
    <t>EDYCLEIDE DIAS DE ALBUQUERQUE</t>
  </si>
  <si>
    <t>PARAMETRIZAR CAMPANHA - ID 1818</t>
  </si>
  <si>
    <t>13922 </t>
  </si>
  <si>
    <t>9566 </t>
  </si>
  <si>
    <t>12800 </t>
  </si>
  <si>
    <t>PARAMETRIZAR CAMPANHA - 11725</t>
  </si>
  <si>
    <t>MATHEUS REZENDE SUDRE</t>
  </si>
  <si>
    <t>FILIAL PRESIDENTE PRUDENTE</t>
  </si>
  <si>
    <t>LARISSA DE BARROS SOBRAL</t>
  </si>
  <si>
    <t>RAFAEL SANTANA FERREIRA BICALHO</t>
  </si>
  <si>
    <t>3349 / 11938</t>
  </si>
  <si>
    <t>HAROLDO PERATELLI RODRIGUES DA COSTA</t>
  </si>
  <si>
    <t xml:space="preserve">FINAL DE CAMPANHA </t>
  </si>
  <si>
    <t>FILIAL ARACAJU</t>
  </si>
  <si>
    <t>13569 </t>
  </si>
  <si>
    <t>FILIAL MACAPA</t>
  </si>
  <si>
    <t>PARAMETRIZAR CAMPANHA - ID: 1577</t>
  </si>
  <si>
    <t>BANCO BMG - INSS - NOVO - 84x</t>
  </si>
  <si>
    <t>FACTA INSS PORT / REFIN DA PORT /REFIN /  NOVO</t>
  </si>
  <si>
    <t>BANCO FACTA - CONFORME REGULAMENTO</t>
  </si>
  <si>
    <t>14730 </t>
  </si>
  <si>
    <t>FERNANDO VILHENA</t>
  </si>
  <si>
    <t>PARAMETRIZAR CAMPANHA - GC EDVAN</t>
  </si>
  <si>
    <t>GUSTAVO DANERES BERNEIRA</t>
  </si>
  <si>
    <t>PARAMETRIZAR CAMPANHA - 14918</t>
  </si>
  <si>
    <t>13910 </t>
  </si>
  <si>
    <t>HAMILTON DA SILVA VIEIRA FILHO</t>
  </si>
  <si>
    <t>14702 </t>
  </si>
  <si>
    <t>14703 </t>
  </si>
  <si>
    <t>14704 </t>
  </si>
  <si>
    <t>14706 </t>
  </si>
  <si>
    <t>14729 </t>
  </si>
  <si>
    <t>JULIO CEZAR DE PAULA ALANO</t>
  </si>
  <si>
    <t>PARAMETRIZAR CAMPANHA - 15366</t>
  </si>
  <si>
    <t>15086 </t>
  </si>
  <si>
    <t>PRODUÇÃO GERAL</t>
  </si>
  <si>
    <t>BANCO FACTA - INSS E FGTS - CONFORME REGULAMENTO</t>
  </si>
  <si>
    <t>9321 / 14244 / 13184</t>
  </si>
  <si>
    <t>3422 / 6894</t>
  </si>
  <si>
    <t>BANCO FACTA - FGTS - CONFORME REGULAMENTO</t>
  </si>
  <si>
    <t>BANCO FACTA - INSS - CONFORME REGULAMENTO</t>
  </si>
  <si>
    <t>3209 / 13857</t>
  </si>
  <si>
    <t>BANCO FACTA - REFIN DE PORT - CONFORME REGULAMENTO</t>
  </si>
  <si>
    <t>BANCO MASTER - TODA A PRODUÇÃO</t>
  </si>
  <si>
    <t>BANCO FACTA - INSS - NOVO - CONFORME REGULAMENTO</t>
  </si>
  <si>
    <t xml:space="preserve">PAN-INSS NOVO PRAZO MAXIMO </t>
  </si>
  <si>
    <t>FACTA-CONFORME REGULAMENTO</t>
  </si>
  <si>
    <t>PARAMETRIZAR CAMPANHA - 15064</t>
  </si>
  <si>
    <t>FACTA CONFORME REGRA</t>
  </si>
  <si>
    <t>FACTA CONFORME REGULAMENTO</t>
  </si>
  <si>
    <t>PARAMETRIZAR CAMPANHA - 12291</t>
  </si>
  <si>
    <t>PARAMETRIZAR CAMPANHA I JARVIS 13910 I BANCO FACTA</t>
  </si>
  <si>
    <t>PARAMETRIZAR CAMPANHA I JARVIS 15421 I BANCO FACTA</t>
  </si>
  <si>
    <t>FILIAL BOA VISTA</t>
  </si>
  <si>
    <t>VITORIA MOTTA BARBOSA</t>
  </si>
  <si>
    <t>CONFORME REGRA FACTA</t>
  </si>
  <si>
    <t xml:space="preserve">PRODUCAO TOTAL </t>
  </si>
  <si>
    <t>12522 / 13469</t>
  </si>
  <si>
    <t>PARAMETRIZAR CAMPANHA I JARVIS 10452 I BANCO FACTA</t>
  </si>
  <si>
    <t>WANDA MARIA MARTINS</t>
  </si>
  <si>
    <t>7460 / 12006</t>
  </si>
  <si>
    <t>11995 </t>
  </si>
  <si>
    <t>13749 </t>
  </si>
  <si>
    <t>RODRIGO SOUZA SANTOS</t>
  </si>
  <si>
    <t>RAHYZA EUSTACHIO DA SILVA</t>
  </si>
  <si>
    <t>PARAMETRIZAR CAMPANHA - GC MARCOS EDUARDO</t>
  </si>
  <si>
    <t xml:space="preserve">QUERO MAIS PRODUCAO TOTAL </t>
  </si>
  <si>
    <t>NIKHOLLI MARCELLE LEMOS</t>
  </si>
  <si>
    <t>PRODUCAO TOTAL</t>
  </si>
  <si>
    <t>MASTER - TODOS CONVENIOS - PRODUTOS E PRAZOS</t>
  </si>
  <si>
    <t>PARAMETRIZAR CAMPANHA - ID 14918</t>
  </si>
  <si>
    <t>HELFRANK ALVES DE SOUZA</t>
  </si>
  <si>
    <t>PARAMETRIZAR CAMPANHA - 13718</t>
  </si>
  <si>
    <t>PARAMETRIZAR CAMPANHA - GLAUCE</t>
  </si>
  <si>
    <t>BANCO FACTA CONFORME REGULAMENTO</t>
  </si>
  <si>
    <t>3349 | 11938</t>
  </si>
  <si>
    <t>7460 | 12006</t>
  </si>
  <si>
    <t xml:space="preserve">09 - SETEMBRO </t>
  </si>
  <si>
    <t>JOSE EDUARDO OLIVEIRA CANDIDO</t>
  </si>
  <si>
    <t>TATIANA BRUNA DOS SANTOS MIGUEL</t>
  </si>
  <si>
    <t>FILIAL SP CAPITAL</t>
  </si>
  <si>
    <t>ICARO LEON UBIRATAN SILVA</t>
  </si>
  <si>
    <t>IGOR DE ALMEIDA RODRIGUES</t>
  </si>
  <si>
    <t>MARINEIDE SANTOS DE LIMA</t>
  </si>
  <si>
    <t>ALESSANDRA STARKOWSKI</t>
  </si>
  <si>
    <t>CHRISTIANE NIELSEN SILVA ARAUJO</t>
  </si>
  <si>
    <t>ADAN YURI MACIEL DE ARAUJO</t>
  </si>
  <si>
    <t>FILIAL SERTAO DE PERNAMBUCO</t>
  </si>
  <si>
    <t>GUSTAVO ANDRÉ FERRARI</t>
  </si>
  <si>
    <t xml:space="preserve">QUERO MAIS -PRODUCAO TOTAL </t>
  </si>
  <si>
    <t>9321 | 14244 | 13184</t>
  </si>
  <si>
    <t>BANCO VCTEX - TODA A PRODUÇÃO</t>
  </si>
  <si>
    <t>CÓD META</t>
  </si>
  <si>
    <t>BANCO MASTER - TODOS OS PRODUTOS</t>
  </si>
  <si>
    <t>CONFORME REGRAS FACTA </t>
  </si>
  <si>
    <t xml:space="preserve">BANCO QUERO MAIS TODA A PRODUÇÃO </t>
  </si>
  <si>
    <t>0.50%</t>
  </si>
  <si>
    <t>PARAMETRIZAR CAMPANHA - 15825 SUB/ 15468</t>
  </si>
  <si>
    <t>15825/ 15468</t>
  </si>
  <si>
    <t>  200.000,00</t>
  </si>
  <si>
    <t>15001 / 6935</t>
  </si>
  <si>
    <t>PARAMETRIZAR CAMPANHA - 7460 E 12006 SUB</t>
  </si>
  <si>
    <t>3190 / 6950 / 7036</t>
  </si>
  <si>
    <t>PARAMETRIZAR CAMPANHA - 726 E 13552 SUB</t>
  </si>
  <si>
    <t>726/13552</t>
  </si>
  <si>
    <t>TODOS OS BANCOS E TODOS OS PRODUTOS.-CREDITO 13522</t>
  </si>
  <si>
    <t>PARAMETRIZAR CAMPANHA - ID 13782</t>
  </si>
  <si>
    <t>BMG-INSS NOVO (PRAZO MÁXIMO)</t>
  </si>
  <si>
    <t>15463 | 5407</t>
  </si>
  <si>
    <t>FINAL DE CAMPANHA</t>
  </si>
  <si>
    <t>KELLY DARIANI ANTUNES THEOBALD</t>
  </si>
  <si>
    <t>BARBARA BOFF PEREIRA</t>
  </si>
  <si>
    <t>RENATA SILVA DINIZ GOMES</t>
  </si>
  <si>
    <t>13617 </t>
  </si>
  <si>
    <t>PARAMETRIZAR CAMPANHA - 16024</t>
  </si>
  <si>
    <t>LOTUS - FGTS - NOVO - TODOS</t>
  </si>
  <si>
    <t>PARAMETRIZAR CAMPANHA - ID 12340</t>
  </si>
  <si>
    <t>14779 / 14603 / 14456 / 13783 </t>
  </si>
  <si>
    <t>PARAMETRIZAR CAMPANHA l JARVIS 9248 l BANCO QUERO +</t>
  </si>
  <si>
    <t xml:space="preserve">14779 / 14603 / 14456 / 13783 </t>
  </si>
  <si>
    <t>5804 </t>
  </si>
  <si>
    <t>5311 / 13912 / 15025 / 8656</t>
  </si>
  <si>
    <t>4310 /13955</t>
  </si>
  <si>
    <t>PARAMETRIZAR CAMPANHA - 8075</t>
  </si>
  <si>
    <t>PARAMETRIZAR CAMPANHA - 15152</t>
  </si>
  <si>
    <t>Produção Banco Itaú (Exceto Portabilidade)</t>
  </si>
  <si>
    <t>PARAMETRIZAR CAMPANHA - ID 12692 - REF NOVEMBRO</t>
  </si>
  <si>
    <t>PARAMETRIZAR CAMPANHA - ID 3752</t>
  </si>
  <si>
    <t>VINICIUS LEONI CHAVES FARIA</t>
  </si>
  <si>
    <t>DAFNEE MACEDO DOS SANTOS</t>
  </si>
  <si>
    <t>FERNANDA SOARES OTANI</t>
  </si>
  <si>
    <t>RENAN HENRIQUE MENDES DE MELO DA SILVA</t>
  </si>
  <si>
    <t>ICARO FRANCA MENDES</t>
  </si>
  <si>
    <t>PARAMETRIZAR CAMPANHA - QUERO MAIS CREDITO - ID 3566</t>
  </si>
  <si>
    <t>QUERO MAIS INSS E SIAPE - CARTÃO BENEFÍCIO</t>
  </si>
  <si>
    <t>15463/5407</t>
  </si>
  <si>
    <t>FACTA FGTS</t>
  </si>
  <si>
    <t>PARAMETRIZAR CAMPANHA - 13694</t>
  </si>
  <si>
    <t>PARAMETRIZAR CAMPANHA l JARVIS 6869 l BANCO MASTER</t>
  </si>
  <si>
    <t>PARAMETRIZAR CAMPANHA - 5146</t>
  </si>
  <si>
    <t>PARAMETRIZAR CAMPANHA - ID 9431</t>
  </si>
  <si>
    <t>PARAMETRIZAR CAMPANHA - ID 8843</t>
  </si>
  <si>
    <t>01- JANEIRO</t>
  </si>
  <si>
    <t>PARAMETRIZAR CAMPANHA - 11449 / 14895 sub</t>
  </si>
  <si>
    <t xml:space="preserve">FACTA CONFORME REGULAMENTO </t>
  </si>
  <si>
    <t>PARAMETRIZAR CAMPANHA - 15859</t>
  </si>
  <si>
    <t>MASTER-TODA PRODUÇAO EXCETO INSS E FGTS</t>
  </si>
  <si>
    <t>PARAMETRIZAR CAMPANHA - 5663</t>
  </si>
  <si>
    <t>Vctex -  FGTS - todas tabelas menos VCT</t>
  </si>
  <si>
    <t>BMG - INSS - NOVO 84x</t>
  </si>
  <si>
    <t>PARAMETRIZAR CAMPANHA I JARVIS 13929 I BANCO FACTA I JANEIRO</t>
  </si>
  <si>
    <t>CONFORME REGRA FACTA -INSS-FGTS</t>
  </si>
  <si>
    <t>PARAMETRIZAR CAMPANHA I JARVIS 8835 I BANCO FACTA I JANEIRO</t>
  </si>
  <si>
    <t>PARAMETRIZAR CAMPANHA I JARVIS 6995 I BANCO FACTA I JANEIRO</t>
  </si>
  <si>
    <t>PARAMETRIZAR CAMPANHA I JARVIS 6995 I BANCO VCTEX I JANEIRO</t>
  </si>
  <si>
    <t>PARAMETRIZAR CAMPANHA I JARVIS 10426 I BANCO FACTA I JANEIRO</t>
  </si>
  <si>
    <t>PARAMETRIZAR CAMPANHA I JARVIS 10426 I BANCO VCTEX I JANEIRO</t>
  </si>
  <si>
    <t>PARAMETRIZAR CAMPANHA I JARVIS 15589 I BANCO QUERO + CREDITO I JANEIRO</t>
  </si>
  <si>
    <t>PARAMETRIZAR CAMPANHA I JARVIS 14154I BANCO FACTA I JANEIRO</t>
  </si>
  <si>
    <t>PARAMETRIZAR CAMPANHA - ID 3752 - PRODUÇÃO TOTAL</t>
  </si>
  <si>
    <t xml:space="preserve">TODA PRODUÇAO </t>
  </si>
  <si>
    <t>PARAMETRIZAR CAMPANHA I JARVIS 14452 I BANCO DAYCOVAL I JANEIRO</t>
  </si>
  <si>
    <t>BANCO DAYCOVAL - TODAS AS TABELAS QUE RECEBEMOS CAMPANHA (REPASSAR 70% DO QUE RECEBEMOS)</t>
  </si>
  <si>
    <t>PRODUÇÃO TOTAL ATINGIMENTO DA META-BONIFICACAO NOVO,REFIN,CARTOES-TODOS OS BANCOS E CONVENIOS – EXCETO-FGTS-PAN E ITAU</t>
  </si>
  <si>
    <t xml:space="preserve">PRODUÇÃO TOTAL ATINGIMENTO DA META-BONIFICACAO PRODUÇÃO TOTAL EXCETO ITAU E BMG </t>
  </si>
  <si>
    <t>PRODUÇÃO TOTAL-EXCETO BMG- CREDITO 15468</t>
  </si>
  <si>
    <t>PRODUÇÃO TOTAL-</t>
  </si>
  <si>
    <t>PARAMETRIZAR CAMPANHA - ID: 6719 - REF: JANEIRO 2025</t>
  </si>
  <si>
    <t>PARAMETRIZAR CAMPANHA - ID: 4310 / 13955</t>
  </si>
  <si>
    <t>PARAMETRIZAR CAMPANHA I JARVIS 15304 I BANCO FACTA I JANEIRO</t>
  </si>
  <si>
    <t>CAMPANHA BANCO C6 I 15463 I 5407</t>
  </si>
  <si>
    <t>5407 / 15463</t>
  </si>
  <si>
    <t>PARAMETRIZAR CAMPANHA - 695</t>
  </si>
  <si>
    <t>PARAMETRIZAR CAMPANHA l JARVIS 3422 / 6894</t>
  </si>
  <si>
    <t>CAMPANHA FACTA I 15942 I CREDITARE CENTER LTDA I CNPJ: 45.805.395/0001-38</t>
  </si>
  <si>
    <t>FACTA CONFORME REGULAMENTO-</t>
  </si>
  <si>
    <t>CAMPANHA BANCO MASTER I 16238 I LC NEGOCIOS LTDA l CNPJ 45.018.479/0001-21</t>
  </si>
  <si>
    <t xml:space="preserve">
PRODUCAO TOTAL ATINGIR A META-BONIFICACAO TODA PRODUCAO
EXCETO TABELAS C6 210106-210012- E TABELAS QUE CONSTAM NO GRUPO VIP-
CREDITO 5407 </t>
  </si>
  <si>
    <t>BANCO MASTER  PRODUÇÃO TOTAL DESCONSIDERANDO - FGTS E INSS</t>
  </si>
  <si>
    <t>BANCO PAN - NOVO - TODOS OS PRAZOS (SEPLAG / PMMG / IPSM / IPSEMG / PREF. BELO HORIZONTE)</t>
  </si>
  <si>
    <t>PARAMETRIZAR CAMPANHA - 11449 E 14895 SUB</t>
  </si>
  <si>
    <t>11449 / 14895</t>
  </si>
  <si>
    <t>CONSIDERAR TODA A PRODUÇÃO PARA APURAÇÃO, POREM PAGAREMOS SOMENTE SOBRE MARGEM LIVRE TODOS CONVENIOS  -CREDITO 11449</t>
  </si>
  <si>
    <t>PARAMETRIZAR CAMPANHA I BANCO DAYCOVAL l JARVIS 15980</t>
  </si>
  <si>
    <t xml:space="preserve">DAYCOVAL -O QUE RECEBEMOS PELO BANCO </t>
  </si>
  <si>
    <t>CAMPANHA MASTERI 13053 I SUB - PB SERVICO DE CONSTRUCAO, TRATAMEN I 27.150.447/0001-01</t>
  </si>
  <si>
    <t>CAMPANHA I 16475 - ESSENCICRED ANALISE DE CADASTROS I JANEIRO</t>
  </si>
  <si>
    <t>CAMPANHA FACTA I 14993 C S CASH LTDA I CNPJ 54.939.691/0001-12</t>
  </si>
  <si>
    <t xml:space="preserve">PRODUCAO TOTAL AMIGOZ-DESCONSIDERANDO ( PREF RECIFE / TJ MG / JUIZ DE FORA) </t>
  </si>
  <si>
    <t>CAMPANHAS BANCO FACTA I JANEIRO I LUIZ ANTONIO MAIA LTDA I COD 11301</t>
  </si>
  <si>
    <t>CAMPANHABANCO FACTA I JANEIRO I SORROCHE SOLUCOES FINANCEIRAS LTDA I COD 13007</t>
  </si>
  <si>
    <t>PARAMETRIZAR CAMPANHA - 12522 / 13469 - REF: JANEIRO 2025</t>
  </si>
  <si>
    <t>CAMPANHABANCO FACTA I JANEIRO I LIMA E BISPO SOLUCOES E DESENVOLVI LTDA I COD 13669</t>
  </si>
  <si>
    <t>CAMPANHABANCO QUERO MAIS CREDITO I JANEIRO I META SOLUCOES DE CREDITO E SERVICO I COD 15874</t>
  </si>
  <si>
    <t>PRODUCAO TOTAL -QUERO MAIS CREDITO</t>
  </si>
  <si>
    <t>PARAMETRIZAR CAMPANHA JANEIRO - JARVIS SUB 14105 - CREDTO ASSESSORIA &amp; CONSULTORIA</t>
  </si>
  <si>
    <t>726  /13552</t>
  </si>
  <si>
    <t>3422 / 6894 </t>
  </si>
  <si>
    <t>7460  / 12006</t>
  </si>
  <si>
    <t>CAMPANHA SUB 15664 |JANEIRO I BANCO MASTER I CELIENE SILVA ROCHA GUIRRA 0338777 I</t>
  </si>
  <si>
    <t>PARAMETRIZAR CAMPANHA - ID: 4112 - REF: JANEIRO 2025</t>
  </si>
  <si>
    <t>PARAMETRIZAR CAMPANHA - ID: 12273 - JANEIRO 2025</t>
  </si>
  <si>
    <t xml:space="preserve">QUERO MAIS INSS E SIAPE - CARTÃO BENEFÍCIO-TODOS OS PRAZOS </t>
  </si>
  <si>
    <t>CAMPANHA l JARVIS 14938 l SAULO FELIPE TEODORO DA| BANCO MASTER</t>
  </si>
  <si>
    <t>CAMPANHA MEU CASH CARDI 15086 D VALOR INTERMEDIACOES EM NEGOCIOS I 33.556.451/0001-69</t>
  </si>
  <si>
    <t>PARAMETRIZAR CAMPANHA - 3566</t>
  </si>
  <si>
    <t>CAMPANHA SUB 15141 | JANEIRO I CASPREVI SERVICOS DE INTERMEDIACAO</t>
  </si>
  <si>
    <t>TODAS AS OPERAÇÕES DE CARTÃO INSS QUERO MAIS CREDITO RCC E RMC</t>
  </si>
  <si>
    <t>CAMPANHA SUBSTABELECIDO I JARVIS 13977 l JANEIRO I N F DE SOUSA l CNPJ 44.628.593/0001-00</t>
  </si>
  <si>
    <t>BANCO facta - INSS - PRAZO MAXIMO</t>
  </si>
  <si>
    <t>PARAMETRIZAR CAMPANHA 5311 / 13912 / 8656 / 15025 - REF: JANEIRO 2025</t>
  </si>
  <si>
    <t>PARAMETRIZAR CAMPANHA I JARVIS 14495 l BANCO FACTA</t>
  </si>
  <si>
    <t>PARAMETRIZAR CAMPANHA - BANCO AMIGOZ - ID 3895</t>
  </si>
  <si>
    <t>TODA A PRODUÇÃO DO BANCO AMIGOZ</t>
  </si>
  <si>
    <t>PARAMETRIZAR CAMPANHA - 14045</t>
  </si>
  <si>
    <t>FACTA-FGTS (todas tabelas que possuem bonus)</t>
  </si>
  <si>
    <t>PARAMETRIZAR CAMPANHA I JARVIS 12732 I BANCO FACTA</t>
  </si>
  <si>
    <t>CAMPANHAS ANDRÉ MEDEIROS I JANEIRO 2025</t>
  </si>
  <si>
    <t>CAMPANHA SUBSTABELECIDO I JARVIS 8125 l JANEIRO I FLAMA SOLUCOES E NEGOCIOS LTDA I 39.266.466/0001-79</t>
  </si>
  <si>
    <t>PARAMETRIZAÇÃO DE CAMPANHA SUB l JARVIS 6905 l BANCO MASTER</t>
  </si>
  <si>
    <t>FACTA CONVENIO INSS NOVO/ PORT / REFIN DA PORT /REFIN  </t>
  </si>
  <si>
    <t xml:space="preserve">MASTER-PRODUCAO GERAL </t>
  </si>
  <si>
    <t xml:space="preserve">AMIGOZ-PRODUCAO GERAL </t>
  </si>
  <si>
    <t>PRODUCAO GERAL ATINGIR A META-
BONIFICACAO PRODUCAO TOTAL -EXCET TABELA : 
PAN - INSS - PAN - INSS_NOV_LOAS_REP_LEGAL (703797)</t>
  </si>
  <si>
    <t xml:space="preserve">
MASTER- prefeitura de UBERABA, IPSERV E CODAU (M FACIL- CREDCESTA) TODAS AS TABELAS E PRAZOS.</t>
  </si>
  <si>
    <t xml:space="preserve">
PRODUCAO TOTAL ATINGIR A META-BONIFICACAO PRODUCAO TOTAL EXCETO ITAU E CREDBANCK--CREDITO 7460</t>
  </si>
  <si>
    <t>PRODUCAO TOTAL PARA ATINGIR A META-BONIFICACAO PRODUCAO TOTAL BANCO MASTER</t>
  </si>
  <si>
    <t>FACTA-INSS-NOVO</t>
  </si>
  <si>
    <t>PARAMETRIZAR CAMPANHA - ID: 1452 - REF: JANEIRO 2025</t>
  </si>
  <si>
    <t>PARAMETRIZAR CAMPANHA l JARVIS 9248 l BANCO FACTA</t>
  </si>
  <si>
    <t xml:space="preserve">FACTA-INSS NOVO / PORT / REFIN DA PORT /REFIN </t>
  </si>
  <si>
    <t>CAMPANHA I SANY CRED INTERMEDIACOES FINANCEIRAS LTDA I CNPJ: 52.509.621/0001-07</t>
  </si>
  <si>
    <t>PARAMETRIZAR CAMPANHA I JARVIS I BANCO C6 I JANEIRO</t>
  </si>
  <si>
    <t>PARAMETRIZAR CAMPANHA I JARVIS 13368 I BANCO FACTA I JANEIRO 2025</t>
  </si>
  <si>
    <t>PARAMETRIZAR CAMPANHA I JARVIS 13368 I BANCO MASTER I JANEIRO 2025</t>
  </si>
  <si>
    <t>PARAMETRIZAR CAMPANHA I JARVIS 13368 I BANCO C6 I JANEIRO DE 2025</t>
  </si>
  <si>
    <t>PARAMETRIZAR CAMPANHA - ID: 4079 JANEIRO 2025</t>
  </si>
  <si>
    <t>PARAMETRIZAR CAMPANHA I JARVIS 15908 I BANCO VCTEX - JANEIRO /2025</t>
  </si>
  <si>
    <t>sobre a produçao VCTEX, EXCETO AS TABELAS VCT</t>
  </si>
  <si>
    <t>PARAMETRIZAR CAMPANHA I JARVIS 13900 I BANCO FACTA I JANEIRO /2025</t>
  </si>
  <si>
    <t>conforme regra facta</t>
  </si>
  <si>
    <t>PARAMETRIZAR CAMPANHA I JARVIS 14730 I BANCO FACTA I JANEIRO 2025</t>
  </si>
  <si>
    <t>PARAMETRIZAR CAMPANHA - EDVAN</t>
  </si>
  <si>
    <t>PARAMETRIZAR CAMPANHA - ID: 1577 - JANEIRO 2025</t>
  </si>
  <si>
    <t>PARAMETRIZAR CAMPANHA - 6675</t>
  </si>
  <si>
    <t>FACTA-INSS-NOVO-84X</t>
  </si>
  <si>
    <t>PARAMETRIZAR CAMPANHA - 11938 / 3349</t>
  </si>
  <si>
    <t>PARAMETRIZAR CAMPANHA - ID 16472 - CAMPANHA FACTA</t>
  </si>
  <si>
    <t>16472 </t>
  </si>
  <si>
    <t xml:space="preserve">
CONFORME REGRA FACTA - INSS E FGTS, CONSIDERANDO CRITERIOS:
Inss : Refin De Port - Somente a tabela Gold (exceto a tabela com taxa 1,45%)</t>
  </si>
  <si>
    <t>PARAMETRIZAR CAMPANHA - BANCO FACTA - 14779 / 14603 / 14456 / 13783 - REF JANEIRO</t>
  </si>
  <si>
    <t>FACTA CONFORME REGULAMENTO-CREDITO 14603-INSS- DESCONSIDERAR REFIN DE PORT - SOMENTE A TABELA GOLD (EXCETO TABELA COM A TAXA 1,45%)</t>
  </si>
  <si>
    <t>PRODUCAO TOTAL ATINGIR A META-BONIFICACAO PRODUCAO TOTAL CONSIDERANDO OS PRODUTOS NOVO ,REFIN , CARTÃO (RMC e RCC )-( EXCETO CONVENIO INSS )</t>
  </si>
  <si>
    <t>PARAMETRIZAR CAMPANHA - 16528</t>
  </si>
  <si>
    <t>PARAMETRIZAR CAMPANHA - ID 16175 - CAMPANHA FACTA</t>
  </si>
  <si>
    <t>FACTA-INSS-FGTS-REFIN DE PORT - SOMENTE A TABELA GOLD (EXCETO TABELA COM A TAXA 1,45%)</t>
  </si>
  <si>
    <t>PARAMETRIZAR CAMPANHA - 14603 sub/14779 sub /14456 /13783 - BANCO CREDBANCK</t>
  </si>
  <si>
    <t>14603/14779 /14456 /13783 </t>
  </si>
  <si>
    <t>PRODUCAO TOTAL BANCO CRED BANK  -CREDITO 14603</t>
  </si>
  <si>
    <t>TODA A PRODUÇÃO BANCO MASTER</t>
  </si>
  <si>
    <t>PARAMETRIZAR CAMPANHA - ID: 16713 - REF: JANEIRO</t>
  </si>
  <si>
    <t>PARAMETRIZAR CAMPANHA - 9212</t>
  </si>
  <si>
    <t>FACTA – NOVO INSS</t>
  </si>
  <si>
    <t>PARAMETRIZAR CAMPANHA - GOV SC - ID 14444</t>
  </si>
  <si>
    <t xml:space="preserve">PRODUCAO TOTAL- GOV SC - ( TODOS OS BANCOS /TODOS OS PRODUTOS)	</t>
  </si>
  <si>
    <t>CAMPANHA DANILO I JANEIRO I INSTITUTO VAP - TREINAMENTO E DESE I 13.038.175/0001-30</t>
  </si>
  <si>
    <t>PARAMETRIZAR CAMPANHA I JARVIS 15564 I BANCO FACTA I JANEIRO</t>
  </si>
  <si>
    <t>PARAMETRIZAR CAMPANHA I JARVIS 13932 I BANCO FACTA I JANEIRO</t>
  </si>
  <si>
    <t>PARAMETRIZAR CAMPANHA I JARVIS 9580 I BANCO FACTA I JANEIRO</t>
  </si>
  <si>
    <t>PARAMETRIZAR CAMPANHA I JARVIS 14011 I BANCO FACTA I JANEIRO</t>
  </si>
  <si>
    <t>PARAMETRIZAR CAMPANHA I JARVIS 14011 I BANCO VCTEX I JANEIRO</t>
  </si>
  <si>
    <t>PARAMETRIZAR CAMPANHA - ID: 5986 - REF: JANEIRO 2025</t>
  </si>
  <si>
    <t xml:space="preserve">PRODUÇÃO TOTAL-DESCONSIDERANDO TABELAS QUE CONSTAM NA VIP -E BANCO Meu Credbank </t>
  </si>
  <si>
    <t>PARAMETRIZAR CAMPANHA - 2911 e 11402 SUB</t>
  </si>
  <si>
    <t>TODOS BANCOS   / INSS-SIAPE/novo / port/refin de port /cartao rmc /cartao benefcio / 84X TODAS AS TABELAS</t>
  </si>
  <si>
    <t xml:space="preserve">FACTA/INSS/NOVO/CARTAO RMC/CARTAO BENEFICIO /PORT E REFIN DA PORT /84X TODAS AS TABELAS </t>
  </si>
  <si>
    <t>PARAMETRIZAR CAMPANHA - 13446</t>
  </si>
  <si>
    <t>Considerar produção total Credbank</t>
  </si>
  <si>
    <t>PARAMETRIZAR CAMPANHA I JARVIS 16371 I BANCO FACTA I JANEIRO I ELENIR FLORES ROCHA</t>
  </si>
  <si>
    <t>PARAMETRIZAR CAMPANHA I JARVIS 16474 I BANCO FACTA I JANEIRO</t>
  </si>
  <si>
    <t>FACTA - NOVO FGTS</t>
  </si>
  <si>
    <t>PARAMETRIZAR CAMPANHAR I JARVIS 13440 I BANCO C6 I JANEIRO</t>
  </si>
  <si>
    <t>BMG-NOVO- INSS-TODOS OS PRAZOS</t>
  </si>
  <si>
    <t xml:space="preserve">
QUERO MAIS INSS CARTÕES(RMC E RCC) 
/PAN INSS CARTAO/C6 PORTABILIDADE INSS /
BMG INSS NOVO PRAZOMAXIMO/
 FACTA NOVO-INSS--credito 13955</t>
  </si>
  <si>
    <t xml:space="preserve">
CONSIDERAR TODA A PRODUÇÃO PARA APURAÇÃO, 
 BONIFICAÇÃO PRODUCAO TOTAL - EXCETO TABELAS QUE grupo 001 (exceto banco Mercantil / Amigoz / Itaú).
- credito 3422</t>
  </si>
  <si>
    <t>Vctex -  FGTS</t>
  </si>
  <si>
    <t>15496 / 16371</t>
  </si>
  <si>
    <t>PRODUCAO TOTAL ATINGIR A META - BONIFICAÇÃO PARA FACTA CONFORME REGULAMENTO - TODOS OS CONVENIOS - PRODUTO NOVO
CRÉDITO PARA O 16371</t>
  </si>
  <si>
    <t>12776 </t>
  </si>
  <si>
    <t>15627 </t>
  </si>
  <si>
    <t>12917 </t>
  </si>
  <si>
    <t>MEU CREDBANK - INSS - NOVO - 84x</t>
  </si>
  <si>
    <t>PARAMETRIZAR CAMPANHA - 16726</t>
  </si>
  <si>
    <t>PARAMETRIZAR CAMPANHA - ID 11633 - BANCO C6</t>
  </si>
  <si>
    <t>C6-INSS- NOVO -TABELAS PCT</t>
  </si>
  <si>
    <t>PARAMETRIZAR CAMPANHA - 5296</t>
  </si>
  <si>
    <t>PARAMETRIZAR CAMPANHA - 3349</t>
  </si>
  <si>
    <t>PARAMETRIZAR CAMPANHA - 8656</t>
  </si>
  <si>
    <t>PARAMETRIZAR CAMPANHA - 5311</t>
  </si>
  <si>
    <t>PARAMETRIZAR CAMPANHA - 1452</t>
  </si>
  <si>
    <t>PARAMETRIZAR CAMPANHA - 685</t>
  </si>
  <si>
    <t>PARAMETRIZAR CAMPANHA - 454</t>
  </si>
  <si>
    <t>PRODUCAO TOTAL MEU CREDBANK</t>
  </si>
  <si>
    <t>PARAMETRIZAR CAMPANHA - 2689</t>
  </si>
  <si>
    <t>PARAMETRIZAR CAMPANHA - 507</t>
  </si>
  <si>
    <t>PARAMETRIZAR CAMPANHA - 16403</t>
  </si>
  <si>
    <t>PARAMETRIZAR CAMPANHA - ID: 14876 - REF: JANEIRO 2025</t>
  </si>
  <si>
    <t>14876 </t>
  </si>
  <si>
    <t>PRODUCAO TOTAL FACTA</t>
  </si>
  <si>
    <t xml:space="preserve"> FGTS MEU CREDBANK-TODOS PRAZOS</t>
  </si>
  <si>
    <t>QUERO MAIS- SIAPE-CARTAO E CARTÃO BENEFICIO-TODOS OS PRAZOS</t>
  </si>
  <si>
    <t>PRODUCAO TOTAL -MEU CASH CARD</t>
  </si>
  <si>
    <t xml:space="preserve">PRODUCAO TOTAL AMIGOZ </t>
  </si>
  <si>
    <t>CONTABILIZAR TODA PRODUÇÃO BANCO MASTER NOVO GOV DA BAHIA MFÁCIL E CREDCESTA,</t>
  </si>
  <si>
    <t xml:space="preserve">CONTABILIZAR TODA PRODUÇÃO BANCO MASTER NOVO GOV DA BAHIA MFÁCIL E CREDCESTA-TODOS OS PRAZOS </t>
  </si>
  <si>
    <t>PARAMETRIZAR CAMPANHA - 11730</t>
  </si>
  <si>
    <t>MEU CREDBANK – NOVO INSS</t>
  </si>
  <si>
    <t>12802 </t>
  </si>
  <si>
    <t>CAMPANHA DANILO I BANCO C6 I JANEIRO I VIVIANE GOMES I 29.294.109/0001-60</t>
  </si>
  <si>
    <t>PARAMETRIZAR CAMPANHA - ID: 4353</t>
  </si>
  <si>
    <t>MEU CREDBANK - INSS - MEU CREDBANK - INSS - FP - SEGURO PLUS - TAXA 1,80
MEU CREDBANK - INSS - MEU CREDBANK - INSS - AUMENTO COM SEGURO-TX1,80
MEU CREDBANK - INSS - MEU CREDBANK - INSS - FP - SEGURO - TX 1,80</t>
  </si>
  <si>
    <t>MEU CREDBANK - INSS - MEU CREDBANK - INSS - AUMENTO SALARIAL - TX 1,80
MEU CREDBANK - INSS - MEU CREDBANK - INSS - FP - NORMAL - TX 1,80</t>
  </si>
  <si>
    <t>CAMPANHA JANEIRO I GC MICHAELLE I</t>
  </si>
  <si>
    <t>100% DO QUE RECEBEMOS</t>
  </si>
  <si>
    <t>FACTA - INSS-NOVO - 84x </t>
  </si>
  <si>
    <t>PARAMETRIZAR CAMPANHA - BANCO MASTER - ID 16671</t>
  </si>
  <si>
    <t>PRODUCAO TOTAL MASTER-EXCETO INSS</t>
  </si>
  <si>
    <t>PRODUÇÃO C6, EXCETO TABELAS QUE POSSUEM REGRA VIP ATIVA</t>
  </si>
  <si>
    <t>PRODUCAO TOTAL PARA ATINGIMENTO - PAGAR SOBRE INSS - NOVO - 84x (EXCETO BMG, C6, FACTA E ITAU)
CREDITO 12522</t>
  </si>
  <si>
    <t>BANCO QUERO MAIS - INSS - CARTÃO RMC E RCC - 84x</t>
  </si>
  <si>
    <t>PRODUCAO TOTAL CONTABILIZA META-BONIFICACAO PRODUCAO TOTAL EXCETO ITAU-MEU CREDBANK</t>
  </si>
  <si>
    <t>CONSIDERAR TODA PRODUÇÃO PARA META E PARA BONIFICAÇÃO DESCONSIDERAR ITAU E BMG,MEU Credbank -CREDITO 5311</t>
  </si>
  <si>
    <t>PARAMETRIZAR CAMPANHA - ID 5839 - MEUCREDBANK</t>
  </si>
  <si>
    <t>12288 </t>
  </si>
  <si>
    <t>MEU CREDBANK - INSS  COM SEGURO - NOVO - 84</t>
  </si>
  <si>
    <t>MEU CREDBANK - INSS SEM SEGURO - NOVO - 84</t>
  </si>
  <si>
    <t>PARAMETRIZAR CAMPANHA - MEU CREDBANK - 12288 FILIPE GUEDES</t>
  </si>
  <si>
    <t>BANCO MASTER TODA A PRODUÇÃO - EXCETO AS TABELAS DO GRUPO VIP</t>
  </si>
  <si>
    <t>BANCO MASTER - GOV. BA - NOVO - TODOS OS PRAZOS E TABELAS</t>
  </si>
  <si>
    <t>BANCO CASHCARD - TODA A PRODUÇÃO</t>
  </si>
  <si>
    <t>BANCO QUERO MAIS - TODA A PRODUÇÃO</t>
  </si>
  <si>
    <t>BANCO ITAU - TODA A PRODUÇÃO</t>
  </si>
  <si>
    <t>PAN - INSS- NOVO - 84x </t>
  </si>
  <si>
    <t>FACTA - INSS - NOVO - 84x </t>
  </si>
  <si>
    <t>BANCO QUERO MAIS - INSS - CARTÃO RMC E RCC - NORMAL E RL</t>
  </si>
  <si>
    <t>BANCO QUERO MAIS - INSS - CARTÃO RMC E RCC - LOAS E LOAS RL</t>
  </si>
  <si>
    <t>BANCO QUERO MAIS - FGTS NOVO I 1 A 10X</t>
  </si>
  <si>
    <t>BANCO QUERO MAIS - FGTS NOVO II 1 A 10X</t>
  </si>
  <si>
    <t>BANCO QUERO MAIS - FGTS NOVO III 1 A 10X</t>
  </si>
  <si>
    <t>BANCO QUERO MAIS - FGTS NOVO IV 1 A 10X</t>
  </si>
  <si>
    <t>BANCO PAN - NOVO / REFIN / COMPRA - TODOS OS CONVÊNIOS (EXCETO: FGTS / INSS / GOV. PR / SIAPE) - TODOS OS PRAZOS
ESPELHANDO A CAMPANHA DE CONVÊNIOS PÚBLICOS</t>
  </si>
  <si>
    <t>BANCO PAN - FGTS
ESPELHANDO A CAMPANHA DE CASCATA</t>
  </si>
  <si>
    <t>BANCO PAN - CARTÃO RMC E RCC - APENAS SAQUE COMPLEMENTAR
ESPELHANDO A CAMPANHA DE SAQUE COMPLEMENTAR</t>
  </si>
  <si>
    <t>BANCO PAN - FGTS - APENAS NAS TABELAS NORMAIS
ESPELHANDO A CAMPANHA DE ORÇAMENTO SECRETO</t>
  </si>
  <si>
    <t>BANCO FACTA - FGTS / INSS - CONFORME REGULAMENTO (EXCETO CARTÕES)</t>
  </si>
  <si>
    <t>PARAMETRIZAR CAMPANHA - 3503</t>
  </si>
  <si>
    <t>PARAMETRIZAÇÃO CAMPANHA I JANEIRO I MEU CRED BANK I COD 11652 / 4629</t>
  </si>
  <si>
    <t>TODA PRODUÇÃO DO MEU CRED BANk</t>
  </si>
  <si>
    <t>BONUS EM CIMA DA TABELA INSS - FP - NORMAL - TX 1,80 - SEM SEGURO-84X</t>
  </si>
  <si>
    <t>QUERO+. INSS E SIAPE (CARTÃO BENEFÍCIO)-TODOS OS PRAZOS</t>
  </si>
  <si>
    <t>PARAMETRIZAR CAMPANHA - ID 5804 - MEU CREDBANK</t>
  </si>
  <si>
    <t>PARAMETRIZAR CAMPANHA - ID 11403 / 11349 -</t>
  </si>
  <si>
    <t>PARAMETRIZAR CAMPANHA - MASTER - 12288</t>
  </si>
  <si>
    <t>MASTER - TODOS OS PRODUTOS E PRAZOS</t>
  </si>
  <si>
    <t>MASTER- GOVERNO DA BAHIA TODOS OS PRAZOS</t>
  </si>
  <si>
    <t>CAMPANHA BMG 11995 I JOSE HIRAN (MOEDA DE OURO)</t>
  </si>
  <si>
    <t>Banco BMG – Novo Normal – 84x – INSS – Tabelas 9869 e 9870</t>
  </si>
  <si>
    <t>PARAMETRIZAÇAO DE CAMPANHA - ID 12385 - MEU CREDBANk</t>
  </si>
  <si>
    <t>BANCO MEU CREDBANK - INSS  novo-- PRAZO MÁXIMO</t>
  </si>
  <si>
    <t xml:space="preserve">PARÂMETRO
BANCO MASTER GOVERNO DA BAHIA TODOS OS PRAZOS E CONVÊNIOS exceto inss
BANCO SAFRAGOV BAHIA  SOMENTE  prazo 120x
Banco pan GOV BAHIA prazo de 120x </t>
  </si>
  <si>
    <t xml:space="preserve">
PRODUCAO TOTAL ATINGIR A META-META PRODUCAO TOTAL -INSS-NOVO-84X-EXCETO ITAU-MEU CREDBANK – CREDITO 11938</t>
  </si>
  <si>
    <t>PRODUCAO TOTAL CONSIDERANDO PRODUTO CARTÃO E CARTÃO BENEFICIO- E PRODUCAO TOTAL FGTS (NOVO)</t>
  </si>
  <si>
    <t>PARAMETRIZAR CAMPANHA I JARVIS 16667 I ALEXANDRA PRESTACAO DE SERVICOS LTDA I CNPJ : 57.172.204/0001-27</t>
  </si>
  <si>
    <t>PARAMETRIZAR CAMPANHA - ID 10293 - MEU CREDBANK</t>
  </si>
  <si>
    <t>PARAMETRIZAR CAMPANHA - ID: 15450 - FEVEREIRO 2025</t>
  </si>
  <si>
    <t xml:space="preserve"> BANCO MASTER - todos os contratos no produto novo gov ba  gov sp gov rj e pref sp </t>
  </si>
  <si>
    <t>PARAMETRIZAR CAMPANHA - 10497 + 16708 SUB</t>
  </si>
  <si>
    <t>PARAMETRIZAR CAMPANHA - ID 4356 - MEU CREDBANK</t>
  </si>
  <si>
    <t>CAMPANHA SUB 13368 -MEU CREDBANK</t>
  </si>
  <si>
    <t>CONFORME CAMPANHA BANCO -CRED BRANK -SOBRE O QUE RECEBEMOS</t>
  </si>
  <si>
    <t>PARAMETRIZAR CAMPANHA -13055 E 13113</t>
  </si>
  <si>
    <t>CAMPANHA SUB 16474</t>
  </si>
  <si>
    <t>CAMPANHA 11937- JANEIRO</t>
  </si>
  <si>
    <t xml:space="preserve">
C6 - INSS - REPRESENTANTE  LEGAL 84X 
C6 - INSS - LOAS 84X</t>
  </si>
  <si>
    <t>Toda produção MEU CREDBANK-credito 13113</t>
  </si>
  <si>
    <t>C6-INSS- -TABELAS PACOTE DE BENEFICIOS-</t>
  </si>
  <si>
    <t>BANCO DAYCOVAL E PAN - PMMG / CBMG / IPSEMG / IPSM / SEPLAG - NOVO - REFIN - PORT - R. PORT - TODOS OS PRODUTOS E PRAZOS
BANCO AMIGOZ - MASTER - OLE - CARTOES RMC E RCC
BANCO VCTEX - FGTS</t>
  </si>
  <si>
    <t>C6 - INSS - NOVO - SOMENTE PACOTE DE BENEFICIOS - 84x</t>
  </si>
  <si>
    <t>BANCO MASTER - CARTÃO RMC E RCC - TODOS OS CONVÊNIOS (EXCETO INSS, FGTS, GOV. PE E GOV. ES)</t>
  </si>
  <si>
    <t>BANCO C6 - 84x - TABELAS:
C6 BANK - INSS - DIGITAL WEB NOVO NORMAL - LOAS 88 (210016) - TAXA 1,66%
C6 BANK - INSS - DIGITAL WEB NOVO NORMAL - LOAS 88 (210139) - TAXA 1,80%</t>
  </si>
  <si>
    <t>INSS MEU CREDBANK-TODOS PRAZOS</t>
  </si>
  <si>
    <t xml:space="preserve">c6-INSS-RL - 88 Loas-TODOS OS PRAZOS </t>
  </si>
  <si>
    <t xml:space="preserve">c6-INSS NOVO-Tabela normal - TODOS OS PRAZOS </t>
  </si>
  <si>
    <t>BONIFICACAO TABELAS: CÓDIGOS: 
210107 alterou para 210153, / 
210016 alterou para : 210139   /
 210021 alterou para : 210150   /
 210110 alterou : 210158 /
 210159 / 210153 / 210155 / 210126 alterou para 210151 / 210139-84x</t>
  </si>
  <si>
    <t xml:space="preserve">TABELAS: código: 
210106 – alterou para : 210152  
 210047  : alterou para  210148
 210152 
 210154 
 210135- alterou para :  210138 - prazo maximo </t>
  </si>
  <si>
    <t>MEU CREDBANK - INSS - MEU CREDBANK - INSS - FP - SEGURO PLUS - TAXA 1,80
MEU CREDBANK - INSS - MEU CREDBANK - INSS - FP - SEGURO - TX 1,80  84x</t>
  </si>
  <si>
    <t>MEU CREDBANK - INSS - MEU CREDBANK - INSS - FP - NORMAL - TX 1,80  84x</t>
  </si>
  <si>
    <t xml:space="preserve">13055 -13113 </t>
  </si>
  <si>
    <t>PARAMETRIZAR CAMPANHA - ID 10109 - BANCO C6 E QUERO MAIS CREDITO</t>
  </si>
  <si>
    <t>PARAMETRIZAR CAMPANHA - 15778</t>
  </si>
  <si>
    <t>PARAMETRIZAR CAMPANHA - 3024 |6839</t>
  </si>
  <si>
    <t>3024 - 6839</t>
  </si>
  <si>
    <t>PARAMETRIZAR CAMPANHA - ID: 1818 - REF: FEVEREIRO 2025</t>
  </si>
  <si>
    <t>PARAMETRIZAR CAMPANHA - ID: 6719 - FEVEREIRO 2025</t>
  </si>
  <si>
    <t>PARAMETRIZAR CAMPANHA - 9600 - REF: FEVEREIRO 2025</t>
  </si>
  <si>
    <t xml:space="preserve">MEU CREDBANK - INSS - FP - SEGURO - TX 1,80 - TODOS prazos </t>
  </si>
  <si>
    <t>PARAMETRIZAR CAMPANHA - 3446 - FEVEREIRO 2025</t>
  </si>
  <si>
    <t>BANCO FACTA - INSS - TODOS OS PRODUTOS</t>
  </si>
  <si>
    <t>CAMPANHA SUB 13053</t>
  </si>
  <si>
    <t>Re: PARAMETRIZAÇÃO DE CAMPANHA - ID 16024 - BANCO LOTUS</t>
  </si>
  <si>
    <t>PRODUCAO TOTAL -  EXCETO DO BANCO PAN -CREDITO 6839</t>
  </si>
  <si>
    <t>CONSIDERAR BONIFICAÇAO APENAS PARA ESTAS TABELAS: Ccodigos: 
210107 : alterou para 210153,  210016 : alterou para : 210139   
 210021 : alterou para : 210150    / 210110  alterou : 210158
 210158 / 210150 / 210159 / 210153 / 210155 / 
210126 : alterou 210151  
210139- prazo maximo</t>
  </si>
  <si>
    <t xml:space="preserve">
CONSIDERAR BONIFICAÇAO APENAS PARA ESTAS TABELAS: Ccodigo:
 210106 alterou para 210152  210047 alterou para 210148
 210152 / 210154 / 210135 alterou para 210138 - prazo maximo </t>
  </si>
  <si>
    <t>PRESENÇA BANK -INSS- NOVO -PRAZO 84</t>
  </si>
  <si>
    <t>QUERO MAIS CREDITO CARTÃO RMC-RCC</t>
  </si>
  <si>
    <t>PARAMETRIZAR CAMPANHA - ID 14206 - REF JANEIRO</t>
  </si>
  <si>
    <t>PARAMETRIZAR CAMPANHA - ID 15143</t>
  </si>
  <si>
    <t>PARAMETRIZAR CAMPANHA - ID: 15925 - FEVEREIRO 2025</t>
  </si>
  <si>
    <t>CAMPANHA SUB 14452</t>
  </si>
  <si>
    <t>PARAMETRIZAÇÃO DE CAMPANHAS - MEU CRED BANCK</t>
  </si>
  <si>
    <t>MEU CREDBANK/ INSS/ NOVO/ 84 E 96</t>
  </si>
  <si>
    <t>PARAMETRIZAR CAMPANHA - ID 15087</t>
  </si>
  <si>
    <t xml:space="preserve">NOVO COM E SEM SEGURO \ MEUCREDBANK\INSS\96 E 84 X </t>
  </si>
  <si>
    <t>CAMPANHA SUB 16868 NOBRE PROMOTORA LTDA</t>
  </si>
  <si>
    <t>FACTA INSS CONFORME REGRA</t>
  </si>
  <si>
    <t>CAMPANHA 10426 I FEVEREIRO I FACTA I VCTEX</t>
  </si>
  <si>
    <t>CAMPANHA 6995 I FEVEREIRO I FACTA I VCTEX</t>
  </si>
  <si>
    <t>CAMPANHA SUB 8835 -FACTA</t>
  </si>
  <si>
    <t>PARAMETRIZAR CAMPANHA I JARVIS 16871 l BANCO FACTA</t>
  </si>
  <si>
    <t>PARAMETRIZAR CAMPANHA - 4310 /13955 SUB</t>
  </si>
  <si>
    <t>CAMPANHA 15980 I FEVEREIRO I BANCO FACTA IA&amp;Y INFORMACOES CADASTRAIS | 43.617.826/0001-07</t>
  </si>
  <si>
    <t>PARAMETRIZAR CAMPANHA I JARVIS 1729 I</t>
  </si>
  <si>
    <t>NOVO GOVERNO DE MINAS E AUTARQUIAS ( PAN/DAYCOVAL/) CARTOES MASTER/AMIGOZ/ OLE/VCTEX/</t>
  </si>
  <si>
    <t>CAMPANHA SUBSTABELECIDO - JARVIS 8816-BANCO QUERO MAIS</t>
  </si>
  <si>
    <t>01-JANEIRO</t>
  </si>
  <si>
    <t xml:space="preserve">QUERO MAIS CREDITO - GOVERNO DO CEARA - QUERO MAIS CREDITO  - CARTAO BENEFICIO-TABELAS QUE RECEBEMOS DO BANCO </t>
  </si>
  <si>
    <t>CAMPANHA FEVEREIRO I 15516 I TAYLON SOUTO FERNANDES 13266769627</t>
  </si>
  <si>
    <t>PARAMETRIZAR CAMPANHA I COD 15496 - 16371 I</t>
  </si>
  <si>
    <t>11994 </t>
  </si>
  <si>
    <t>C6 - INSS - WEB NOVO NORMAL LOAS - 88 (TODAS AS TABELAS LOAS E PRAZOS)</t>
  </si>
  <si>
    <t>C6 - INSS - WEB PLUS NOVO NORMAL LOAS - 88 (TODAS AS TABELAS LOAS E PRAZOS)</t>
  </si>
  <si>
    <t>C6 - INSS - WEB NOVO REPR LEGAL (TODAS AS TABELAS E PRAZOS)</t>
  </si>
  <si>
    <t>C6 - INSS - PORTABILIDADE - (TODAS AS TABELAS E PRAZOS)</t>
  </si>
  <si>
    <t>C6 - INSS NOVO (DEMAIS TABELAS E PRAZOS)</t>
  </si>
  <si>
    <t>CAMPANHA 6995 I FEVEREIRO I FACTA I VCTEX</t>
  </si>
  <si>
    <t xml:space="preserve"> </t>
  </si>
  <si>
    <t>PARAMETRIZAR CAMPANHA - 6458</t>
  </si>
  <si>
    <t>PARAMETRIZAR CAMPANHA I JARVIS 6869 I BANCO MASTER I FEVEREIRO</t>
  </si>
  <si>
    <t>PARAMETRIZA CAMPANHA - BANCO FACTA - ID 16896</t>
  </si>
  <si>
    <t>BANCO FACTA TODA A PRODUÇÃO | TODOS OS PRAZOS  | BONUS SERA PAGAO ATÉ A FLEX 2  |CIENTE  QUE NÃO ENTRA NO BONUS  RL E PORT </t>
  </si>
  <si>
    <t>PARAMETRIZAR CAMPANHAS - GC EDVAN - FEVEREIRO 2025</t>
  </si>
  <si>
    <t>FACTA - INSS - TODOS OS PRODUTOS</t>
  </si>
  <si>
    <t>BANCO QUERO MAIS CREDITO - INSS - CARTÃO RMC e CB</t>
  </si>
  <si>
    <t>PARAMETRIZAR CAMPANHA - ID 4336</t>
  </si>
  <si>
    <t>PARAMETRIZAR CAMPANHA - 16239</t>
  </si>
  <si>
    <t>PARAMETRIZAÇÃO CAMPANHA I FEVEREIRO I BANCO FACTA I COD 13929 I - HENRY MATHE ASSESSORIA EM COBRANCA</t>
  </si>
  <si>
    <t>NOVO COM E SEM SEGURO \ MEUCREDBANK\INSS\96 E 84 X</t>
  </si>
  <si>
    <t>PARAMETRIZAR CAMPANHA - 16918</t>
  </si>
  <si>
    <t>MEU CREDBANK - INSS - MEU CREDBANK - INSS - FP - NORMAL - TX 1,80
MEU CREDBANK - INSS - MEU CREDBANK - INSS - FP - SEGURO - TX 1,80
MEU CREDBANK - INSS - MEU CREDBANK - INSS - FP - SEGURO PLUS - TAXA 1,80</t>
  </si>
  <si>
    <t>PARAMETRIZAÇÃO CAMPANHA I FEVEREIRO I BANCO FACTA I COD 14154 I SUB - INVESTE CREDITO LTDA</t>
  </si>
  <si>
    <t>CONFORME REGRAS FACTAS </t>
  </si>
  <si>
    <t>PARAMETRIZAR CAMPANHA - ID 16250</t>
  </si>
  <si>
    <t xml:space="preserve">MEU CREDBANK - INSS - FP - NORMAL - TX 1,80
MEU CREDBANK - INSS - FP - SEGURO - TX 1,80
MEU CREDBANK - INSS - FP - SEGURO PLUS - TAXA 1,80 </t>
  </si>
  <si>
    <t>PARAMETRIZAR CAMPANHA - MEU CREDBANK - ID 4629/11652/14533/16839/16775</t>
  </si>
  <si>
    <t>PARAMETRIZAR CAMPANHA - ID 7640/13977</t>
  </si>
  <si>
    <t>TODA A PRODUÇÃO DO MEU CREDBACK</t>
  </si>
  <si>
    <t>PARAMETRIZAR CAMPANHA - ID 13667 - MEU CRED BANK</t>
  </si>
  <si>
    <t>PRODUCAO TOTAL ATINGIR A META- BONIFICACAO MEU CRED BANK- NOVO-PRAZO MAXIMO</t>
  </si>
  <si>
    <t>PARAMETRIZAR A CAMPANHA - ID 4346 - BANCO FACTA</t>
  </si>
  <si>
    <t>PARAMETRIZAR CAMPANHA - ID 2838 - BANCO LOTUS</t>
  </si>
  <si>
    <t>PARAMETRIZAR CAMPANHA - ID 12378</t>
  </si>
  <si>
    <t>PARAMETRIZAR CAMPANHA - ID 14341</t>
  </si>
  <si>
    <t>14341 </t>
  </si>
  <si>
    <t>PRODUÇAO GERAL</t>
  </si>
  <si>
    <t>PARAMETRIZAR CAMPANHA - ID: 5144 - REF: FEVEREIRO 2025</t>
  </si>
  <si>
    <t>PARAMETRIZAR A CAMPANHA - ID 12105 - BNACO FACTA</t>
  </si>
  <si>
    <t>PARAMETRIZAR CAMPANHA - ID 11009 - FACTA</t>
  </si>
  <si>
    <t>CAMPANHA BANCO FACTA I 13900 I FEVEREIRO I G&amp;S SERVIÇOS LTDA-ME</t>
  </si>
  <si>
    <t>PARAMETRIZAR CAMPANHA - ID 15825/ 15468</t>
  </si>
  <si>
    <t>PARAMETRIZAR A CAMPANHA - BANCO AMIGOZ - ID 15818 / 16763</t>
  </si>
  <si>
    <t xml:space="preserve">03- MARÇO </t>
  </si>
  <si>
    <t>MEU CREDBANK - INSS - FP - SEGURO - TX 1,80 - TODOS os prazos</t>
  </si>
  <si>
    <t xml:space="preserve">PRODUCAO TOTAL CONTABILIZAR-META MASTER PRODUCAO TOTAL </t>
  </si>
  <si>
    <t>PARAMETRIZAR CAMPANHA - ID: 5733</t>
  </si>
  <si>
    <t>PRODUCAO TOTAL ATINGIR A META- BONIFICACAO MEU CRED BANK- NOVO-</t>
  </si>
  <si>
    <t>PARAMETRIZAR CAMPANMHA - ID: 6754 - REF: FEVEREIRO 2025</t>
  </si>
  <si>
    <t xml:space="preserve">PRODUCAO TOTAL ATINGIR A META-BONIFICACAO  NOVO e FGTS  (MEU CRED BANK) </t>
  </si>
  <si>
    <t>PARAMETRIZAR CAMPANHA - ID: 11547 - REF: FEVEREIRO 2025</t>
  </si>
  <si>
    <t>PRODUCAO TOTAL ATINGIR A META - BONIFICACAO NOVO, FGTS e CARTÕES RMC e RCC  (MEU CRED BANK e AMIGOZ).</t>
  </si>
  <si>
    <t>PARAMETRIZAR CAMPANHA - ID: 13450 - REF: FEVEREIRO 2025</t>
  </si>
  <si>
    <t>PARAMETRIZAR CAMPANHA - 8024</t>
  </si>
  <si>
    <t>PRODUCAO TOTAL ATINGIR A META- BONIFICACAO NOVO (MEU CRED BANK).</t>
  </si>
  <si>
    <t>PARAMETRIZAR CAMPANHA - ID 16250 - FACTA</t>
  </si>
  <si>
    <t>PARAMETRIZAR CAMPANHA - 5633</t>
  </si>
  <si>
    <t>PRODUCAO TOTAL ATINGIR A META - bonificação será somente sobre o produto NOVO e FGTS  (MEU CRED BANK).</t>
  </si>
  <si>
    <t>PARAMETRIZAR COMPANHAS - GC URAD - REF: FEVEREIRO 2025</t>
  </si>
  <si>
    <t>MEU CRED BANK – INSS NOVO –96X</t>
  </si>
  <si>
    <t>PARAMETRIZAR CAMPANHA I BANCO FACTA I FEVEREIRO I - E A ANALISE PROMOTORA LTDA</t>
  </si>
  <si>
    <t>PARAMETRIZAR CAMMPANHA I JARVIS 14105 I BANCO QUERO MAIS CRÉDITO I FEVEREIRO</t>
  </si>
  <si>
    <t>QUERO MAIS CRÉDITO-SIAPE</t>
  </si>
  <si>
    <t>PARAMETRIZAÇÃO CAMPANHA I FEVEREIRO I BANCO FACTA I COD 14826</t>
  </si>
  <si>
    <t>PARAMETRIZAÇÃO CAMPANHA I FEVEREIRO I BANCO MASTER I SUB 13749</t>
  </si>
  <si>
    <t>PARAMETRIZAR CAMPANHA I JARVIS 8928 I BANCO VCTEX I FEVEREIRO</t>
  </si>
  <si>
    <t xml:space="preserve">VCTEX-producao total </t>
  </si>
  <si>
    <t>PARAMETRIZAR CAMPANHA - BANCO FACTA - ID 11545</t>
  </si>
  <si>
    <t>Banco Daycoval (Iremos considerar todas as tabela que possuem bonificação )</t>
  </si>
  <si>
    <t>Re: PARAMETRIZAR CAMPANHA - 14129</t>
  </si>
  <si>
    <t>MEU CREDBANK/INSS/NOVOS</t>
  </si>
  <si>
    <t>PARAMETRIZAR CAMPANHA - GC JAQUELYNE - BANCO MEU CREDBANK</t>
  </si>
  <si>
    <t>CAMPANHA FEVEREIRO 15421 I 17.972.259 MIKELY SUMIE CARENO KAWA</t>
  </si>
  <si>
    <t>CAMPANHA FEVEREIRO 15564 I FERNANDA CAROLINA HONORIO</t>
  </si>
  <si>
    <t>CAMPANHA FEVEREIRO 13932 I ELIANA DE FATIMA MELCHIOR DORIA</t>
  </si>
  <si>
    <t>PARAMETRIZAR CAMPANHA I JARVIS BANCO AMIGOZ I FEVEREIRO</t>
  </si>
  <si>
    <t>AMIGOZ -TODAS ( EXCETO PREF RECIFE / TJ MG / JUIZ DE FORA)</t>
  </si>
  <si>
    <t>CAMPANHA FEVEREIRO 16848 I CARINA HELEN RODRIGUES SIVERO</t>
  </si>
  <si>
    <t>CAMPANHA FEVEREIRO I 16783 ANI CHAVES</t>
  </si>
  <si>
    <t>CAMPANHA FEVEREIRO I 9580 BEVALI LTDA</t>
  </si>
  <si>
    <t>PARAMETRIZAR CAMPANHA I JARVIS 15086 I BANCO FACTA I FEVEREIRO</t>
  </si>
  <si>
    <t>CAMPANHA FEVEREIRO I 16892 - SILVA E TERREZZA</t>
  </si>
  <si>
    <t>CAMPANHA FEVEREIRO I 15632 JULIANA OTONI</t>
  </si>
  <si>
    <t>CAMPANHA FEVEREIRO I 11820 LILIANE MARIA DE OLIVEI</t>
  </si>
  <si>
    <t>PARAMETRIZAR CAMPANHA - 5146 - 15233</t>
  </si>
  <si>
    <t>CONTABILIZAR TODA PRODUÇÃO PARA META E REMUNERAR BANCO MASTER GOV DA BAHIA NOVO, MFÁCIL E CREDCESTA.</t>
  </si>
  <si>
    <t>PARAMETRIZAR CAMPANHA I JARVIS 16129 I MEU CRED BANK I FEREIRO</t>
  </si>
  <si>
    <t>16129 </t>
  </si>
  <si>
    <t xml:space="preserve">MEU CREDBANK - INSS - FP - SEGURO PLUS - TAXA 1,80 - TODOS OS PRAZOS
MEU CREDBANK - INSS - FP - SEGURO - TX 1,80 -  TODOS OS PRAZOS
INSS - FP - NORMAL - TX 1,80 - TODOS OS PRAZOS </t>
  </si>
  <si>
    <t>PARAMETRIZAR CAMPANHA - 6425</t>
  </si>
  <si>
    <t xml:space="preserve">Considerar toda produção para atingimento da meta , porém a bonificação será somente sobre os produtos INSS NOVO FACTA E MEUCREDBANK / DEMAIS CONVÊNIOS E DEMAIS PRODUTOS TODOS OS BANCOS , CONVÊNIOS E PRAZOS / CARTÃO (RMC e RCC ) e FGTS .     </t>
  </si>
  <si>
    <t>CAMPANHA FEVEREIRO I 14011 MIX SOLUCOES LTDA</t>
  </si>
  <si>
    <t>PRODUCAO GERAL VCTEX</t>
  </si>
  <si>
    <t>PARAMETRIZAÇÃO CAMPANHA I FEVEREIRO I CODIGO 15304 I FACONN PROMOTORA CORRETORES E AGEN</t>
  </si>
  <si>
    <t>CAMPANHA FEVEREIRO I 14938 I BANCO MASTER</t>
  </si>
  <si>
    <t>PRODUÇÃO GERAL BANCO MASTER</t>
  </si>
  <si>
    <t>FACTA- INSS- NSS NOVO / PORT / REFIN DA PORT /REFIN todas tabelas contemplam campanha</t>
  </si>
  <si>
    <t>CAMPANHA FEVEREIRO I LC NEGOCIOS I 16238</t>
  </si>
  <si>
    <t>PRODUCAO TOTAL BANCO MASTER , EXCETO FGTS E INSS</t>
  </si>
  <si>
    <t>CAMPANHA FEREVEIRO I 13910 I PINHATI ASSESSORIA E NEGOCIOS LTDA</t>
  </si>
  <si>
    <t>CAMPANHA FEVEREIRO I SUB E EXTERNO I SANY CRED INTERMEDIACOES FINANCEIRAS LTDA</t>
  </si>
  <si>
    <t>CAMPANHA FEVEREIRO I 14003 I RODRIGO DE OLIVEIRA ALMEIDA</t>
  </si>
  <si>
    <t>PARAMETRIZAR CAMPANHA - 5146 - 15233</t>
  </si>
  <si>
    <t>PARAMETRIZAR CAMPANHA - BANCO QUERO MAIS CREDITO - ID 3566</t>
  </si>
  <si>
    <t>QUERO MAIS INSS E SIAPE - CARTÃO BENEFÍCIO ( Toda a produção )</t>
  </si>
  <si>
    <t>PARAMETRIZAR CAMPANHA - ID 9971</t>
  </si>
  <si>
    <t>PARAMETRIZAR CAMPANHA - FACTA - ID 3566</t>
  </si>
  <si>
    <t>FACTA INSS  REFIN DA PORT /REFIN /  NOVO / FGTS</t>
  </si>
  <si>
    <t>PARAMETRIZAR CAMPANHA - ID 1452</t>
  </si>
  <si>
    <t xml:space="preserve">PRODUCAO TOTAL EXCETO ITAU </t>
  </si>
  <si>
    <t>PRODUCAO TOTAL – EXCETO BMG-INSS-NOVO-credito 5311</t>
  </si>
  <si>
    <t xml:space="preserve">
PRODUCAO TOTAL ATINGIR A META- BONIFICACAO –TODOS OS BANCOS-INSS-NOVO-84X -DESCONSIDERAR TABELAS QUE CONTAM NA VIP -CREDITO 11938</t>
  </si>
  <si>
    <t>PARAMETRIZAR CAMPANHA - FACTA - ID</t>
  </si>
  <si>
    <t>PRODUÇÃO FACTA   CONFORME CRITÉRIOS E EXCETO TABELA VIP</t>
  </si>
  <si>
    <t>14779 / 14603 / 14456 / 13783</t>
  </si>
  <si>
    <t xml:space="preserve">PRODUCAO TOTAL CRED BANK   - CREDITO 14603 </t>
  </si>
  <si>
    <t>PARAMETRIZAR CAMPANHA - ID 13141 / 13689</t>
  </si>
  <si>
    <t>13141/13689</t>
  </si>
  <si>
    <t>PARAMETRIZAR CAMPANHA - ID 15001/6935</t>
  </si>
  <si>
    <t>PRODUCAO TOTAL ATINGIR A META- BONIFICACAO PRODUCAO TOTAL EXCETO  ITAU NOVO E PORTABILIDADE -CREDITO 15001</t>
  </si>
  <si>
    <t>PARAMETRIZAÇÃO CAMPANHA I FEVEREIRO I 15141 / 1461</t>
  </si>
  <si>
    <t>15141 / 14611</t>
  </si>
  <si>
    <t>PARAMETRIZAR CAMPANHA - 15293</t>
  </si>
  <si>
    <t>MEUCREDBANK / INSS / TODAS TABELAS E PRAZOS</t>
  </si>
  <si>
    <t>PARAMETRIZAR CAMPANHA - 7274</t>
  </si>
  <si>
    <t>PARAMETRIZAR CAMPANHA - 14363</t>
  </si>
  <si>
    <t>PARAMETRIZAR CAMPANHA - 16828</t>
  </si>
  <si>
    <t>PARAMETRIZAR CAMPANHA - 1577</t>
  </si>
  <si>
    <t>PARAMETRIZAÇÃO CAMPANHA I FEVEREIRO I COD 9321 /14244 /13184</t>
  </si>
  <si>
    <t>PARAMETRIZAR CAMPANHA I JARVIS 14291 l BANCO FACTA</t>
  </si>
  <si>
    <t>Re: CAMPANHAS FEV- 25 - REG GLAUCE MONTE - SUB´S</t>
  </si>
  <si>
    <t>olé sobre o estoque de cartão</t>
  </si>
  <si>
    <t>BANCO AMIGOZ - TODOS OS CONVENIOS - PRODUTOS E PRAZOS , COM EXCEÇÃO  CONVENIOS : PREF. JUIZ DE FORA / PREF. RECIFE / TJMG.</t>
  </si>
  <si>
    <t>FACTA -TODAS AS OPERAÇÕES -</t>
  </si>
  <si>
    <t>MEU CASH CARD - TODAS OS PRODUTOS E TABELAS</t>
  </si>
  <si>
    <t>CAMPANHAS FEVEREIRO I ANDRÉ MEDEIROS</t>
  </si>
  <si>
    <t>BANCO QUERO MAIS - FGTS -  TABELA: QUERO MAIS CREDITO - FGTS - QUERO MAIS 10 ANOS SL I - TODOS OS PRAZOS</t>
  </si>
  <si>
    <t>BANCO QUERO MAIS - FGTS -  TABELA: QUERO MAIS CREDITO - FGTS - QUERO MAIS 10 ANOS SL II - TODOS OS PRAZOS</t>
  </si>
  <si>
    <t>BANCO QUERO MAIS - FGTS -  TABELA: QUERO MAIS CREDITO - FGTS - QUERO MAIS 10 ANOS SL III - TODOS OS PRAZOS</t>
  </si>
  <si>
    <t>BANCO QUERO MAIS - FGTS -  TABELA: QUERO MAIS CREDITO - FGTS - QUERO MAIS 10 ANOS SL IV - TODOS OS PRAZOS</t>
  </si>
  <si>
    <t>PARAMETRIZAR CAMPANHA - ID: 13428 - REF: FEVEREIRO 2025</t>
  </si>
  <si>
    <t>TODOS OS BANCOS - NOVO, CARTÕES RMC E RCC - TODOS OS CONVÊNIOS (EXCETO TABELAS QUE ESTIVEREM NO GRUPO VIP)</t>
  </si>
  <si>
    <t>PARAMETRIZAR CAMPANHA - 16859</t>
  </si>
  <si>
    <t>PARAMETRIZAR CAMPANHA I EXTERNO - SUBSTABELECIDO I FEVEREIRO I LM ASSIS I LUCIANE MATIAS</t>
  </si>
  <si>
    <t>BANCO PAN - CBMG, IPSEMG, IPSM, PMMG, SEPLAG - NOVO E REFIN</t>
  </si>
  <si>
    <t>PARAMETRIZAR CAMPANHA - ID 7060</t>
  </si>
  <si>
    <t>BANCO MASTER E SAFRA - TODA A PRODUÇÃO</t>
  </si>
  <si>
    <t>PARAMETRIZAR CAMPANHA - ID 16825 - BANCO FACTA</t>
  </si>
  <si>
    <t>PARAMETRIZAR CAMPANHA - ID 695</t>
  </si>
  <si>
    <t>BANCO PAN - SEPLAG, PMMG, IPSM, IPSEMG, PREF. BH - NOVO - 120x</t>
  </si>
  <si>
    <t>PRODUCAO TOTAL ATINGIR A META-BONIFICACAO PRODUCAO TOTAL EXCETO ITAU E CREDBANCK-CREDITO 7460</t>
  </si>
  <si>
    <t>PARAMETRIZAR CAMPANHA - ID 4629/11652 - BANCO BMG</t>
  </si>
  <si>
    <t>BMG-INSS/NOVO/PRAZO MAXIMO/ TODAS AS TABELAS ( EXCETO TABELAS LOAS )</t>
  </si>
  <si>
    <t>4310 / 13955</t>
  </si>
  <si>
    <t>BANCO MEU CREDBANK - INSS - TODAS AS TABELAS - 84x</t>
  </si>
  <si>
    <t>PARAMETRIZAR CAMPANHAS - GC EDVAN - REF: FEVEREIRO 2025</t>
  </si>
  <si>
    <t>PARAMETRIZAR CAMPANHA DANILO I COD 13113 I QFZ SOLUCOES E INTERMEDIACOES LTDA</t>
  </si>
  <si>
    <t>Considerar apenas tabela - MEU CREDBANK - INSS - FP - NORMAL - TX 1,80</t>
  </si>
  <si>
    <t>TODA PRODUÇAO DE INSS EXCETO -  MEU CREDBANK - INSS - FP - NORMAL - TX 1,80</t>
  </si>
  <si>
    <t>PARAMETRIZAÇÃO CAMPANHA DANILO I COD 13368 I D&amp;D ASSESSORIA I FEVEREIRO</t>
  </si>
  <si>
    <t xml:space="preserve">FACTA-CONFORME CAMPANHA DO BANCO </t>
  </si>
  <si>
    <t>MASTER-CARTÃO RMC E CARTÃO BENEFICIO CONFORME POLITICA DE CAMPANHA DO BANCO</t>
  </si>
  <si>
    <t>PARAMETRIZAR CAMPANHA I JARVIS 16895 I BANCO QUERO MAIS CREDITO I FEVEREIRO</t>
  </si>
  <si>
    <t>CARTOES RMC E RCC / QUERO MAIS CREDITO/ SIAP/INSS/GOVERNO DO CEARA</t>
  </si>
  <si>
    <t>PARAMETRIZAR CAMPANHA I JARVIS 11937</t>
  </si>
  <si>
    <t>C6 - INSS - LOAS 84X</t>
  </si>
  <si>
    <t>C6 - INSS - REPRESENTANTE  LEGAL 84X </t>
  </si>
  <si>
    <t>FACTA CONFORME REGULAMENNTO -INSS</t>
  </si>
  <si>
    <t>FACTA - INSS - CONTRATO NOVO TODOS OS PRAZOS </t>
  </si>
  <si>
    <t>PARAMETRIZAR CAMPANHA I JARVIS 16982 I BANCO FACTA I FEVEREIRO</t>
  </si>
  <si>
    <t>PARAMETRIZAR CAMPANHA I JARVIS 16055 l BANCO FACTA</t>
  </si>
  <si>
    <t>PARAMETRIZAR CAMPANHA I JARVIS 15908 l BANCO VCTEX</t>
  </si>
  <si>
    <t>sobre a produção VCTEX, EXCETO AS TABELAS VCT</t>
  </si>
  <si>
    <t>PARAMETRIZAR CAMPANHA I JARVIS 11301 l BANCO FACTA</t>
  </si>
  <si>
    <t>PARAMETRIZAR CAMPANHA I JARVIS 13007 l BANCO FACTA</t>
  </si>
  <si>
    <t>Meu CREDBANK	-TODA PRODUÇAO DE FGTS</t>
  </si>
  <si>
    <t>BANCO MEU CREDBANK - INSS - TODAS AS TABELAS</t>
  </si>
  <si>
    <t>BANCO MEU CREDBANK - INSS - TODAS AS TABELAS - 84x e 96x</t>
  </si>
  <si>
    <t>Produção total atingir a meta- bonificação BONIFICACAO QUERO MAIS TODA PRODUCAO</t>
  </si>
  <si>
    <t>BANCO MASTER - REFIN / CARTÃO RMC / CARTÃO RCC - TODA A PRODUÇÃO</t>
  </si>
  <si>
    <t>BANCO MASTER - NOVO - TODA A PRODUÇÃO</t>
  </si>
  <si>
    <t xml:space="preserve">PRODUCAO TOTAL CONTABILIZAR A META
BONIFICAÇÃO PARA - BANCO MASTER - GOV. BA - NOVO - 120x | CARTÃO RCC - TODOS OS PRAZOS </t>
  </si>
  <si>
    <t>PARAMETRIZAR CAMPANHA I GRUPO ARKAD</t>
  </si>
  <si>
    <t>FACTA CONFORME REGULAMENTO -credito 15896.</t>
  </si>
  <si>
    <t>16794 </t>
  </si>
  <si>
    <t>12932 </t>
  </si>
  <si>
    <t>MEU CREDBANK - INSS - NOVO - 84x e 96x</t>
  </si>
  <si>
    <t>PARAMETRIZAR CAMPANHA - 3446</t>
  </si>
  <si>
    <t>PAN-NOVO-REFIN-SEPLAG, PMMG, CBMG, IPSEMG, IPSM E DEF PUBLICA</t>
  </si>
  <si>
    <t>MASTER- PRODUCAO TOTAL EXCETO INSS, FGTS E GOV PE</t>
  </si>
  <si>
    <t>PARAMETRIZAR CAMPANHA I JARVIS 16572 I BANCO MASTER</t>
  </si>
  <si>
    <t>BANCO MASTER SOMENTE EMPRÉSTIMOS GOV RIO - TODOS OS PRAZOS</t>
  </si>
  <si>
    <t>PARAMETRIZAR CAMPANHA I FEVEREIRO I COD 14993</t>
  </si>
  <si>
    <t xml:space="preserve">QUERO +.PRODUCAO TOTAL </t>
  </si>
  <si>
    <t xml:space="preserve">MASTER- PRODUCAO TOTAL EXCETO INSS, FGTS </t>
  </si>
  <si>
    <t>PARAMETRIZAR CAMPANHA - ID: 19720 - REF: MARÇO 2025</t>
  </si>
  <si>
    <t>CAMPANHA MEUCREDBANK I ANDRÉ MEDEIROS</t>
  </si>
  <si>
    <t>PARAMETRIZAR CAMPANHA -DANILO I FEVEREIRO I DIRECT X</t>
  </si>
  <si>
    <t>PARAMETRIZAR CAMPANHA - DANILO I FEVEREIRO I COD 13560</t>
  </si>
  <si>
    <t>FACTA NOVO / PORT / REFIN PORT</t>
  </si>
  <si>
    <t>PARAMETRIZA CAMPANHA - ANDRE I FEVEREIRO I 16418</t>
  </si>
  <si>
    <t>16418 </t>
  </si>
  <si>
    <t>Banco Amigoz – Cartão e Cartão Benefício – INSS – Todas as Tabelas</t>
  </si>
  <si>
    <t>PARAMETRIZAR COMPANHA - ANDRE I FEVEREIRO I 15664</t>
  </si>
  <si>
    <t>GOV CEARÁ - BANCO QUERO + CRÉDITO.  -TODOS OS PRODUTOS E PRAZOS</t>
  </si>
  <si>
    <t>QUERO + CARTAO INSS RMC CARTAO SAQUE - TODOS OS PRAZOS
QUERO + CARTAO BENEFICIO RCC INSS SAQUE - TODOS OS PRAZOS
QUERO + CARTAO INSS CARTAO RMC SAQUE REP LEGAL- TODOS OS PRAZOS
QUERO + CARTAO BENEFICIO RCC INSS REP. LEGAL SAQUE - TODOS OS PRAZOS</t>
  </si>
  <si>
    <t>QUERO + CARTAO BENEFICIO INSS LOAS SAQUE - TODOS OS PRAZOS
QUERO + CARTAO INSS LOAS SAQUE - TODOS OS PRAZOS
QUERO + CARTAO BENEFICIO INSS REP. LEGAL LOAS SAQUE - TODOS OS PRAZOS
QUERO + CARTAO INSS REP. LEGAL LOAS SAQUE - TODOS OS PRAZOS</t>
  </si>
  <si>
    <t xml:space="preserve">PRODUCAO TOTAL ATINGIR A E META E BONIFICACAO - EXCETO BONIFICACAO BMG </t>
  </si>
  <si>
    <t>TODOS OS BANCOS - INSS -TODOS OS PRODUTOS - TODOS OS PRAZOS</t>
  </si>
  <si>
    <t>PARAMETRIZAR CAMPANHA - BANCO MASTER - ID 15244</t>
  </si>
  <si>
    <t>TODA A PRODUÇÃO DO BANCO MASTER</t>
  </si>
  <si>
    <t>PARAMETRIZAR CAMPANHA - DANILO I FEVEREIRO I COD 15463/5407</t>
  </si>
  <si>
    <t>PAGAR BÔNUS SOBRE TODA PRODUÇÃO -credito 5407</t>
  </si>
  <si>
    <t>PARAMETRIZAR CAMPANHA I JARVIS 16516 I BANCO FACTA</t>
  </si>
  <si>
    <t>PARAMETRIZAR CAMPANHA - ID 9212 - BANCO FACTA / MEU CRED BANK</t>
  </si>
  <si>
    <t>MEU CRED BANK - INSS - 84 X / 96X</t>
  </si>
  <si>
    <t>FACTA - PRODUÇÃO TOTAL ( Conforme parâmetro do banco )</t>
  </si>
  <si>
    <t>INCLUSÃO DE CÓDIGO I CAMPANHA ATIVA I BANCO FACTA</t>
  </si>
  <si>
    <t>PARAMETRIZAR CAMPANHA - DANILO I BANCO VCTEX I FEVEREIRO I WE SOLUCOES FINANCEIRAS LTDA</t>
  </si>
  <si>
    <t>PARAMETRIZAR CAMPANHA I JARVIS 6846 I MEUCREDBANK</t>
  </si>
  <si>
    <t>TODA PRODUÇÃO MEU CREDBANK</t>
  </si>
  <si>
    <t>12291/16101</t>
  </si>
  <si>
    <t>PARAMETRIZAR CAMPANHA I JARVIS 16475 I QUERO MAIS CREDITO</t>
  </si>
  <si>
    <t>PARAMETRIZAR CAMPANHA I JARVIS 15980 I BANCO DAYCOVAL</t>
  </si>
  <si>
    <t>15942 / 9207 / 15896 / 16893</t>
  </si>
  <si>
    <t>BANCO LOTUS - FGTS - TODA A PRODUÇÃO</t>
  </si>
  <si>
    <t>BANCO MASTER - GOV. BA - TODA A PRODUÇÃO</t>
  </si>
  <si>
    <t>BANCO AMIGOZ - TODA A PRODUÇÃO (EXCETO PREF. JF / PREF. RECIFE E TJMG)</t>
  </si>
  <si>
    <t>TODA A PRODUÇÃO (EXCETO BMG) - CREDITO 15825</t>
  </si>
  <si>
    <t>15825 / 15468</t>
  </si>
  <si>
    <t>15818 / 16763</t>
  </si>
  <si>
    <t>PARAMETRIZAR CAMPANHA - ID 9994 - BANCO FACTA</t>
  </si>
  <si>
    <t>BANCO FACTA - CONFORME PARAMETRO BANCO</t>
  </si>
  <si>
    <t>PRODUCAO TOTAL ATINGIR A META - BONIFICACAO BANCO MEU CREDBANK - TODA A PRODUÇÃO</t>
  </si>
  <si>
    <t>PRODUCAO TOTAL ATINGIR A META - BONIFICACAO BANCO MEU CREDBANK E LOTUS - TODA A PRODUÇÃO</t>
  </si>
  <si>
    <t>PARAMETRIZAR CAMPANHA ID: 7566 - REF: FEVEREIRO</t>
  </si>
  <si>
    <t>C6 BANK - INSS - C6 BANK - INSS - DIGITAL WEB NOVO NORMAL PCT BEN. (210148) - TAXA 1,80% (ACIMA DE DE 18.000,01)
C6 BANK - INSS - C6 BANK - INSS - DIGITAL WEB NOVO NORMAL PCT BEN. (210148) - TAXA 1,80% (ATE 10.000,00)</t>
  </si>
  <si>
    <t>PARAMETRIZAR CAMPANHA - BANCO DAYCOVAL - ID 11652</t>
  </si>
  <si>
    <t>DAYCOVAL - NOVO - INSS/PRAZO 84 E 96X</t>
  </si>
  <si>
    <t xml:space="preserve"> BANCO MASTER NOVO GOV DA BAHIA MFÁCIL E CREDCESTA, </t>
  </si>
  <si>
    <t>17038 </t>
  </si>
  <si>
    <t xml:space="preserve">MEUCREDBANK PRODUCAO TOTAL </t>
  </si>
  <si>
    <t>PARAMETRIZAR CAMAPANHA I JARVIS 17038 I MEU CRED BANK</t>
  </si>
  <si>
    <t>PARAMETRIZAÇÃO CAMPANHA I MARÇO I SUB - NAIARA DA SILVA AMARAL</t>
  </si>
  <si>
    <t>PARAMETRIZAR CAMPANHA - ID: 6340</t>
  </si>
  <si>
    <t>PARAMETRIZAR CAMPANHA - 15557</t>
  </si>
  <si>
    <t>PARAMETRIZAÇÃO CAMPANHA I MARÇO I BANCO FACTA I SUB - NM2 PRESTADORA DE SERVICOS ADMINIS I 13.527.489/0001-04</t>
  </si>
  <si>
    <t>PARAMETRIZAR CAMPANHA - ID 8835 - REEMBOLSO DE TED</t>
  </si>
  <si>
    <t>REMBOLSO DE TED</t>
  </si>
  <si>
    <t>r$ 32,00</t>
  </si>
  <si>
    <t>PARAMETRIZAR CAMPANHAS - ID 16844 - MEU CREDBANK - REF MARÇO</t>
  </si>
  <si>
    <t xml:space="preserve">	MEU CREDBANK - INSS - MEU CREDBANK - INSS - FP - SEGURO PLUS - TAXA 1,80
	MEU CREDBANK - INSS - MEU CREDBANK - INSS - FP - SEGURO PLUS - TAXA 1,80
	MEU CREDBANK - INSS - MEU CREDBANK - INSS - FP - NORMAL - TX 1,80</t>
  </si>
  <si>
    <t>PARAMETRIZAR CAMPANHA - ID: 16726 -</t>
  </si>
  <si>
    <t>PARAMETRIZAR CAMPANNHA - BANCO FACTA - ID 17026 REF MARÇO</t>
  </si>
  <si>
    <t>PARAMETRIZAR CAMPANHA - BANCO FACTA - ID 15292</t>
  </si>
  <si>
    <t>CAMPANHA I MARÇO I 14031 SUB - RIZOMA SOLUCOES I MEUCREDBANK</t>
  </si>
  <si>
    <t>14031 </t>
  </si>
  <si>
    <t>banco Meu Credbank - Novo - FGTS  - parcelas todas </t>
  </si>
  <si>
    <t>PARAMETRIZAR CAMPANHA I JARVIS 16995 I BANCO FACTA</t>
  </si>
  <si>
    <t>PARAMETRIZAR CAMPANHA - ID 7274 - FACTA - REF MARÇO</t>
  </si>
  <si>
    <t>PARAMETRIZAR CAMPANHA - ID: 14194 - REF: FEVEREIRO 2024</t>
  </si>
  <si>
    <t>TODA A PRODUÇÃO - A CADA 500K, SERÁ PAGO O VALOR DO PRÊMIO - CREDITO 13141</t>
  </si>
  <si>
    <t>13750 / 13560</t>
  </si>
  <si>
    <t>CONTABILIZAR TODA PRODUÇÃO - REMUNERAR APENAS BANCO MASTER - GOV BA</t>
  </si>
  <si>
    <t>BANCO MEU CREDBANK - TODA A PRODUÇÃO</t>
  </si>
  <si>
    <t>CONTABILIZAR TODA PRODUÇÃO PARA META - REMUNERAR PARA MEU CREDBANK / NOVO / TODAS TABELAS E PRAZOS</t>
  </si>
  <si>
    <t>CONTABILIZAR TODA PRODUÇÃO PARA META - REMUNERAR PARA MEU CREDBANK / INSS / TODAS TABELAS E PRAZOS</t>
  </si>
  <si>
    <t>CONTABILIZAR TODA PRODUÇÃO PARA META E REMUNERAR PARA:
BANCOS FACTA E MEUCREDBANK - INSS - NOVO
PRODUÇÃO TOTAL DE CARTÃO RMC E RCC
PRODUÇÃO TOTAL FGTS</t>
  </si>
  <si>
    <t>BANCO MASTER - GOV BA - TODOS OS PRAZOS E PRODUTOS
BANCO PAN E SAFRA - GOV BA - 120x</t>
  </si>
  <si>
    <t>PARAMETRIZAR CAMPANHA - ID: 10293 - REF: MARÇO 2025</t>
  </si>
  <si>
    <t>Presença Bank – NOVO – Prazo 96x – INSS – Todas as Tabelas</t>
  </si>
  <si>
    <t>CAMPANHA BANCO FACTA I MARÇO I 14291 - SOUZA &amp; BATALINI SOCIEDADE LTDA</t>
  </si>
  <si>
    <t>PARAMETRIZAR CAMPANHA - ID 1427 - BANCO FACTA</t>
  </si>
  <si>
    <t>FACTA INSS-NOVO E REFIN DE PORT</t>
  </si>
  <si>
    <t>CAMPANHA BANCO FACTA I MARÇO I 11301 - LUIZ ANTONIO MAIA LTDA</t>
  </si>
  <si>
    <t>PARAMETRIZAR CAMPANHA - PRESENÇA BANK - ID 7274/14876</t>
  </si>
  <si>
    <t>PRESENÇA BANK / INSS / TODAS TABELAS,PRAZO</t>
  </si>
  <si>
    <t>CAMPANHA QUERO MAIS CRÉDITO I MARÇO I 8816 - POUPACRED PROCESSAMENTO DE DADOS</t>
  </si>
  <si>
    <t>CAMPANHA BANCO FACTA I MARÇO I 13007 - SORROCHE SOLUCOES FINANCEIRAS LTDA</t>
  </si>
  <si>
    <t>PARAMETRIZAR CAMPANHA - ID: 13016 - REF: MARÇO 2025</t>
  </si>
  <si>
    <t>MASTER SOMENTE EMPRÉSTIMOS GOV RIO - TODOS OS PRAZOS</t>
  </si>
  <si>
    <t>PARAMETRIZAR CAMPANHA - BANCO FACTA - ID 4097</t>
  </si>
  <si>
    <t>PARAMETRIZAR CAMPANHA - ID: 13446 - REF: MARÇO 2025</t>
  </si>
  <si>
    <t>PARAMETRIZAR CAMPANHA - ID: 14363 - REF: MARÇO 2025</t>
  </si>
  <si>
    <t>PARAMETRIZAÇÃO CAMPANHA I MARÇO I COD 17069 I MAICON RICARDO BARBIERI EVARISTO I 37.034.284/0001-47</t>
  </si>
  <si>
    <t>PARAMETRIZAÇÃO CAMPANHA BANCO FACTA I MARÇO I COD 8880 I PERALTA &amp; CASTRO LTDA</t>
  </si>
  <si>
    <t>PARAMETRIZAR CAMPANHA FACTA E VCTEX I COD 16982 I 45.441.244 MARCIA REGINA PARDO BEL</t>
  </si>
  <si>
    <t>PRODUÇÃO GERAL VCTEX</t>
  </si>
  <si>
    <t>PARAMETRIZAÇÃO CAMPANHA I BANCO FACTA E VCTEX I COD 6995 I FRANCIS &amp; OLIVEIRA SERVICOS CADAST</t>
  </si>
  <si>
    <t>PRODUÇÃO GERAL VCTEX-menos VCT</t>
  </si>
  <si>
    <t>CAMPANHA BANCO FACTA I MARÇO I 17101 - J. DE OLIVEIRA BISPO LTDA</t>
  </si>
  <si>
    <t>PARAMETRIZAÇÃO CAMPANHA I BANCO FACTA E VCTEX I MARÇO I COD 10426 I MARIA DE JESUS SILVA OLIVEIRA</t>
  </si>
  <si>
    <t>BANCO MASTER PRODUCAO TOTAL - EXCETO FGTS E INSS</t>
  </si>
  <si>
    <t>12378/ 16872</t>
  </si>
  <si>
    <t>PRODUCAO TOTAL EXCETO - PAN -PAGAMENTO 6839</t>
  </si>
  <si>
    <t>PARAMETRIZAR CAMPANHA - 16763</t>
  </si>
  <si>
    <t>PRODUCAO TOTAL  AMIGOS, exceto Prefeitura de Juiz de Fora / Prefeitura de Recife e TJ.</t>
  </si>
  <si>
    <t>15980 </t>
  </si>
  <si>
    <t>DAYCOVAL-SOBRE O QUE RECEBEMOS DO BANCO</t>
  </si>
  <si>
    <t>PARAMETRIZAR CAMPANHA I JARVIS 15980 I BANCO FACTA</t>
  </si>
  <si>
    <t>PARAMETRIZAR CAMPANHA I JARVIS 13131 I BANCO MASTER</t>
  </si>
  <si>
    <t>PRODUCAO TOTAL MASTER</t>
  </si>
  <si>
    <t>PARAMETRIZAR CAMPANHA I MARÇO I BANCO FACTA I NOBRE PROMOTORA LTDA I 49.808.844/0001-52</t>
  </si>
  <si>
    <t>PARAMETRIZAR CAMPANHA I JARVIS 17017 I BANCO FACTA</t>
  </si>
  <si>
    <t>PRODUCAO TOTAL CONTABILIZAR ,BONIFICACAO  MARGEM LIVRE TODOS CONVENIOS  -CREDITO 11449</t>
  </si>
  <si>
    <t>PARAMETRIZAR CAMAPNHA - ID: 6736 - REF: MARÇO 2025</t>
  </si>
  <si>
    <t>Fwd: CAMPANHA BANCO MASTER | JARVIS 6905</t>
  </si>
  <si>
    <t>02-FEVEREIRO</t>
  </si>
  <si>
    <t>MASTER- M FACIL E CREDCESTA,  prefeitura de UBERABA, IPSERV E CODAU em todas as tabelas e prazos.</t>
  </si>
  <si>
    <t>BANCO PAN - NOVO -TODOS OS PRAZOS(SEPLAG / PMMG / IPSM / IPSEMG / PREF. BELO HORIZONTE)</t>
  </si>
  <si>
    <t>PARAMETRIZAR CAMPANHA - 3496</t>
  </si>
  <si>
    <t>BANCO QUERO MAIS CRÉDITO - INSS - CARTÃO RMC e CB</t>
  </si>
  <si>
    <t>BANCO MEU CREDBANK - INSS - PRAZO MÁXIMO</t>
  </si>
  <si>
    <t>PARAMETRIZA CAMPANHA - ID 1818</t>
  </si>
  <si>
    <t xml:space="preserve">TODA A PRODUÇÃO ATINGIMENTO DA META - BONIFICAÇÃO TODA A PRODUÇÃO - EXCETO INSS - NOVO /REFIN / CARTÕES - TODOS OS PRAZOS </t>
  </si>
  <si>
    <t>TODA A PRODUÇÃO - DESCONSIDERANDO TABELAS QUE CONSTAM NA VIP</t>
  </si>
  <si>
    <t xml:space="preserve">TODA A PRODUÇÃO-DESCONSIDERANDO TABELAS QUE CONSTAM NA VIP </t>
  </si>
  <si>
    <t>PRODUÇÃO TOTAL ATINGIR A META-BONIFICAÇÃO PRODUÇÃO TOTAL EXCETO ITAU E CREDBANK</t>
  </si>
  <si>
    <t>BANCO PAN - NOVO / REFIN / COMPRA - TODOS OS CONVÊNIOS (EXCETO: FGTS / INSS / GOV. PR / SIAPE) - TODOS OS PRAZOS</t>
  </si>
  <si>
    <t>BANCO PAN - FGTS</t>
  </si>
  <si>
    <t>BANCO PAN - FGTS - APENAS NAS TABELAS NORMAIS</t>
  </si>
  <si>
    <t>10497 / 16708</t>
  </si>
  <si>
    <t>TODOS OS BANCOS - INSS / FGTS - TODOS OS PRODUTOS E PRAZOS</t>
  </si>
  <si>
    <t>TODA A PRODUÇÃO PARA ATINGIR A META - BONIFICAÇÃO PARA C6 – INSS - NOVO - 96X - TODAS AS TABELAS (EXCETO AS FLEX)</t>
  </si>
  <si>
    <t>TODA A PRODUÇÃO PARA ATINGIMENTO - BONIFICAÇÃO PARA BANCO QUERO MAIS - TODA A PRODUÇÃO</t>
  </si>
  <si>
    <t xml:space="preserve">TODA A PRODUÇÃO PARA ATINGIMENTO - BONIFICAÇÃO PARA BANCO FACTA - INSS - NOVO - TODOS OS PRAZOS </t>
  </si>
  <si>
    <t>BANCO DAYCOVAL - TODAS AS TABELAS QUE RECEBEMOS CAMPANHA</t>
  </si>
  <si>
    <t>PAN E QUERO MAIS - INSS - CARTÕES | C6 - INSS - PORTABILIDADE | BMG E FACTA - INSS - NOVO - PRAZO MAXIMO</t>
  </si>
  <si>
    <t xml:space="preserve">FACTA -INSS
PRODUÇÃO TOTAL – DESCONSIDERANDO C6 E MASTER(GOV DA BAHIA) </t>
  </si>
  <si>
    <t>BANCO FACTA - FGTS E INSS - CONFORME REGULAMENTO</t>
  </si>
  <si>
    <t>BANCO FACTA - NOVO - CONFORME REGULAMENTO</t>
  </si>
  <si>
    <t>CONFORME REGRAS FACTA-CREDIT 13750</t>
  </si>
  <si>
    <t>CONTABILIZAR TODA PRODUÇÃO PARA META E REMUNERAR PARA:
BANCOS FACTA E MEUCREDBANK - INSS - NOVO
PRODUÇÃO TOTAL DE CARTÃO RMC E RCC
PRODUÇÃO TOTAL FGTS-CREDITO 9321</t>
  </si>
  <si>
    <t>70% DO QUE RECEBEMOS DE BONUS DO BANCO.</t>
  </si>
  <si>
    <t>FILIA BH2</t>
  </si>
  <si>
    <t>R$ 160,00</t>
  </si>
  <si>
    <t>1,80%</t>
  </si>
  <si>
    <t>PARAMETRIZAR CAMPANHAS - ID 11547 / 10822 / 6462</t>
  </si>
  <si>
    <t>CAMPANHA BANCO FACTA I 15942</t>
  </si>
  <si>
    <t>PARAMETRIZAR CAMPANHA - BANCO MEU CREDBANK - ID 13667</t>
  </si>
  <si>
    <t>Re: CAMPANHA MES MARÇO 25 - FACTA - GM PROMOTORA 16988 (ERICK VIEIRA)</t>
  </si>
  <si>
    <t>TRIMESTRAL</t>
  </si>
  <si>
    <t>CAMPANHA FACTA I 15730 - SUB - E A ANALISE PROMOTORA LTDA</t>
  </si>
  <si>
    <t>PARAMETRIZAR CAMPANHA I 3422 I 6894</t>
  </si>
  <si>
    <t>PRODUCAO TOTAL -CREDITO 3422</t>
  </si>
  <si>
    <t>CAMPANHA - BANCO FACTA - ID 13560 / 13750</t>
  </si>
  <si>
    <t>CAMPANHAS MARÇO I DANILO FERREIRA</t>
  </si>
  <si>
    <t>14003 </t>
  </si>
  <si>
    <t>PARAMETRIZAR CAMPANHA - CHRISTIANE ARAUJO</t>
  </si>
  <si>
    <t>15366 </t>
  </si>
  <si>
    <t>15602 </t>
  </si>
  <si>
    <t>MEU CREDBANK – INSS – NOVO PRODUÇÃO TOTAL 96 X</t>
  </si>
  <si>
    <t>MEU CREDBANK – INSS – TODOS – 84 X E 96 X</t>
  </si>
  <si>
    <t>PARAMETRIZAR CAMPANHA - BANCO FACTA - ID 14194</t>
  </si>
  <si>
    <t>PARAMETRIZAR CAMPANHA - BANCO FACTA - 14779 / 14603 / 14456 / 13783</t>
  </si>
  <si>
    <t>PARAMETRIZAR CAMPANHA - 16537</t>
  </si>
  <si>
    <t>500 mil</t>
  </si>
  <si>
    <t>PARAMETRIZAR CAMPANHA - BANCO CRED BANK</t>
  </si>
  <si>
    <t>PARAMETRIZAR CAMPANHA - ID 3566 - BANCO FACTA</t>
  </si>
  <si>
    <t>PARAMETRIZAR CAMPANHA I JARVIS 15664 I BANCO MASTER</t>
  </si>
  <si>
    <t>PARAMETRIZAR CAMPANHA - ID: 7566 - MARÇO 2025</t>
  </si>
  <si>
    <t>Englobar toda produção para meta e remunerar produção Meu CredBank novos.</t>
  </si>
  <si>
    <t>PARAMETRIZAR CAMPANHA I JARVIS 11995 I BANCO FACTA</t>
  </si>
  <si>
    <t>PARAMETRIZAR CAMPANHA - ID: 17062</t>
  </si>
  <si>
    <t>PARAMETRIZAR CAMPANHA - BANCO MEUCREDBANK - ID 6458</t>
  </si>
  <si>
    <t>MEU CREDBANK - INSS - NOVO - TODOS OS PRAZOS</t>
  </si>
  <si>
    <t>PARAMETRIZAR CAMPANHA - ID 14496 - BANCO FACTA</t>
  </si>
  <si>
    <t>PARAMETRIZAR CAMPANHA - REF MARÇO - EDVAN</t>
  </si>
  <si>
    <t>05-MAIO</t>
  </si>
  <si>
    <t>MEU CREDBANK – INSS NOVO -84-96 X</t>
  </si>
  <si>
    <t>CONTABILIZAR TODA PRODUÇÃO PARA META E REMUNERAR BANCO MASTER GOV DA BAHIA NOVO, PREF SALVADOR,  MFÁCIL E CREDCESTA.</t>
  </si>
  <si>
    <t>DAYCOVAL - NOVO - INSS- 84x  e 96</t>
  </si>
  <si>
    <t>RENOVAÇÃO DE CAMPANHA I BANCO VCTEX I 16979 - WE SOLUCOES FINANCEIRAS LTDA</t>
  </si>
  <si>
    <t>PRODUÇÃO TOTAL VCTEX</t>
  </si>
  <si>
    <t>CAMPANHA BANCO FACTA I 7677 I MARÇO</t>
  </si>
  <si>
    <t>PARAMETRIZAR CAMPANHA - ID: 15233 - REF: MARÇO 2025</t>
  </si>
  <si>
    <t>PARAMETRIZAÇÃO CAMPANHA I BANCO FACTA I COD 16358</t>
  </si>
  <si>
    <t>PARAMETRIZAR CAMPANHA - ID: 12310</t>
  </si>
  <si>
    <t>PARAMETRIZAR CAMPANHA I COD 15086 -5804 I D VALOR - PF</t>
  </si>
  <si>
    <t>15086  </t>
  </si>
  <si>
    <t>BANCO MEU CREDBANK - INSS - TODAS AS TABELAS - 84x </t>
  </si>
  <si>
    <t>MEU CASH CARD - TODAS OS PRODUTOS E TABELAS </t>
  </si>
  <si>
    <t>PARAMETRIZAR CAMPANHA - 14905</t>
  </si>
  <si>
    <t>PARAMETRIZAR CAMPANHA - 16114 / 16898 (SUB)</t>
  </si>
  <si>
    <t>16114 / 16898</t>
  </si>
  <si>
    <t>100 mil</t>
  </si>
  <si>
    <t>PARAMETRIZAR CAMPANHA - 17044 / 17102 (SUB)</t>
  </si>
  <si>
    <t>17044 / 17102</t>
  </si>
  <si>
    <t>PARAMETRIZAR CAMPANHA - 9931</t>
  </si>
  <si>
    <t>PARAMETRIZAR CAMPANHA - 16761</t>
  </si>
  <si>
    <t>PARAMETRIZAR CAMPANHA I JARVIS 15141 I BANCO MASTER</t>
  </si>
  <si>
    <t>15141 / 14611</t>
  </si>
  <si>
    <t>PARAMETRIZAR CAMPANHA I JARVIS 13977 I BANCO FACTA</t>
  </si>
  <si>
    <t>PARAMETRIZAR CAMPANHA I JARVIS 16129 I BANCO MEU CRED BANK</t>
  </si>
  <si>
    <t xml:space="preserve">MEU CREDBANK - INSS - FP - SEGURO PLUS - TAXA 1,80 - TODOS OS PRAZOS
MEU CREDBANK - INSS - FP - SEGURO - TX 1,80 -  TODOS OS PRAZOS
INSS - FP - NORMAL - TX 1,80 - TODOS OS PRAZOS </t>
  </si>
  <si>
    <t>PARAMETRIZAÇÃO CAMPANHA l BANCO FACTA l CÓDIGO 16474</t>
  </si>
  <si>
    <t>CAMPANHAS MARÇO I DIRETOR DANILO FERREIRA I GC THAIS MELO</t>
  </si>
  <si>
    <t>PARAMETRIZAR CAMPANHA - 4367</t>
  </si>
  <si>
    <t>PARAMETRIZAÇÃO CAMPANHA l BANCO FACTA l CÓDIGO 15516</t>
  </si>
  <si>
    <t>PARAMETRIZAÇÃO CAMPANHA l BANCO CRED BANK E FACTA l CÓDIGO 16871 e 13446</t>
  </si>
  <si>
    <t>PARAMETRIZAR CAMPANHA I COD 15086 -5804 I D VALOR - PF</t>
  </si>
  <si>
    <t>PRODUCAO TOTAL PARA CONTABILIZAR. META  BANCO MASTER GOV DA BAHIA NOVO, MFÁCIL E CREDCESTA ( EXCETO TABELAS QUE POSSUEM REGRA GRUPO001)</t>
  </si>
  <si>
    <t>PRODUCAO TOTAL PARA CONTABILIZAR META MASTER NOVO GOV DA BAHIA, PREF. SSA, MFÁCIL E CREDCESTA, EXCETO  INSS-CREDITO 15141</t>
  </si>
  <si>
    <t>CAMPANHA QUERO MAIS CRÉDITO I 15874 IMETA SOLUÇÕES DE CRÉDITO E SERVIÇO I MARÇO</t>
  </si>
  <si>
    <t>QUERO MAIS/ INSS/CARTÃO RMC/CARTÃO BENEFÍCIO/ TODAS AS TABELAS</t>
  </si>
  <si>
    <t>CAMPANHAS MARÇO I DIRETOR DANILO FERREIRA I GC DANIELA PRADO I GC RAFAEL BICALHO</t>
  </si>
  <si>
    <t>MASTER PRODUCAO TOTAL  - EXCETO FGTS E INSS</t>
  </si>
  <si>
    <t>CAMPANHAS MARÇO I ANDRÉ MEDEIROS</t>
  </si>
  <si>
    <t>17055 </t>
  </si>
  <si>
    <t>14826 </t>
  </si>
  <si>
    <t>16996 </t>
  </si>
  <si>
    <t xml:space="preserve">MASTER-PRODUCAO TOTAL </t>
  </si>
  <si>
    <t>PARAMETRIZAR CAMPANHA - 2838</t>
  </si>
  <si>
    <t>toda produção lotus</t>
  </si>
  <si>
    <t>PARAMETRIZAR CAMPANHA - 7460 / 12006</t>
  </si>
  <si>
    <t>PARAMETRIZAR CAMPANHA - 3895</t>
  </si>
  <si>
    <t>PRODUÇÃO TOTAL AMIGOZ</t>
  </si>
  <si>
    <t>PARAMETRIZAR CAMPANHAS I GC CHRISTIANE ARAUJO</t>
  </si>
  <si>
    <t>0,60 DO RECEBIDO%</t>
  </si>
  <si>
    <t>BMG – INSS – NOVO  96 X</t>
  </si>
  <si>
    <t>AMIGOZ – TODOS OS PRODUTOS E PRAZOS</t>
  </si>
  <si>
    <t>PRODUÇÃO TOTAL - PAGAMENTO DA BONIFICAÇÃO EM AMBOS OS CODIGOS 7460 / 12006</t>
  </si>
  <si>
    <t xml:space="preserve">BANCO MEU CREDBACK PRODUCAO TOTAL </t>
  </si>
  <si>
    <t>PARAMETRIZAR CAMPANHA - ID 6512</t>
  </si>
  <si>
    <t>PARAMETRIZAR CAMPANHA - 5311 / 13912 / 8656 / 15025</t>
  </si>
  <si>
    <t>PARAMETRIZAR CAMPANHA I FEVEREIRO I SUB 11937 - 12021</t>
  </si>
  <si>
    <t>PARAMETRIZAR CAMPANHA - 2911 E 11402 sub</t>
  </si>
  <si>
    <t>TODOS BANCOS   / INSS-SIAPE/novo / port/refin de port /cartao rmc /cartao benefcio / 84X TODAS AS TABELAS
FACTA/INSS/NOVO/CARTAO RMC/CARTAO BENEFICIO /PORT E REFIN DA PORT /84X TODAS AS TABELAS -PAGAMENTO 2911</t>
  </si>
  <si>
    <t>PARAMETRIZAR CAMPANHA - 13685</t>
  </si>
  <si>
    <t>PARAMETRIZAR CAMPANHA - ID: 14918 - REF: MARÇO 2025</t>
  </si>
  <si>
    <t>PARAMETRIZAR CAMPNHA - BANCO MEU CREDBANK - ID 5839</t>
  </si>
  <si>
    <t>MEU CREDBANK-BONUS EM CIMA DA TABELA INSS - FP - NORMAL - TX 1,80 - SEM SEGURO</t>
  </si>
  <si>
    <t xml:space="preserve">QUERO MAIS TODA PRODUÇÃO </t>
  </si>
  <si>
    <t>PARAMETRIZAÇÃO CAMPANHA l CÓDIGO 13053 l BANCO MASTER</t>
  </si>
  <si>
    <t>MASTER- PRODUÇÃ TOTAL -(CONFORME ORIENTADO PELO MATEUS)</t>
  </si>
  <si>
    <t>PRODUCAO TOTAL ATINGIR A META-BONIFICACAO NOVO e FGTS   (MEU CRED BANK e LOTUS ).</t>
  </si>
  <si>
    <t>PARAMETRIZAR CAMPANHA - ID 3184/12430</t>
  </si>
  <si>
    <t>3184-12430</t>
  </si>
  <si>
    <t xml:space="preserve">PRODUCAO TOTAL PARA ATINGIR A META E CONTABILIZAR-META DESCONSIDERAR  BMG E C6 ( INSS /NOVO ) </t>
  </si>
  <si>
    <t>31/09</t>
  </si>
  <si>
    <t xml:space="preserve">BMG-NOVO-INSS TODOS OS PRAZOS	</t>
  </si>
  <si>
    <t>PRODUCAO TOTAL PARA ATINGIR A META E CONTABILIZAR-META DESCONSIDERAR  BMG E C6 ( INSS /NOVO ) - CREDITO 3184</t>
  </si>
  <si>
    <t>PARAMETRIZAR CAMPANHA - ID 12288 / 12776 / 12932 / 16794 / 7300 / 7523 / 8571 / 10815 - MEU CREDBANK / PRESENÇA BANK E MASTER</t>
  </si>
  <si>
    <t>10815 </t>
  </si>
  <si>
    <t>MASTER - TODOS OS PRODUTOS E PRAZOS</t>
  </si>
  <si>
    <t>PARAMETRIZAR CAMPANHA - ID 9431 / 9003 / 5764</t>
  </si>
  <si>
    <t>PARAMETRIZAR A CAMPANHA - 125/22 / 13469</t>
  </si>
  <si>
    <t>PARAMETRIZAR CAMPANHA - ID 16457 - FACTA/PRESENÇA/MEUCREDBANK/BMG</t>
  </si>
  <si>
    <t>PARAMETRIZAR CAMPANHA - ID 6512 - MEU CREDBANK / LOTUS</t>
  </si>
  <si>
    <t>PARAMETRIZAR CAMPNAHA - BANCO FACTA - ID 4310 /13955</t>
  </si>
  <si>
    <t xml:space="preserve">IREMOS CONSIDERAR TODA A PRODUÇÃO / EXCETO AS TABELAS QUE POSSUEM VIP-credito 14603 </t>
  </si>
  <si>
    <t>PARAMETRIZAR CAMPANHA - ID: 3489 - REF: MARÇO 2025</t>
  </si>
  <si>
    <t xml:space="preserve">BANCO DAYCOVAL - TABELAS ONDE RECEBEMOS BONUS - GOV DE PE </t>
  </si>
  <si>
    <t>PRODUCAO TOTAL ATINGIR A META-BONIFICACAO NOVO /INSS/PRAZO 84 E 96 / BANCO FACTA</t>
  </si>
  <si>
    <t>PRODUCAO TOTAL ATINGIR A META-BONIFICACAO NOVO /INSS/PRAZO 84 E 96 / BANCO PRESENCA BANK</t>
  </si>
  <si>
    <t>PRODUCAO TOTAL ATINGIR A META-BONIFICACAO NOVO /INSS/PRAZO 84 E 96 / BANCO MEUCRED BANK</t>
  </si>
  <si>
    <t>PRODUCAO TOTAL ATINGIR A META-BONIFICACAO NOVO /INSS/PRAZO 84 E 96 / BANCO BMG</t>
  </si>
  <si>
    <t>PRESENÇA BANK - INSS - NOVO - 84 e 96x</t>
  </si>
  <si>
    <t>4310/13955</t>
  </si>
  <si>
    <t>PRODUCAO TOTAL ATINGIR A META-METATODOS OS BANCOS-TODOS OS CONVENIOS-  NOVO , REFIN ,CARTÃO (RMC e RCC ) .INSS-SOMENTE FACTA E MEU CRED BANK</t>
  </si>
  <si>
    <t>726  / 13552</t>
  </si>
  <si>
    <t>2911 / 11402</t>
  </si>
  <si>
    <t>3184 / 12430</t>
  </si>
  <si>
    <t>QUERO MAIS CRÉDITO - GOV. CE / INSS - CARTÃO E CARTÃO BENEFÍCIO</t>
  </si>
  <si>
    <t>BANCO FACTA - CONFORME REGULAMENTO - EXCETO VIP</t>
  </si>
  <si>
    <t>BANCO FACTA - INSS / FGTS - CONFORME REGULAMENTO</t>
  </si>
  <si>
    <t>BANCO FACTA - INSS / FGTS - CONFORME REGULAMENTO - CRÉDITO 16898</t>
  </si>
  <si>
    <t xml:space="preserve">BANCO FACTA - CONFORME REGULAMENTO - REPASSAR 0,60 %  EM CIMA DO QUE RECEBEMOS </t>
  </si>
  <si>
    <t>BANCO FACTA - INSS - CONFORME REGULAMENTO - CREDITO 16872</t>
  </si>
  <si>
    <t>PARAMETRIZAR CAMPANHA I JARVIS 14452 I BANCO DAYCOVAL</t>
  </si>
  <si>
    <t>0,70% sobre o que recebemos</t>
  </si>
  <si>
    <t>DAYCOVAL-  SOBRE AS TABELAS QUE RECEBEMOS</t>
  </si>
  <si>
    <t>PARAMETRIZAR CAMPANHA - ID: 13331 - REF: MARÇO 2025</t>
  </si>
  <si>
    <t>r$ 160</t>
  </si>
  <si>
    <t>PARAMETRIZAR CAMPANHA - ID 7934 - TODA A PRODUÇÃO</t>
  </si>
  <si>
    <t>7934 </t>
  </si>
  <si>
    <t>TODO A PRODUÇÃO</t>
  </si>
  <si>
    <t>PARAMETRIZAR CAMPANHA - BANCO PRESENÇA BANK - ID 11859</t>
  </si>
  <si>
    <t>11859 </t>
  </si>
  <si>
    <t>PRESENÇA BANK - PRODUÇÃO TOTAL</t>
  </si>
  <si>
    <t>PARAMETRIZAR CAMPANHA I BANCO FACTA l CÓDIGO 14993</t>
  </si>
  <si>
    <t>TODA A PRODUÇÃO-EXCETO REFIN DE PORT E PORT do banco MEU CREDBANK.</t>
  </si>
  <si>
    <t>PRODUCAO TOTAL -EXCETO REFIN DE PORT E PORT do banco MEU CREDBANK.</t>
  </si>
  <si>
    <t>BANCO FACTA - CONFORME REGULAMENTO - CREDITO 14603 -CODIGO 13783-14456 DESCONSIDERAR REFIN PORTABILIDADE MEU CREDBANK</t>
  </si>
  <si>
    <t>PRODUCAO TOTAL -credito 5311-CODIGO 5311 ( EXCETO REFIN PORTABILIDADE MEU CREDBANK</t>
  </si>
  <si>
    <t>PRODUCAO TOTAL PARA ATINGIR A META E BONIFICACAO -EXCETO ITAU -REFIN PORTABILIDADE DO MEU CREDBANK</t>
  </si>
  <si>
    <t>PRODUÇÃO TOTAL - PAGAMENTO DA BONIFICAÇÃO EM AMBOS OS CODIGOS 7460 / 12006-CODIGO 7460 EXCTO REFIN PORTABILIDADE MEU CREDBANK</t>
  </si>
  <si>
    <t>BANCO FACTA - INSS / FGTS - CONFORME REGULAMENTO-CREDITO 17044</t>
  </si>
  <si>
    <t>CAMPANHAS MARÇO - REG GLAUCE MONTE - SUB´S</t>
  </si>
  <si>
    <t>OLÉ-  0,05% DO ESTOQUE DE CARTÃO</t>
  </si>
  <si>
    <t>BANCO AMIGOZ - TODOS OS CONVENIOS - PRODUTOS E PRAZOS , COM EXCEÇÃO
CONVENIOS : PREF. JUIZ DE FORA / PREF. RECIFE / TJMG.</t>
  </si>
  <si>
    <t>Banco FACTA – NOVO – Prazo 96x – INSS – Todas as Tabelas</t>
  </si>
  <si>
    <t xml:space="preserve">DAYCOVAL - 50% DO BÔNUS QUE A CREDFRANCO RECEBER DO BANCO  </t>
  </si>
  <si>
    <t>PARAMETRIZAR CAMPANHA I JARVIS 14590 l BANCO FACTA</t>
  </si>
  <si>
    <t>PARAMETRIZAR CAMPANHA - ID 14533 - BANCO DAYCOVAL</t>
  </si>
  <si>
    <t>DAYCOVAL - NOVO - INSS - PRAZO 84 E 96</t>
  </si>
  <si>
    <t>PARAMETRIZAR CAMPANHAS I GC DANIELA SANTOS</t>
  </si>
  <si>
    <t>CONTABILIZAR TODA PRODUÇÃO PARA META E REMUNERAR PARA: :
BANCOS FACTA TODOS OS PRODUTOS E CONVENIOS  E MEUCREDBANK - INSS - NOVO
PRODUÇÃO TOTAL DE CARTÃO RMC E RCC
PRODUÇÃO TOTAL FGTS// CREDITO  A SER EFETUADO NO CODÍGO 9321</t>
  </si>
  <si>
    <t>PARAMETRIZAR CAMPANHA - REGIONAL GLAUCE - REF: MARÇO 2025</t>
  </si>
  <si>
    <t>PRESENÇA BANK - INSS - TODAS AS TABELAS</t>
  </si>
  <si>
    <t xml:space="preserve">REF. 50% do Bonus do BANCO DAYCOVAL , nas tabelas que recebemos </t>
  </si>
  <si>
    <t xml:space="preserve">PRODUCAO T OTAL ATINGIR A META, BONIFICACAO: 
C6 - INSS - MARGEM LIVRE - PRAZO MAXIMO - TODAS AS TABELAS  - 
PAN -  INSS - MARGEM LIVRE - PRAZO MAXIMO - TODAS AS TABELAS 
FACTA - INSS - MARGEM LIVRE - PRAZO MAXIMO - TODAS AS TABELAS 
DAYCOVAL -  GOV DE PE - MARGEM LIVRE - PRAZO MAXIMO - TODAS AS TABELAS 
</t>
  </si>
  <si>
    <t>CONTABILIZAR TODA PRODUÇÃO-META  BANCO MASTER NOVO GOV DA BAHIA MFÁCIL E CREDCESTA, EXCETO  INSS</t>
  </si>
  <si>
    <t>CONTABILIZAR TODA PRODUÇÃO-META  BANCO MASTER E  REMUNERAR MFÁCIL E CREDCESTA, EXCETO  INSS</t>
  </si>
  <si>
    <t>PRODUCAO TOTAL ATINGIR A META, BONIFICAO : 
C6 - INSS - MARGEM LIVRE - PRAZO MAXIMO - TODAS AS TABELAS  - 
PAN -  INSS - MARGEM LIVRE - PRAZO MAXIMO - TODAS AS TABELAS 
FACTA - INSS - MARGEM LIVRE - PRAZO MAXIMO - TODAS AS TABELAS 
CREDITO 3416</t>
  </si>
  <si>
    <t>PARAMETRIZAR CAMPANHA - ID: 10649</t>
  </si>
  <si>
    <t>NOVOS INSS TABELAS PRINCIPAIS COM E SEM SEGURO: C6 ,FACTA , CREDBANK, PRESENÇA E VCTEX</t>
  </si>
  <si>
    <t>PARAMETRIZAR CAMPANHA - BANCO MERCANTIL - ID 8973</t>
  </si>
  <si>
    <t>CONSIDERAR SOMENTE A PRODUÇÃO FGTS DO BANCO MERCANTIL PARA APURAÇAO E  ATINGIMENTO DA META. </t>
  </si>
  <si>
    <t>PARAMETRIZAR CAMPANHA - ID 16403 - BANCO MERCANTIL</t>
  </si>
  <si>
    <t>RETROATIVO CAMPANHA - VIVIANE GOMES BEZERRA LTDA - 29.294.109/0001-60</t>
  </si>
  <si>
    <t>CADASTRAR CAMPANHA FACTA | JARVIS 17204 | M. L. S. PROMOTORA DE NEGOCIOS</t>
  </si>
  <si>
    <t>16130 </t>
  </si>
  <si>
    <t>FACTA –  PRODUÇÃO TOTAL </t>
  </si>
  <si>
    <t>PARAMETRIZAR CAMPANHA - ID: 1729 / 8125 - REF: MARÇO 2025</t>
  </si>
  <si>
    <t>1729/8125</t>
  </si>
  <si>
    <t>PRODUCAO TOTAL -CREDITO 1729</t>
  </si>
  <si>
    <t>13249 </t>
  </si>
  <si>
    <t>13470 </t>
  </si>
  <si>
    <t>13611 </t>
  </si>
  <si>
    <t>17031 </t>
  </si>
  <si>
    <t>B2S (MEU CASH CARD) - TODOS OS CONVÊNIOS - TODOS OS PRAZOS E TABELAS</t>
  </si>
  <si>
    <t>PAN - CONVÊNIOS PÚBLICOS - TODOS OS PRODUTOS (EXCETO INSS, FGTS E SIAPE)</t>
  </si>
  <si>
    <t>PAN - SAQUE COMPLEMENTAR - TODOS OS PRODUTOS DE CARTÃO</t>
  </si>
  <si>
    <t>FACTA - DE TODA A OPERAÇÃO</t>
  </si>
  <si>
    <t>QUERO + FGTS NOVO I 1 A 10X</t>
  </si>
  <si>
    <t>QUERO + FGTS NOVO II 1 A 10X</t>
  </si>
  <si>
    <t>QUERO + FGTS NOVO III 1 A 10X</t>
  </si>
  <si>
    <t>QUERO + FGTS NOVO IV 1 A 10X</t>
  </si>
  <si>
    <t xml:space="preserve">
QUERO + CARTAO INSS RMC CARTAO SAQUE - TODOS OS PRAZOS
QUERO + CARTAO BENEFICIO RCC INSS SAQUE - TODOS OS PRAZOS
QUERO + CARTAO INSS CARTAO RMC SAQUE REP LEGAL- TODOS OS PRAZOS
QUERO + CARTAO BENEFICIO RCC INSS REP. LEGAL SAQUE - TODOS OS PRAZOS</t>
  </si>
  <si>
    <t xml:space="preserve">
QUERO + CARTAO BENEFICIO INSS LOAS SAQUE - TODOS OS PRAZOS
QUERO + CARTAO INSS LOAS SAQUE - TODOS OS PRAZOS
QUERO + CARTAO BENEFICIO INSS REP. LEGAL LOAS SAQUE - TODOS OS PRAZOS
QUERO + CARTAO INSS REP. LEGAL LOAS SAQUE - TODOS OS PRAZOS</t>
  </si>
  <si>
    <t>PAN - CASCATA - FGTS-NOVO</t>
  </si>
  <si>
    <t>PAN - ORÇAMENTO SECRETO -  FGTS -NOVO-NÃO ENTRA TABELAS FLEX-</t>
  </si>
  <si>
    <t>PARAMETRIZAR CAMPANHA I JARVIS 12291 / 16101 I BANCO FACTA</t>
  </si>
  <si>
    <t>PARAMETRIZAR CAMPANHAS - REF: MARÇO 2025 - GC MATHEUS - 3444 E 10487</t>
  </si>
  <si>
    <t>CONSIDERAR A PRODUÇAO DO MEU CREDBANK PARA APURAÇAO.</t>
  </si>
  <si>
    <t>CONSIDERAR A PRODUÇAO DO BANCO MERCANTIL PARA APURAÇAO.</t>
  </si>
  <si>
    <t>CONSIDERAR A PRODUÇAO DO BANCO FACTA PARA APURAÇAO.</t>
  </si>
  <si>
    <t>CONSIDERAR A PRODUÇAO DO VCTEX PARA APURAÇAO.</t>
  </si>
  <si>
    <t>PARAMETRIZAR CAMPANHA -DANILO I DIRECT X l BANCO FACTA</t>
  </si>
  <si>
    <t>PARAMETRIZAR CAMPANHA I BANCO FACTA I CODIGO 17019</t>
  </si>
  <si>
    <t>PARAMETRIZAR CAMPANHA I BANCO MASTER I COD 14938 I MARÇO</t>
  </si>
  <si>
    <t>PARAMETRIZAÇÃO CAMPANHA DANILO I COD 13368 I D&amp;D ASSESSORIA I MARÇO</t>
  </si>
  <si>
    <t>Considerar apenas tabela - MEU CREDBANK - INSS - FP - NORMAL - TX 1,80 e Port e refin de port</t>
  </si>
  <si>
    <t>TODA PRODUÇAO  MEU CREDBANK-DE INSS EXCETO -  MEU CREDBANK - INSS - FP - NORMAL - TX 1,80</t>
  </si>
  <si>
    <t>MEU CREDBANK-TODA PRODUÇAO DE FGTS</t>
  </si>
  <si>
    <t>Re: Antecipação de valores RL Rangel Serviços LTDA - 12765 (Projeto de ampliação Call Center)</t>
  </si>
  <si>
    <t>TODA PRODUÇÃO - CASO ATINJA OU NÃO, APENAS RETORNAR NO E-MAIL COMUNICANDO A PRODUÇÃO</t>
  </si>
  <si>
    <t>PARAMETRIZAR CAMPANHA - ID: 15087</t>
  </si>
  <si>
    <t xml:space="preserve">NOVO COM E SEM SEGURO \ PRESENÇA BANK \INSS\96 E 84 X </t>
  </si>
  <si>
    <t>PARAMETRIZAR CAMPANHA I CÓDIGO 13617 I MEU CRED BANK</t>
  </si>
  <si>
    <t>BANCO MEU CREDBANK - INSS - NOVO - TODAS AS TABELAS E PRAZOS</t>
  </si>
  <si>
    <t>PARAMETRIZAR CAMPANHA - 13961</t>
  </si>
  <si>
    <t>BANCO DIGIO - TODA A PRODUÇÃO</t>
  </si>
  <si>
    <t>3416 / 11346</t>
  </si>
  <si>
    <t>1729 / 8125</t>
  </si>
  <si>
    <t>PRODUÇÃO TOTAL ATINGIR A META - BONIFICAÇÃO PARA - BANCO BMG E MEUCREDBANK - TODOS OS CONVÊNIOS - NOVO - CARTÕES RMC E RCC</t>
  </si>
  <si>
    <t xml:space="preserve">QUERO MAIS -PRODUCAO GERAL </t>
  </si>
  <si>
    <t>PARMETRIZAR CAMPANHAS I JARVIS 11937 E 12021 I</t>
  </si>
  <si>
    <t>C6 - INSS - TODO CONTRATO NOVO - 96X</t>
  </si>
  <si>
    <t>PARAMETRIZAR CAMPANHA I JARVIS 16055 I BANCO FACTA</t>
  </si>
  <si>
    <t>BANCO FACTA - CONFORME REGULAMENTO - CREDITO 14603</t>
  </si>
  <si>
    <t xml:space="preserve">calcular e informar no e-mail </t>
  </si>
  <si>
    <t>FACTA CONFORME REGULAMENTO-pagar codigo 16291</t>
  </si>
  <si>
    <t>Re: BÔNUS INDICADO PONTO AMIGO- BANCO FACTA</t>
  </si>
  <si>
    <t>PARAMETRIZAR CAMPANHA - BANCO PRESENÇABANK - ID 14409</t>
  </si>
  <si>
    <t>TODOS OS BANCOS - TODOS OS PRODUTOS - INSS - PRAZ0 84X E 96</t>
  </si>
  <si>
    <t>PARAMETRIZAR CAMPANHA - ID 10109 - BANCO C6</t>
  </si>
  <si>
    <t>PARAMETRIZAR CAMPANHA - ID: 15008 - FACTA - REF: MARÇO 2025</t>
  </si>
  <si>
    <t>PARAMETRIZAR CAMPANHA - ID: 17184 - REF: MARÇO 2025</t>
  </si>
  <si>
    <t>MEU CREDBANK TODA PRODUÇAO DE FGTS</t>
  </si>
  <si>
    <t>MEU CREDBANK - INSS - FP - NORMAL - TX 1,80</t>
  </si>
  <si>
    <t>TODA PRODUÇAO DE INSS EXCETO -  MEU CREDBANK - INSS - FP - NORMAL - TX 1,80</t>
  </si>
  <si>
    <t>VCTEX-TODA PRODUÇAÕ</t>
  </si>
  <si>
    <t>AMIGOS-TODA PRODUÇÃO</t>
  </si>
  <si>
    <t>PARAMETRIZAR CAMPANHA - ID: 865 - REF: MARÇO</t>
  </si>
  <si>
    <t>CONSIDERAR A PRODUÇAO DE SIAPE DO PRESENÇA BANK.</t>
  </si>
  <si>
    <t>PARAMETRIZAR CAMPANHA - BANCO PRESENÇA - ID 15932</t>
  </si>
  <si>
    <t>15932 </t>
  </si>
  <si>
    <t> PRESENCA BANK  PRODUÇÃO TOTAL </t>
  </si>
  <si>
    <t>Fwd: 13932 - SUB FACTA ELIANA DORIA | BONUS FEVEREIRO | PARAMETRIZAÇÃO</t>
  </si>
  <si>
    <t xml:space="preserve">FACTA PRODUCAO TOTAL </t>
  </si>
  <si>
    <t>TODAS AS OPERAÇÕES DE FGTS DO MEU CREDBANK</t>
  </si>
  <si>
    <t>Re: PARAMETRIZAR A CAMPANHA - CAMPANHA CREDBANK FGTS - ID 8300</t>
  </si>
  <si>
    <t>PRODUCAO TOTAL - C6-todas propostas digitadas no c6, contrato novo com pact e sem nos prazos 84 e 96</t>
  </si>
  <si>
    <t>PRESENCA BANK-TODOS OS CONVENIOS PRODUTO NOVO</t>
  </si>
  <si>
    <t>MASTER-TODOS OS CONVENIOS -CARTÃO RMC E CARTÃO BENEFICIO EXCETO FGTS E INSS</t>
  </si>
  <si>
    <t>FACTA - FGTS - FACTA - FGTS GOLD ULTRA POWER RB (57916)</t>
  </si>
  <si>
    <t>ENGLOBAR TODA A PRODUÇÃO PARA CONTABILIZAR- META E PAGAMENTO /FACTA/INSS/NOVO/ TODOS OS PRAZOS -CREDITO 16101</t>
  </si>
  <si>
    <t>FACTA - NOVO - 84x -INSS</t>
  </si>
  <si>
    <t xml:space="preserve">QUERO+ -PRODUCAO TOTAL </t>
  </si>
  <si>
    <t>QUERO + GOV CE-CARTÃO BENEFICIO</t>
  </si>
  <si>
    <t>11449 / 14895</t>
  </si>
  <si>
    <t>BANCO FACTA - INSS - NOVO</t>
  </si>
  <si>
    <t>BANCO FACTA - INSS  NOVO-96X</t>
  </si>
  <si>
    <t>BANCO FACTA - INSS -NOVO CONFORME REGULAMENTO</t>
  </si>
  <si>
    <t xml:space="preserve">C6 BANK - INSS - DIGITAL WEB NOVO NORMAL (210138) - TAXA 1,80%
C6 BANK - INSS - C6 BANK - INSS - DIGITAL WEB NOVO REPRESENTANTE LEGAL PCT BEN. (210150) E SUAS FAIXAS
C6 BANK - INSS - C6 BANK - INSS - DIGITAL WEB NOVO REPRESENTANTE LEGAL PCT BEN. (210151) E SUAS FAIXAS
C6 BANK - INSS - C6 BANK - INSS - DIGITAL WEB NOVO REPRESENTANTE LEGAL (210150) - TAXA 1,80%   - PRAZO 84 E 96 </t>
  </si>
  <si>
    <t>ROMAGNOSI SOTERO CAMPOS</t>
  </si>
  <si>
    <t>BANCO FACTA - INSS / FGTS - CONFORME REGULAMENTO-PAGAMENTO 17044</t>
  </si>
  <si>
    <t>PRODUCAO TOTAL CONVEIO INSS-PRAZO 96  exceção do banco BMG e ITAU-CODIGO 12522(EXCETO REFIN PORTABILIDADE MEU CREDBANK)-credito 12522</t>
  </si>
  <si>
    <t>PARAMETRIZAR CAMPANHA - ID: 14905 - REF: ABRIL</t>
  </si>
  <si>
    <t>PARAMETRIZAR CAMPANHA - ID 17270 - BANCO C6</t>
  </si>
  <si>
    <t>C6 – INSS – NOVO – 84X A 96X</t>
  </si>
  <si>
    <t>PARAMETRIZAR CAMPANHA - ID 8336 - BANCO AMIGOZ</t>
  </si>
  <si>
    <t>NOVO INSS FACTA- TODAS AS TABELAS POSSÍVEIS- 84X  e 96x </t>
  </si>
  <si>
    <t>PARAMETRIZAR CAMPNHA - ID 11652/ 10090/14533/16839/4629/16775 - REF ABRIL DAYCOVAL /MEU CREDBANK</t>
  </si>
  <si>
    <t>DAYCOVAL - NOVO - INSS PRAZO 84 E 96X</t>
  </si>
  <si>
    <t>BONUS DO REFIN DA PORTABILIDADE  MEU CRED BANK -  PRAZO 84 E 96X</t>
  </si>
  <si>
    <t>BANCO DAYCOVAL - TABELAS ONDE RECEBEMOS BONUS - GOV DE PE </t>
  </si>
  <si>
    <t>PARAMETRIZAR CAMPANHA - ID: 14363 - REF: ABRIL 2025</t>
  </si>
  <si>
    <t>QUERO MAIS CRÉDITO-SIAPE-CARTÃO CONSIGNADO E CARTÃO BENEFICIO</t>
  </si>
  <si>
    <t xml:space="preserve">DAYCOVAL-CONFORME CAMPANHA QUE RECEBMOS </t>
  </si>
  <si>
    <t>PARAMETRIZAR CAMPANHA I JARVIS 8835 I BANCO FACTA</t>
  </si>
  <si>
    <t>PARAMETRIZAR CAMPANHA - ID 14533 - PRODUÇÃO TOTAL</t>
  </si>
  <si>
    <t>14533 </t>
  </si>
  <si>
    <t>TODAS AS OPERAÇÕES FGTS MEU CREDBANK</t>
  </si>
  <si>
    <t>PARAMETRIZAR CAMPANHA I JARVIS 16474 I BANCO FACTA</t>
  </si>
  <si>
    <t>PARAMETRIZAR CAMPANHA - BANCO PRESENÇA - ID 7274 / 14876</t>
  </si>
  <si>
    <t>PRESENÇA BANCO / INSS / TODAS TABELAS,PRAZOS</t>
  </si>
  <si>
    <t>PARAMETRIZAR CAMPANHA I JARVIS 15730 I BANCO FACTA</t>
  </si>
  <si>
    <t>PARAMETRIZAR CAMPANHA - ID 11730 / 8447 / 15366 / 15602 / 9212 - REF ABRIL</t>
  </si>
  <si>
    <t>BANCO MASTER SOMENTE EMPRÉSTIMOS GOV RIO - TODOS OS PRAZOS</t>
  </si>
  <si>
    <t>PARAMETRIZAR CAMPANHA - ID 8465/1363/3728/3729 - BANCO AMIGOZ</t>
  </si>
  <si>
    <t>8465/1363/3728/3729</t>
  </si>
  <si>
    <t>AMIGOZ-Conforme Campanha do Banco para RMC e RCC INSS.</t>
  </si>
  <si>
    <t>TODA A PRODUÇÃO AMIGOZ-CREDITO o 8465.</t>
  </si>
  <si>
    <t>FACTA INSS E FGTS (Novo, cartão, FGTS, refin da port -)</t>
  </si>
  <si>
    <t xml:space="preserve">MEU CREDBANK - INSS - FP - SEGURO PLUS - TAXA 1,80 - TODOS OS PRAZOS
INSS - FP - NORMAL - TX 1,80 - TODOS OS PRAZOS </t>
  </si>
  <si>
    <t>PRODUCAO TOTAL PAN E C6</t>
  </si>
  <si>
    <t>PARAMETRIZAR CAMPANHA - ID 16481 - REF MARÇO</t>
  </si>
  <si>
    <t>Considerar toda produção para atingimento da meta , porém a bonificação será paga sobre a produção do produto NOVO /INSS/PRAZO 84 E 96 / BANCO C6</t>
  </si>
  <si>
    <t>Considerar toda produção para atingimento da meta , porém a bonificação será paga sobre a produção do produto NOVO /INSS/PRAZO 84 E 96 / BANCO FACTA</t>
  </si>
  <si>
    <t>Considerar toda produção para atingimento da meta , porém a bonificação será paga sobre a produção do produto NOVO /INSS/PRAZO 84 E 96 / PRESENÇA BANK</t>
  </si>
  <si>
    <t>Considerar toda produção para atingimento da meta , porém a bonificação será paga sobre a produção do produto NOVO /INSS/PRAZO 84 E 96 / MEU CREDBANK</t>
  </si>
  <si>
    <t>Considerar toda produção para atingimento da meta , porém a bonificação será paga sobre a produção do produto NOVO /INSS/PRAZO 84 E 96 / BMG</t>
  </si>
  <si>
    <t>PARAMETRIZAR CAMPANHA - REF MARÇO</t>
  </si>
  <si>
    <t xml:space="preserve">9286  &amp; 12803	</t>
  </si>
  <si>
    <t>6048 &amp; 6940</t>
  </si>
  <si>
    <t>13179 &amp; 13496</t>
  </si>
  <si>
    <t>producao total</t>
  </si>
  <si>
    <t xml:space="preserve">producao total-CREDITO 9286 </t>
  </si>
  <si>
    <t xml:space="preserve">producao total-CREDITO 6048 </t>
  </si>
  <si>
    <t xml:space="preserve">producao total-CREDITO 13179 </t>
  </si>
  <si>
    <t>Fwd: 9580 - SUB FACTA BEVALI | BONUS MARÇO | PARAMETRIZAÇÃO</t>
  </si>
  <si>
    <t>PARAMETRIZAR CAMPANHA - ID 14964</t>
  </si>
  <si>
    <t>DAYCOVAL, PAN, VEMCARD, MEU CASHCARD, FACTA, CREFAZ, MASTER-CARTÃO RMC, REFIN, REFIN/PORT, CARTÃO BENEFICIO-TODOS OS CONVENIOS</t>
  </si>
  <si>
    <t>PARAMETRIZAR CAMPANHA - ID: 14129 - REF: ABRIL 2025</t>
  </si>
  <si>
    <t>NOVO COM E SEM SEGURO \ PRESENÇA BANK \INSS\96 E 84 X </t>
  </si>
  <si>
    <t>PARAMETRIZAR CAMPANHA I JARVIS 15802 l QUERO MAIS</t>
  </si>
  <si>
    <t>QUERO MAIS CRÉDITO- SIAPE-CARTÃO CONSIGNADO E CARTÃO BENEFICIO</t>
  </si>
  <si>
    <t>PARAMETRIZAR CAMPANHA - ID: 16140 / 15156</t>
  </si>
  <si>
    <t>16140 / 15156</t>
  </si>
  <si>
    <t>todas propostas INSS digitadas no c6, contrato novo com pact e sem nos prazos 84 e 96-credito 16140</t>
  </si>
  <si>
    <t>todas propostas INSS digitadas no bmg, contrato novo  e cartao benefício -credito 16140</t>
  </si>
  <si>
    <t>todas propostas INSS digitadas no pan, contrato novo e cartao benefício -credito 16140</t>
  </si>
  <si>
    <t>PARAMETRIZAR CAMPANHA I JARVIS 16763 I BANCO AMIGOZ</t>
  </si>
  <si>
    <t>AMIGOZ PRODUCAO TOTAL - exceto Prefeitura de Juiz de Fora / Prefeitura de Recife e TJ.</t>
  </si>
  <si>
    <t>PARAMETRIZAR CAMPANHAS - ID- 16457 - REF: ABRIL 2025</t>
  </si>
  <si>
    <t>PRODUCAO TOTAL ATINGIR A META-BONIFICACAO INSS-NOVO-84X-96-PRESENCA BANK E FACTA</t>
  </si>
  <si>
    <t>PARAMETRIZAR CAMPANHA - ID 14129 - CREDBANK</t>
  </si>
  <si>
    <t>CONSIDERAR PRODUÇÃO DO MEU CREDBANK REFIN DA PORTABILIDADE </t>
  </si>
  <si>
    <t>PARAMETRIZAR CAMPANHA - ID: 15990</t>
  </si>
  <si>
    <t>PARAMETRIZAR CAMPANHA I JARVIS 16898 I BANCO FACTA</t>
  </si>
  <si>
    <t>PARAMETRIZAR CAMPANHA l CÓDIGO 17102 l BANCO FACTA</t>
  </si>
  <si>
    <t>CAMPANHA QUERO MAIS CRÉDITO I 15874 IMETA SOLUÇÕES DE CRÉDITO E SERVIÇO I ABRIL</t>
  </si>
  <si>
    <t>QUERO MAIS/ INSS/CARTÃO RMC/CARTAO BENEFICIO/ TODAS AS TABELAS</t>
  </si>
  <si>
    <t>PARAMETRIZAÇÃO CAMPANHA I BANCO FACTA I COD 16358 I ABRIL</t>
  </si>
  <si>
    <t>FACTA,TODAS AS TABELAS,TODOS OS PRODUTOS</t>
  </si>
  <si>
    <t>PARAMETRIZAR CAMPANHA MASTER l CÓDIGO 17142 l BANCO MASTER</t>
  </si>
  <si>
    <t>PRODUCAO TOTAL ATINGIR A META,BONIFICACAO INSS-NOVO-84 E 96 - FACTA</t>
  </si>
  <si>
    <t>PRODUCAO TOTAL ATINGIR A META,BONIFICACAO INSS-NOVO-84 E 96 - PRESENCA BANK</t>
  </si>
  <si>
    <t>PRODUCAO TOTAL ATINGIR A META,BONIFICACAO INSS-NOVO-84 E 96 - MEU CREDBANK SOMENTE TABELAS COM SEGURO</t>
  </si>
  <si>
    <t>PRODUCAO TOTAL ATINGIR A META,BONIFICACAO INSS-NOVO-84 E 96 -BMG</t>
  </si>
  <si>
    <t>PARAMETRIZAR CAMPANHA - ID 14722</t>
  </si>
  <si>
    <t>MEU CREDBANK - INSS NOVO - PRAZO MAXIMO 96X - Exceto na tabela sem seguro</t>
  </si>
  <si>
    <t>PRESENÇA BANK - INSS NOVO - PRAZO MAXIMO 96X</t>
  </si>
  <si>
    <t>PARAMETRIZAR CAMPANHA - 2911 E 11402 - ABRIL 2025</t>
  </si>
  <si>
    <t>2911-11402</t>
  </si>
  <si>
    <t>TODOS BANCOS   / INSS-SIAPE/novo / port/refin de port /cartao rmc /cartao benefcio / 84X TODAS AS TABELASCREDITO 2911</t>
  </si>
  <si>
    <t>PARAMETRIZAR CAMPANHA - ISENÇÃO COBRANÇA TARIFA - ID: 12679 - ABRIL 2025</t>
  </si>
  <si>
    <t>PARAMETRIZAR CAMPANHA I JARVIS 15086 E 5804</t>
  </si>
  <si>
    <t>BANCO MEU CREDBANK - INSS – APENAS TABELAS COM SEGURO.</t>
  </si>
  <si>
    <t>Re: CAMPANHA MES ABRIL 2025 - FACTA - GM PROMOTORA 16988 (ERICK VIEIRA)</t>
  </si>
  <si>
    <t>PARAMETRIZAR CAMPANHA - ID 17184 - BANCO AMIGOZ</t>
  </si>
  <si>
    <t xml:space="preserve">AMIGOS-PRODUCAO TOTAL </t>
  </si>
  <si>
    <t>PARAMETRIZAR CAMPANHA - ID 15463/5407</t>
  </si>
  <si>
    <t>PARAMETRIZAR CAMPANHA - ID 13215 - MEU CREDBANK</t>
  </si>
  <si>
    <t>MEU CREDBANK - INSS - MEU CREDBANK - INSS - FP - SEGURO PLUS - TAXA 1,80
MEU CREDBANK - INSS - MEU CREDBANK - INSS - FP - SEGURO - TX 1,80</t>
  </si>
  <si>
    <t>PARAMETRIZAR CAMPANHA - MEU CREDBANK / FACTA - ID 7274</t>
  </si>
  <si>
    <t>MEUCREDBANK / INSS novo / tabelas com seguro top</t>
  </si>
  <si>
    <t>PARAMETRIZAR CAMPANHA - 13063</t>
  </si>
  <si>
    <t>PRODUCAO TOTAL ATINGIR A META- PRODUCAO TOTAL BMG  NOVO.CARTOES, RMC -RCC</t>
  </si>
  <si>
    <t>PARAMETRIZAR CAMPANHa - id 1574 - MEU CREDBANK</t>
  </si>
  <si>
    <t>MEU CREDBANK TODAS AS TABELAS INSS COM SEGURO</t>
  </si>
  <si>
    <t>PARAMETRIZAR CAMPANHA - BANCO AMIGOZ/MASTER - ID 16713 - REF ABRIL</t>
  </si>
  <si>
    <t>AMIGOZ/GOV SP, GOV MT E PREF. DE SP/ 96,84 E 72X -NOVO, CARTÃO BENEFICIO E CARTÃO</t>
  </si>
  <si>
    <t>PARAMETRIZAR CAMPANHA - ID 17038 / 15095 - BANCO MEU CRDBANK - REF ABRIL</t>
  </si>
  <si>
    <t>PARAMETRIZAÇÃO CAMPANHA I BANCO FACTA I COD 10452 I ABRIL</t>
  </si>
  <si>
    <t>PARAMETRIZAR CAMPANHA - 17062</t>
  </si>
  <si>
    <t>PRODUCAO TOTAL ATINGIR A META- BONIFICACAO , POREM PAGAREMOS SOMENTE SOBRE MARGEM LIVRE TODOS CONVENIOS  -CREDITO 11449</t>
  </si>
  <si>
    <t>PRESENÇA BANCO / INSS / TODAS TABELAS E PRAZOS-NOVO</t>
  </si>
  <si>
    <t xml:space="preserve">producao total </t>
  </si>
  <si>
    <t>PARAMETRIZAR CAMPANHA - 16458</t>
  </si>
  <si>
    <t>PARAMETRIZAR CAMPANHA - 10293</t>
  </si>
  <si>
    <t>Presença Bank – NOVO –  INSS – Todas as Tabelas/ Presença Bank – NOVO – SIAPE– Todas as Tabelas</t>
  </si>
  <si>
    <t>PARAMETRIZAR CAMPANHA - CODIGO 13977 - ABRIL</t>
  </si>
  <si>
    <t>PARAMETRIZAR CAMPANHA I JARVIS 16186 I BANCO C6</t>
  </si>
  <si>
    <t>PARAMETRIZAR CAMPANHA I JARVIS 12805 I BANCO FACTA</t>
  </si>
  <si>
    <t>PARAMETRIZAR CAMPANHA - 15574</t>
  </si>
  <si>
    <t>INSS NOVO – PRESENÇA BANK / C6 BANK / FACTA-EXCETO TABELAS QUE CONSTAM NA VIP</t>
  </si>
  <si>
    <t>PARAMETRIZAR CAMPANHA - ID: 16537 - REF: ABRIL 2025</t>
  </si>
  <si>
    <t>NOVO INSS TODOS OS BANCOS NO PRAZO 84 E 96 MESES (com exceção dos que estão na tabela VIP.</t>
  </si>
  <si>
    <t>PARAMETRIZAR CAMPANHA - 6706</t>
  </si>
  <si>
    <t>PARAMETRIZAR CAMPANHA - 1818</t>
  </si>
  <si>
    <t>TODAS AS OPERAÇÕES INSS - BANCO MASTER - EXCETO TABELAS QUE POSSUEM REGRAS VIP</t>
  </si>
  <si>
    <t>PARAMETRIZAR CAMPANHA - ID: 16010 - REF: ABRIL 2025</t>
  </si>
  <si>
    <t>TODAS AS OPERAÇÕES INSS – GOVERNO – PREFEITURA - TODOS OS BANCOS - SOMENTE CONTRATO NOVO</t>
  </si>
  <si>
    <t>PARAMETRIZAR CAMPANHA - ID: 15064 - REF: ABRIL 2025</t>
  </si>
  <si>
    <t>banco digio, toda a produção</t>
  </si>
  <si>
    <t>PARAMETRIZAR CAMPANHA - 1532</t>
  </si>
  <si>
    <t>PARAMETRIZAR CAMPANHA - 12614</t>
  </si>
  <si>
    <t>PARAMETRIZAR CAMPANHA - ID: 9931 - REF: ABRIL 2025</t>
  </si>
  <si>
    <t>PARAMETRIZAR CAMPANHA - 14910</t>
  </si>
  <si>
    <t>PARAMETRIZAR CAMPANMHA - ID: 16761 - REF: ABRIL 2025</t>
  </si>
  <si>
    <t>PARAMETRIZAR CAMPANHA - 11403 E 11349</t>
  </si>
  <si>
    <t>PARAMETRIZAR CAMPANHA - 2892</t>
  </si>
  <si>
    <t>PARAMETRIZAR CAMPANHA - ID: 14194 - REF: ABRIL 2025</t>
  </si>
  <si>
    <t>ENGLOBAR TODA A PRODUÇÃO PARA A META E PAGAMENTO /FACTA/INSS/NOVO/ TODOS OS PRAZOS-credito 16101</t>
  </si>
  <si>
    <t>TODOS OS BANCOS  INSS- NOVO- PRAZOS 84 E 96-exceto tabelas que constam na vip</t>
  </si>
  <si>
    <t>PRODUCAO TOTAL ATINGIR A META- META DIGIO E BMG, REFIN, CARTÕES RMC e RCC t-TODOS OS PRAZOS</t>
  </si>
  <si>
    <t>PARAMETRIZAR CAMPANHA - ID: 16024 - REF: ABRIL 2025</t>
  </si>
  <si>
    <t>PARAMETRIZAR CAMPANHA - 6688</t>
  </si>
  <si>
    <t>PARAMETRIZAR CAMPANHA I REGIONAL HUGO LUIZ</t>
  </si>
  <si>
    <t>BANCO MASTER TODOS OS PRODUTOS E PRAZOS</t>
  </si>
  <si>
    <t>BANCO C6 TODOS OS PRODUTOS E PRAZOS</t>
  </si>
  <si>
    <t>BANCO DAYCOVAL TODOS OS PRODUTOS E PRAZOS</t>
  </si>
  <si>
    <t>BANCO PAN TODOS OS PRAZOS E PRODUTOS</t>
  </si>
  <si>
    <t>BMG TODOS OS PRAZOS E PRODUTOS</t>
  </si>
  <si>
    <t>PARAMETRIZAR CAMPANHA - ID: 3446 - REF: ABRIL 2025</t>
  </si>
  <si>
    <t>BANCO MERCANTIL - CARTAO E CARTAO BENEFICIO, TODOS OS CONVENIOS</t>
  </si>
  <si>
    <t>PARAMETRIZAR CAMPANHA l CÓDIGO 7677 l BANCO FACTA</t>
  </si>
  <si>
    <t>PARAMETRIZAR CAMPANHA - 9241 e 15703 (sub)</t>
  </si>
  <si>
    <t>PARAMETRIZAR CAMPANHA - 15932</t>
  </si>
  <si>
    <t>MEU CREDBANK – INSS – REFIN DA PORTABILIDADE PRODUÇÃO TOTAL </t>
  </si>
  <si>
    <t>PARAMETRIZAR CAMPANHA I JARVIS 13368 I Facta / Master / Meu Cred Bank</t>
  </si>
  <si>
    <t xml:space="preserve">MEU CREDBANK - TODA PRODUÇAO DE FGTS	</t>
  </si>
  <si>
    <t>PARAMETRIZAR CAMPANHA - 3422 / 16482 / 6894 SUB</t>
  </si>
  <si>
    <t>PARAMETRIZAR CAMPANHA - 4079</t>
  </si>
  <si>
    <t>PARAMETRIZAR CAMPANHA - 10174 / 15803 sub</t>
  </si>
  <si>
    <t>10174 / 15803</t>
  </si>
  <si>
    <t>AMIGOZ-INSS-CARTÃO E CARTÃO BENEFICIO</t>
  </si>
  <si>
    <t>PRODUCAO TOTAL ATINGIR A META C6 -PAN-PRESENÇA BANK- INSS - MARGEM LIVRE - PRAZO MAXIMO - TODAS AS TABELAS  - CREDIT 15803</t>
  </si>
  <si>
    <t>PRODUCAO TOTAL ATINGIR A META (EXCETO TABELAS NO GRUPO 001) 
-META PRODUCAO TOTAL DESCONSIDERANDO
 BANCO MERCANTIL-AMIGOZ-ITAU- 
EXCETO TABELAS GRUPO 001- CREDITO 3422</t>
  </si>
  <si>
    <t>CONSIDERAR TODA A PRODUÇAO PARA APURAÇAO, MAS PAGAREMOS SOBRE O REFIN INSS DO BANCO C6</t>
  </si>
  <si>
    <t>PARAMETRIZAR CAMPANHA - 7150 e 14514 sub</t>
  </si>
  <si>
    <t>PARAMETRIZAR CAMPANHA - GC ALEXANDRE</t>
  </si>
  <si>
    <t>CONTABILIZAR TODA PRODUÇÃO PARA META E REMUNERAR BANCO MASTER APENAS, MFÁCIL E CREDCESTA.</t>
  </si>
  <si>
    <t>CONTABILIZAR TODA PRODUÇÃO BANCO MASTER E  REMUNERAR MFÁCIL E CREDCESTA.</t>
  </si>
  <si>
    <t>CONTABILIZAR TODA PRODUÇÃO E REMUNARAR APENAS BANCO MASTER MFÁCIL E CREDCESTA.</t>
  </si>
  <si>
    <t>PARAMETRIZAR CAMPANHA - ID: 695 - REF: ABRIL 2025</t>
  </si>
  <si>
    <t>MASTER-PRODUCAO TOTAL  EXCETO FGTS E INSS</t>
  </si>
  <si>
    <t>Fwd: 6843 - SUB - DAIANY REIS CARNEIRO - DIGIO</t>
  </si>
  <si>
    <t xml:space="preserve">DIGIO - PRODUCAO TOTAL TODA PRODUCAO	</t>
  </si>
  <si>
    <t>PARAMETRIZAR CAMPANHA I JARVIS 17421 l BANCO FACTA</t>
  </si>
  <si>
    <t>PARAMETRIZAR CAMPANHA I JARVIS 17229 l BANCO FACTA</t>
  </si>
  <si>
    <t>PARAMETRIZAR CAMPANHA I JARVIS 16446 I BANCO C6</t>
  </si>
  <si>
    <t>CAMPANHA \ C6 \TODOS \96 E 84 X -INSS</t>
  </si>
  <si>
    <t>PARAMETRIZAR CAMPANHA I JARVIS 16977 I BANCO PRESENÇA BANK</t>
  </si>
  <si>
    <t>PRESENÇA BANK - 0,80 % EM CIMA DE TODAS AS TABELAS DE NOVO E FGTS</t>
  </si>
  <si>
    <t>PARAMETRIZAR CAMPANHA I JARVIS 16238 I BANCO MASTER</t>
  </si>
  <si>
    <t>MASTER PRODUCAO TOTAL- EXCETO FGTS E INSS</t>
  </si>
  <si>
    <t>PARAMETRIZAR CAMPANHA I JARVIS 9207 / 15942/ 15896/ 16893</t>
  </si>
  <si>
    <t>PARAMETRIZAR CAMPNHA I JARVIS 9207/ 16893 I 15896 I 15942 I BANCO MEU CRED BANK</t>
  </si>
  <si>
    <t xml:space="preserve">MEU CREDBANK	-FGTS-NOVO-TODOS-CREDITO 15942 </t>
  </si>
  <si>
    <t>PARAMETRIZAÇÃO CAMPANHA I BANCO FACTA I COD 17037 - LIMA CRED LTDA</t>
  </si>
  <si>
    <t>FACTA  REFIN DE PORTABILIDADE INSS</t>
  </si>
  <si>
    <t>PARAMETRIZAR CAMPANHA - 4097</t>
  </si>
  <si>
    <t>PRODUÇÃO FACTA, EXCETO TABELA VIP</t>
  </si>
  <si>
    <t>PARAMETRIZAR CAMPANHA - 3349 E 11938 sub</t>
  </si>
  <si>
    <t>300.000,00 / 500.000,00</t>
  </si>
  <si>
    <t>PARAMETRIZAR CAMPANHA I JARVIS 13052I BANCO FACTA</t>
  </si>
  <si>
    <t>PRODUCAO TOTAL-EXCETO TABELAS QUE CONSTAM NA VIP</t>
  </si>
  <si>
    <t>PARAMETRIZAR CAMPANHA I JARVIS 16446 I BANCO MASTER</t>
  </si>
  <si>
    <t>PARAMETRIZAR CAMPANHAS I BANCO BMG</t>
  </si>
  <si>
    <t>PARAMETRIZAR CAMPANHA I JARVIS 14003 I BANCO FACTA</t>
  </si>
  <si>
    <t>PARAMETRIZAR CAMPANHA I JARVIS 16165 E 16472 I BANCO FACTA</t>
  </si>
  <si>
    <t>PARAMETRIZAR CAMPANHA I JARVIS 13910 E 8810 I BANCO FACTA</t>
  </si>
  <si>
    <t>PARAMETRIZAR CAMPANHA l CÓDIGO 14105 l BANCO QUERO MAIS</t>
  </si>
  <si>
    <t>QUERO MAIS - CONVENIO SIAPE</t>
  </si>
  <si>
    <t>PARAMETRIZAR CAMPANHA I ABRIL I DIRECT X I BANCO FACTA</t>
  </si>
  <si>
    <t>PARAMETRIZAR CAMPANHA - ID 16098 - REF ABRIL - FACTA</t>
  </si>
  <si>
    <t>FACTA REFIN DA PORTABILIDADE PRODUÇÃO TOTAL</t>
  </si>
  <si>
    <t>PARAMETRIZAÇÃO CAMPANHA - BANCO FACTA - ABRIL - JARVIS 14993</t>
  </si>
  <si>
    <t>PARAMETRIZAR CAMPANHA - ID: 1452 - REF: ABRIL 2025</t>
  </si>
  <si>
    <t xml:space="preserve">
PRODUCAO TOTAL ATINGIR A META-BONIFICACAO PRODUCAO TOTAL EXCETO ITAU </t>
  </si>
  <si>
    <t>PARAMETRIZAÇÃO CAMPANHA - BANCO FACTA - ABRIL - COD 17225</t>
  </si>
  <si>
    <t>PARAMETRIZAÇÃO CAMPANHA - ABRL - BANCO FACTA - JARVIS 14482</t>
  </si>
  <si>
    <t>PARAMETRIZAÇÃO CAMPANHA - ABRIL - JARVIS 6905</t>
  </si>
  <si>
    <t>MASTER-M FACIL E CREDCESTA  - prefeitura de UBERABA, 
IPSERV E CODAU em todas as tabelas e prazos</t>
  </si>
  <si>
    <t>PARAMETRIZAR CAMPANHA - ID 14394</t>
  </si>
  <si>
    <t>TODA PRODUCAO ATINGIR A META-BONIFICACAO:
NOVO INSS - BONIFICAR APENAS FACTA,MEUCREDBANK E BMG, EM 96X .
CARTÃO (RMC e RCC),e FGTS . TODOS OS BANCOS , CONVÊNIOS E PRAZOS</t>
  </si>
  <si>
    <t>PARAMETRIZAÇÃO CAMPANHA - BANCO DAYCOVAL - 15692 - ABRIL - ABM ASSESSORIA E PROCESSAMENTO DE</t>
  </si>
  <si>
    <t>DAYCOVAL -SOBRE AS TABELAS QUE RECEBEMOS PRODUCAO GERAL</t>
  </si>
  <si>
    <t>PARAMETRIZAR CAMPANHA - 11496</t>
  </si>
  <si>
    <t>PARAMETRIZAR CAMPANHA- 13061</t>
  </si>
  <si>
    <t>CAMPANHA ABRIL I 17401 - FABIANO DOS SANTOS SILVEIRA 332559</t>
  </si>
  <si>
    <t>CAMPNHA ABRIL I 17192 - RECEBAMAIS SOLUCOES EM CREDITO LTDA</t>
  </si>
  <si>
    <t>CAMPANHA ABRIL I 13128 - DANIELLE LIMA BEVENUTO 32674022809</t>
  </si>
  <si>
    <t>CAMPANHA ABRIL I 14511 - LEROY LUIZ ARAUJO NOGUEIRA MACARIO</t>
  </si>
  <si>
    <t>CAMPANHA FACTA I ABRIL I 14590 CREDSIM EMPRESTIMOS &amp; FINANCIAMENTO</t>
  </si>
  <si>
    <t>CAMPANHA ABRIL I 13007 - SORROCHE SOLUCOES FINANCEIRAS LTDA</t>
  </si>
  <si>
    <t>CAMPANHA ABRIL I 11301 - LUIZ ANTONIO MAIA LTDA</t>
  </si>
  <si>
    <t>CAMPANHA ABRIL | BANCO FACTA | 16953 ALCIONE MATOS DA SILVA</t>
  </si>
  <si>
    <t>CAMPANHA 16955 I SUB - BRUNO CORREA TAVARES</t>
  </si>
  <si>
    <t>CAMPANHA ABRIL I 14291 - SOUZA &amp; BATALINI SOCIEDADE LTDA</t>
  </si>
  <si>
    <t>CAMPANHA ABRIL I 13131 - T &amp; R ASSESSORIA E PROMOCAO DE VEN</t>
  </si>
  <si>
    <t>MASTER-PRODUCAO TOTAL EXCETO INSS</t>
  </si>
  <si>
    <t>CAMPANHA ABRIL I 6869 - ARTHUR SERVICOS DE COBRANCAS AMIG</t>
  </si>
  <si>
    <t>CAMPANHA BANCO MASTER I 14938</t>
  </si>
  <si>
    <t>CAMPANHA ABRIL I 17288 CREDPARCEIRO ASSESSORIA DE CREDITO</t>
  </si>
  <si>
    <t>CAMPANHA ABRIL I 16578 GABRIELA FONSECA BALBINO DOS SANTO</t>
  </si>
  <si>
    <t>CAMPANHA ABRIL I 9580 BEVALI LTDA</t>
  </si>
  <si>
    <t>CAMPANHA ABRIL I 13932 ELIANA DE FATIMA MELCHIOR DORIA SE</t>
  </si>
  <si>
    <t>CAMPANHA ABRIL I 15421 17.972.259 MIKELY SUMIE CARENO KAWA I BANCO FACTA</t>
  </si>
  <si>
    <t>CAMPANHA ABRIL I 14011 SUB MIX SOLUÇÕES I VCTEX E FACTA</t>
  </si>
  <si>
    <t>VCTEX-FGTS</t>
  </si>
  <si>
    <t>CAMPANHA ABRIL I 15564 FERNANDA CAROLINA HONORIO SCHUINDT</t>
  </si>
  <si>
    <t>CAMPANHA ABRIL I 16848 - CARINA HELEN RODRIGUES SIVERO</t>
  </si>
  <si>
    <t>CAMPANHA ABRILI 16783 ANI CHAVES</t>
  </si>
  <si>
    <t>PARAMETRIZAR CAMPANHA - 14409</t>
  </si>
  <si>
    <t>Todas tabelas contrato novo banco Presençabank</t>
  </si>
  <si>
    <t>PARAMETRIZAR CAMPANHA I JARVIS 13750 E 13560 I BANCO FACTA</t>
  </si>
  <si>
    <t>PARAMETRIZAR CAMPANHA - 7179</t>
  </si>
  <si>
    <t>MERCANTIL - CRÉDITO PESSOAL - CP RESOLVE - DOMICILIO BANCÁRIO - TODOS</t>
  </si>
  <si>
    <t>PARAMETRIZAR CAMPANHA I REG GLAUCE MONTE</t>
  </si>
  <si>
    <t xml:space="preserve"> C6 BANK - INSS - DIGITAL WEB NOVO NORMAL (210180) - TAXA 1,85% - 84 E 96 MESES
C6 BANK - INSS - DIGITAL WEB PLUS NOVO NORMAL (210182) - TAXA 1,85% - 84 E 96 MESES
C6 BANK - INSS - DIGITAL WEB NOVO REPRESENTANTE LEGAL (210184) - TAXA 1,85% - 84 E 96 MESES
C6 BANK - INSS - DIGITAL WEB NOVO NORMAL - LOAS 88 (210181) - TAXA 1,85% - 84 E 96 MESES
C6 BANK - INSS - DIGITAL WEB PLUS NOVO NORMAL - LOAS 88 (210183) - TAXA 1,85% - 84 E 96 MESES</t>
  </si>
  <si>
    <t>DAYCOVAL - 50% DO BÔNUS QUE A CREDFRANCO RECEBER DO BANCO  
NAS TABELAS ELEGÍVEIS .</t>
  </si>
  <si>
    <t xml:space="preserve">PRODUCAO TOTAL -EXCETO PAN -E TABELAS : AMIGOZ - PREFEITURA DE BELO HORIZONTE - CARTAO BENEFICIO COM SAQUE -
AMIGOZ - PREFEITURA DE BELO HORIZONTE - CARTAO BENEFICIO COM SAQUE - COM SEGURO DIAMANTE - </t>
  </si>
  <si>
    <t>PAGAR BÔNUS SOBRE TODA PRODUÇÃO-EXCETO ITAU-INSS-CREDITO 5407</t>
  </si>
  <si>
    <t>PRESENÇA BANK - TODAS AS TABELAS, CONVENIOS E PRAZOS</t>
  </si>
  <si>
    <t>BMG - INSS - MARGEM LIVRE - PRAZO 96 MESES - TODAS AS TABELAS/ C6 - NSS - MARGEM LIVRE - PRAZO 96 MESES - TODAS AS TABELAS  ( CONSIDERAR PRODUÇÃO TOTAL PARA FINS DE GATILHO DA META)</t>
  </si>
  <si>
    <t>REF. 50% do Bonus do BANCO DAYCOVAL , nas tabelas que recebemos </t>
  </si>
  <si>
    <t>CAMPANHA ABRIL I 13669 - LIMA E BISPO SOLUCOES E DESENVOLVI</t>
  </si>
  <si>
    <t>CAMPANHA ABRIL I 16912 - SELECT SOLUCOES LTDA</t>
  </si>
  <si>
    <t>Bonus pago em cima do Refin INSS C6 </t>
  </si>
  <si>
    <t>CAMPANHA ABRIL I 13053 - PB SERVICO DE CONSTRUCAO, TRATAMEN</t>
  </si>
  <si>
    <t>PARAMETRIZAR CAMPANHA l JARVIS 6887 l BANCO DIGIO</t>
  </si>
  <si>
    <t>TODOS CONVENIOS E PRODUTOS BANCO DIGIO </t>
  </si>
  <si>
    <t>PARAMETRIZAR CAMPANHA I JARVIS 13718 I BANCO AMIGOZ</t>
  </si>
  <si>
    <t xml:space="preserve">amigoz-TODAS ( EXCETO PREF RECIFE / TJ MG / JUIZ DE FORA) 	</t>
  </si>
  <si>
    <t>PARAMETRIZAR CAMPANHA - ID 3489 - PRESENÇA BANK</t>
  </si>
  <si>
    <t>BANCO PRESENÇA BANK - TODAS OS CONVENIOS , TABELAS e PRAZOS </t>
  </si>
  <si>
    <t>CAMPANHA APENAS PARA INSS MEU CREDBANK</t>
  </si>
  <si>
    <t>CAMPANHAS I DANILO FERREIRA</t>
  </si>
  <si>
    <t>SOBRE TODA PRODUÇÃO VCTEX</t>
  </si>
  <si>
    <t>PARAMETRIZAR CAMPANHA MEUCREDBANK I ABRIL I DANILO FERREIRA</t>
  </si>
  <si>
    <t>TODA PRODUÇÃO INSS EXCETO AS TABELAS - MEU CREDBANK - INSS - MEU CREDBANK - INSS - FP - NORMAL - TX 1,85\MEU CREDBANK - INSS - MEU CREDBANK - INSS - FP - SEGURO - TX 1,85</t>
  </si>
  <si>
    <t>TODA PRODUÇAO DE FGTS</t>
  </si>
  <si>
    <t>CAMPANHAS ABRIL I DANILO FERREIRA</t>
  </si>
  <si>
    <t xml:space="preserve">MASTER-PRODUÇÃO TOTAL DE CARTÃO RMC E CARTÃO BENEFICIO (TODOS OS CONVÊNIOS) </t>
  </si>
  <si>
    <t>MEU CREDBANK-TODA PRODUÇÃO INSS EXCETO AS TABELAS ( INSS - MEU CREDBANK - INSS - FP - NORMAL - TX 1,85 \ INSS - MEU CREDBANK - INSS - FP - SEGURO - TX 1,85 )</t>
  </si>
  <si>
    <t>MASTER-TODOS OS CONVENIOS E PRODUTOS MFACIL CREDCESTA REFIN CREDCESTA - Somente o novo que esta na tabela vip (bonus já antecipado)</t>
  </si>
  <si>
    <t>pRESENÇA BANK - SIAPE - MARGEM LIVRE -</t>
  </si>
  <si>
    <t>C6 - INSS - MARGEM LIVRE - TODOS OS PRAZOS - TODAS AS TABELAS  - PAN -  INSS - MARGEM LIVRE - TODOS OS PRAZOS - TODAS AS TABELAS - FACTA - INSS - MARGEM LIVRE - PRAZO MAXIMO - TODAS AS TABELAS - DAYCOVAL -  GOV DE PE - MARGEM LIVRE - PRAZO MAXIMO - TODAS AS TABELAS / PEDIMOS CONSIDERAR TODAS A PRODUÇAO LIQUIDA PARA FINS DE GATILHO DA META</t>
  </si>
  <si>
    <t>C6 - INSS - MARGEM LIVRE - TODOS OS PRAZOS - TODAS AS TABELAS  - PAN -  INSS - MARGEM LIVRE - TODOS OS PRAZOS - TODAS AS TABELAS -FACTA - INSS - MARGEM LIVRE - PRAZO MAXIMO - TODAS AS TABELAS  /PEDIMOS CONSIDERAR TODAS A PRODUÇAO LIQUIDA PARA FINS DE GATILHO DA META</t>
  </si>
  <si>
    <t>meu credbank inss- so com seguros</t>
  </si>
  <si>
    <t>CAMPANHA ABRIL I 16591 - GPS NEGOCIOS E CORRETAGEM DE SEGUR</t>
  </si>
  <si>
    <t xml:space="preserve">MASTER-TODOS OS CONVENIOS E PRODUTOS MFACIL CREDCESTA NOVO E REFIN CREDCESTA </t>
  </si>
  <si>
    <t>PARAMETRIZAR CAMPANHA - ID 3209/13857</t>
  </si>
  <si>
    <t>3209-13857</t>
  </si>
  <si>
    <t xml:space="preserve">300.000,00	</t>
  </si>
  <si>
    <t>CAMPANHA FACTA I DANILO FERREIRA</t>
  </si>
  <si>
    <t>CAMPANHA FACTA I 9248 I ABRIL I MAYNE PORTO RODRIGUES PINHEIRO LTDA</t>
  </si>
  <si>
    <t>PARAMETRIZAR CAMPANHA - ID: 1212 - REF: ABRIL E MAIO</t>
  </si>
  <si>
    <t>BANCO DIGIO CONVENIO SIAPE</t>
  </si>
  <si>
    <t>PARAMETRIZAR CAMPANHA - 5599</t>
  </si>
  <si>
    <t xml:space="preserve">DIGIO PRODUCAO TOTAL </t>
  </si>
  <si>
    <t>Fwd: CAMPANHA FACTA - SUB 17461 - ACB SERVIÇOS ( GH)</t>
  </si>
  <si>
    <t>PARAMETRIZAR CAMPANHAS - GC MICHAELE - REF: ABRIL 2025</t>
  </si>
  <si>
    <t>AMIGOZ - TODOS OS PRODUTOS E PRAZOS</t>
  </si>
  <si>
    <t>PRESENÇA BANK - INSS - NOVO - 84 e 96x</t>
  </si>
  <si>
    <t>Fwd: De acordo para alteração de grade.</t>
  </si>
  <si>
    <t>PARAMETRIZAR CAMPANHA - ID 16403/17375</t>
  </si>
  <si>
    <t>CONSIDERAR SOMENTE A PRODUÇÃO INSS DO BANCO DIGIO PARA APURAÇAO E  ATINGIMENTO DA META. </t>
  </si>
  <si>
    <t>CONSIDERAR A PRODUÇÃO TOTAL DO BANCO FACTA PARA APURAÇAO E  ATINGIMENTO DA META. </t>
  </si>
  <si>
    <t>CONSIDERAR A PRODUÇÃO TOTAL DO BANCO VCTEX PARA APURAÇAO E  ATINGIMENTO DA META. </t>
  </si>
  <si>
    <t>PARAMETRIZAR CAMPANHA - ID 7117 - BANCO DIGIO</t>
  </si>
  <si>
    <t>0.10% / 0,20%</t>
  </si>
  <si>
    <t xml:space="preserve">PRODUCAO TOTAL PARA CONTABILIZAR-META PRODUCAO TOTAL DESCONSIDERANDO BANCO BMG
</t>
  </si>
  <si>
    <t>PARAMETRIZAR CAMPANHA - ID´s 3190 / 6950 / 7036</t>
  </si>
  <si>
    <t>PARAMETRIZAR CAMPANHA - 15001 | 6935</t>
  </si>
  <si>
    <t>CONSIDERAR TODA A PRODUÇAO NO FACTA PARA APURAÇAO E  ATINGIMENTO DA META EM AMBOS OS CODIGOS.-CREDITO 6935</t>
  </si>
  <si>
    <t>CONSIDERAR TODA A PRODUÇAO NO DIGIO PARA APURAÇAO E  ATINGIMENTO DA META EM AMBOS OS CODIGOS.-CREDITO 6935</t>
  </si>
  <si>
    <t>CONSIDERAR TODA A PRODUÇAO NO MEU CREDBANK PARA APURAÇAO E  ATINGIMENTO DA META EM AMBOS OS CODIGOS.-CREDITO 6935</t>
  </si>
  <si>
    <t>PRODUCAO TOTAL 
Exceto (INSS-NOVO-BMG)-CREDITO 3209</t>
  </si>
  <si>
    <t>PARAMETRIZAR CAMPANHA- ID 3444/10487</t>
  </si>
  <si>
    <t>TIPO DE FECHAMETO</t>
  </si>
  <si>
    <t>3024 / 6839</t>
  </si>
  <si>
    <t>9241 / 15703</t>
  </si>
  <si>
    <t>3422 / 16482 / 6894</t>
  </si>
  <si>
    <t xml:space="preserve">7150 / 14514 </t>
  </si>
  <si>
    <t>15463 / 5407</t>
  </si>
  <si>
    <t>12291 / 16101</t>
  </si>
  <si>
    <t>9207 / 15942 / 15896 / 16893</t>
  </si>
  <si>
    <t>9207 / 16893 / 15896 / 15942</t>
  </si>
  <si>
    <t>banco amigoz(cartao e cartão beneficio-todos os convenios)</t>
  </si>
  <si>
    <t>PRODUCAO TOTAL -CREDITO 3190</t>
  </si>
  <si>
    <t>PARAMETRIZAR CAMPANHA - ID 5713 REF ABRIL E MAIO</t>
  </si>
  <si>
    <t>PRODUCAO TOTAL - EXCETO TABELAS QUE CONSTAM NA VIP</t>
  </si>
  <si>
    <t>PARAMETRIZAR CAMPANHA - REF ABRIL E MAIO - ID 12279</t>
  </si>
  <si>
    <t>Fwd: CAMPANHA SUB - ABRIL 2025</t>
  </si>
  <si>
    <t>Fwd: RENOVAÇÃO DE CAMPANHA FACTA - PARCEIRO 13929</t>
  </si>
  <si>
    <t>PARAMETRIZAR CAMPANHA - 7545</t>
  </si>
  <si>
    <t>MERCANTIL - CRÉDITO PESSOAL - CP RESOLVE - DOMICILIO BANCÁRIO (VALOR FIXO) - TODOS </t>
  </si>
  <si>
    <t>Fwd: Bonus SUB Facta A&amp;Y - 15980</t>
  </si>
  <si>
    <t xml:space="preserve">BANCO C6  - NOVO INSS PRODUÇÃO TOTAL </t>
  </si>
  <si>
    <t>CAMPANHA DANILO FERREIRA I 13113</t>
  </si>
  <si>
    <t>CAMPANHA DANILO FERREIRA</t>
  </si>
  <si>
    <t>TODA PRODUÇÃO DO MEU CRED BANk-PRODUTO INSS-NOVO(ATE A DATA 07/04 CONFORME EMAIL: Campanhas MEUCRED BANK-DEMAIS PRODUTOS 30/04</t>
  </si>
  <si>
    <t>TODA PRODUÇÃO DO MEU CRED BANk-exceto portabilidade-PRODUTO INSS-NOVO(ATE A DATA 07/04 CONFORME EMAIL: Campanhas MEUCRED BANK-DEMAIS PRODUTOS 30/04</t>
  </si>
  <si>
    <t>MEU CREDBANK – INSS – NOVO PRODUÇÃO TOTAL -EMAIL : Campanhas MEUCRED BANK</t>
  </si>
  <si>
    <t>MEU CREDBANK – INSS NOVO 84 XE 96 X-CONFORME EMAIL -Campanhas MEUCRED BANK</t>
  </si>
  <si>
    <t>PRODUCAO TOTAL PARA CONTABILIZAR-META PRODUCAO TOTAL DESCONSIDERANDO BANCO BMG-MEU CREDBANK-INSS-NOVO ATE 07/04-EMAIL :Campanhas MEUCRED BANK</t>
  </si>
  <si>
    <t xml:space="preserve">
MEU CREDBANK - TODA PRODUÇÃO INSS EXCETO :
MEU CREDBANK - INSS - MEU CREDBANK - INSS - FP - NORMAL - TX 1,85\
MEU CREDBANK - INSS - MEU CREDBANK - INSS - FP - SEGURO - TX 1,85</t>
  </si>
  <si>
    <t xml:space="preserve">C6-TODOS OS CONVENIOS-NOVO--84X E 96X COM PCT E SEM PCT </t>
  </si>
  <si>
    <t>CALCULAR TODA PRODUCAO- CASO ATINJA OU NÃO, APENAS RETORNAR NO E-MAIL COMUNICANDO A PRODUÇÃO</t>
  </si>
  <si>
    <t>PRODUCAO TOTAL ATINGIR A META - BONIFICACAO EXCETO PORTABILIDADE-PRODUCAO TOTAL BANCOS DAYCOVAL, PAN, VEMCARD, CASHCARD, FACTA, CREFAZ</t>
  </si>
  <si>
    <t>R$ 15,00 / PROPOSTA</t>
  </si>
  <si>
    <t> MASTER /GOV SP, GOV MT E PREF. DE SP/ 96,84 E 72X - NOVO, CARTÃO BENEFICIO E CARTÃO</t>
  </si>
  <si>
    <t>TODOS OS BANCOS - TODOS OS PRODUTOS - INSS - 96x</t>
  </si>
  <si>
    <t>FACTA - INSS E FGTS - CONFORME REGULAMENTO</t>
  </si>
  <si>
    <t>PARAMETRIZAR CAMPANHA - 16988</t>
  </si>
  <si>
    <t>AMIGOZ - 3.5 % EM CIMA DE TODAS AS TABELAS RMC E RCC INSS</t>
  </si>
  <si>
    <t>PARAMETRIZAR CAMPANHA - ID: 10465 / 7809 / 7060 - BANCO DIGIO - GC DANIELLE</t>
  </si>
  <si>
    <t xml:space="preserve">TODOS CONVENIOS E PRODUTOS BANCO DIGIO </t>
  </si>
  <si>
    <t>MEU CREDBANK	-TODA PRODUÇÃO DE INSS EXCETO -  MEU CREDBANK - INSS - FP - NORMAL - TX 1,80</t>
  </si>
  <si>
    <t>MEU CREDBANK	-TODA PRODUÇÃO DE FGTS</t>
  </si>
  <si>
    <t>Fwd: CAMPANHA - BONUS BANCO MEU CREDBANK- 04/2025 - 17340 - SUB - LJP SEOUD LTDA</t>
  </si>
  <si>
    <t>BANCO FACTA - CONFORME REGULAMENTO-Credito 15703</t>
  </si>
  <si>
    <t>PRODUCAO TOTAL ATINGIR A META-BONIFICACAO - BANCOS BMG, C6, PAN E FACTA-credito 7150</t>
  </si>
  <si>
    <t>TODA PRODUCAO PARA CONTABILIZAR -META INSS-NOVO-84X -EXCETO ITAU-CREDITO 11938</t>
  </si>
  <si>
    <t>BANCO BMG/ TODOS OS PRODUTOS E CONVÊNIOS EXCETO O INSS-EXCETO TABELAS VIP-CONSIDERAR PARA CONTABILIZAR E NÃO PARA META</t>
  </si>
  <si>
    <t>FACTA -  TODAS AS OPERAÇÕES ELEGIVEIS AO BONUS FACTA</t>
  </si>
  <si>
    <t>PARAMETRIZAR CAMPANHA - ID: 4353 - REF: MARÇO / ABRIL - 2025</t>
  </si>
  <si>
    <t>PRODUCAO TOTAL ATINGIR A META-BONIFICACAO MASTER PRODUCAO TOTAL -EXCETO INSS</t>
  </si>
  <si>
    <t>PARAMETRIZAR CAMPANHA - BANCO SAFRA - ID 15503</t>
  </si>
  <si>
    <t>Facta / INSS / Novo / 96, 84, 72
Facta / INSS / Refin de Port / 40 a 96</t>
  </si>
  <si>
    <t>PARAMETRIZAR CAMPANHA - 15087</t>
  </si>
  <si>
    <t>REFIN DA PORT \ MEUCREDBANK\INSS\96 E 84 X</t>
  </si>
  <si>
    <t xml:space="preserve">BANCO C6 - MARGEM LIVRE  INSS- TODAS AS TABELAS  NORMAL E LOAS </t>
  </si>
  <si>
    <t>BANCO C6 - MARGEM LIVRE -INSS-TODAS AS TABELAS    REPR LEGAL</t>
  </si>
  <si>
    <t>toda produção do master e Digio</t>
  </si>
  <si>
    <t>PARAMETRIZAR CAMPANHA - ID: 1577 - REF: ABRIL 2025</t>
  </si>
  <si>
    <t>PARAMETRIZAR CAMPANHA - ID: 16710 - REF: ABRIL 2025</t>
  </si>
  <si>
    <t>FACTA CONFORME REGULAMENTO-CONVENIO -CLT NÃO CONSIDERAR</t>
  </si>
  <si>
    <t>PRODUCAO TOTAL -EXCETO TABELAS QUE CONSTAM NA VIP-CREDITO 3190-</t>
  </si>
  <si>
    <t>PARAMETRIZAR CAMPANHA - ID 14722 - BANCO C6</t>
  </si>
  <si>
    <t>C6 - INSS CONTRATO  NOVO - PRAZO 96 MESES</t>
  </si>
  <si>
    <t>PARAMETRIZAR CAMPANHA - ID: 7337 - REF: ABRIL 2025</t>
  </si>
  <si>
    <t>PRODUCAO TOTAL ATINGIR A META  -FACTA - INSS - MARGEM LIVRE - PRAZO MAXIMO - TODAS AS TABELAS - CREDITO 15803</t>
  </si>
  <si>
    <t>FACTA - INSS NOVO - PRAZO MAXIMO 96X</t>
  </si>
  <si>
    <t>300.000/ 500.000,00</t>
  </si>
  <si>
    <t>0,1% /  0,20 %</t>
  </si>
  <si>
    <t>Digio produção total - portabilidade.</t>
  </si>
  <si>
    <t xml:space="preserve">MASTER-CARTÃO RMC E CARTÃO BENEFICIO </t>
  </si>
  <si>
    <t>BANCO MASTER (TODOS OS CONVÊNIOS)</t>
  </si>
  <si>
    <t>PARAMETRIZAR CAMPANHA - ID: 15244 - REF: ABRIL 2025</t>
  </si>
  <si>
    <t>Não achou</t>
  </si>
  <si>
    <r>
      <t>SAFRA-TODA A PRODUÇÃO SIAPE e INSS ( </t>
    </r>
    <r>
      <rPr>
        <b/>
        <sz val="9"/>
        <color theme="1"/>
        <rFont val="Calibri Light"/>
        <family val="2"/>
      </rPr>
      <t> INSS SE RECEBERMOS O BONUS </t>
    </r>
    <r>
      <rPr>
        <sz val="9"/>
        <color theme="1"/>
        <rFont val="Calibri Light"/>
        <family val="2"/>
      </rPr>
      <t>) </t>
    </r>
    <r>
      <rPr>
        <sz val="11"/>
        <color theme="1"/>
        <rFont val="Calibri"/>
        <family val="2"/>
        <scheme val="major"/>
      </rPr>
      <t>-INSS NÃO POSSUI BONIFICACAO A SER REPASSADA</t>
    </r>
  </si>
  <si>
    <t>ALESSANDRO MACHADO DA SILVA</t>
  </si>
  <si>
    <t>JULIANA DE ALMEIDA SIMPLICIO ROCHA</t>
  </si>
  <si>
    <t>SERGIO HENRIQUE BRITO OLIVEIRA</t>
  </si>
  <si>
    <t>PARAMETRIZAR CAMPANHA - 16710</t>
  </si>
  <si>
    <t>FACTA - TODOS OS PRAZOS EM NOVO (exceto CLT) </t>
  </si>
  <si>
    <t>PARAMETRIZAR CAMPANHA - 13483</t>
  </si>
  <si>
    <t>PARAMETRIZA CAMPANHA - BANCO FACTA - COD 17467 - MAIO</t>
  </si>
  <si>
    <t>PARAMETRIZAR CAMPANHA - ID: 2598 - REF: MAIO 2025</t>
  </si>
  <si>
    <t>TODOS OS BANCOS E TODOS OS PRODUTOS. Exceto banco BMG E ITAU E TABELAS QUE POSSUEM REGRAS VIP APROVADAS)</t>
  </si>
  <si>
    <t>REFIN DA PORT  \ MEUCREDBANK\INSS\96 E 84 X </t>
  </si>
  <si>
    <t>PARAMETRIZAÇÃO CAMPANHA - COD 17142 - BANCO MASTER - MAIO</t>
  </si>
  <si>
    <t>MASTER-TODOS OS PRODUTOS E PRAZOS</t>
  </si>
  <si>
    <t>CADASTRAR CAMPANHAS | 15086 SUB D VALOR e 5804 JOSEVAL PF</t>
  </si>
  <si>
    <t>FACTA TODOS OS CONVENIOS E PRAZOS</t>
  </si>
  <si>
    <t>DAYCOVAL - 50% DO BÔNUS QUE A CREDFRANCO RECEBER DO BANCO  , NAS TABELAS ELEGIVIES.</t>
  </si>
  <si>
    <t>QUERO MAIS -SIAPE CARTÃO CONSIGNADO E CARTÃO BENEFICIO</t>
  </si>
  <si>
    <t>CADASTRAR CAMPANHA l JARVIS 16236 l BANCO FACTA</t>
  </si>
  <si>
    <t>16236 </t>
  </si>
  <si>
    <t>PARAMETRIZAR CAMPANHA - ID: 8336 - REF; MAIO 2025</t>
  </si>
  <si>
    <t>CAMPANHA FACTA I MAIO I 16055 SUB - INSTITUTO VAP</t>
  </si>
  <si>
    <t>NOVO COM E SEM SEGURO \ PRESENÇA BANK \INSS\96 E 84 X</t>
  </si>
  <si>
    <t>PARAMETRIZAR CAMPANHAS - GC CHRISTIANE - REF: MAIO 2025</t>
  </si>
  <si>
    <t>FACTA – PRODUÇAÕ TOTAL CONFORME PARÂMETRO DO BANCO</t>
  </si>
  <si>
    <t>PRESENÇA BANK- PRODUÇÃO TOTAL</t>
  </si>
  <si>
    <t>AMIGOZ – PRODUÇÃO TOTAL</t>
  </si>
  <si>
    <t>PARAMETRIZAR CAMPANHA - MAIO - GC MICHAELE</t>
  </si>
  <si>
    <t>12986 </t>
  </si>
  <si>
    <t>B2S (MEU CASHCARD) - TODOS OS CONVÊNIOS - TODOS OS PRAZOS E TABELAS</t>
  </si>
  <si>
    <t>VCTEX - SOBRE TODA A OPERAÇÃO</t>
  </si>
  <si>
    <t>7150 </t>
  </si>
  <si>
    <t>7523 </t>
  </si>
  <si>
    <t>8571 </t>
  </si>
  <si>
    <t>PARAMTRIZAR CAMPANHA I BANCO FACTA I COD 13166 - MAIO</t>
  </si>
  <si>
    <t>FACTA - TODOS OS PRODUTOS E PRAZOS</t>
  </si>
  <si>
    <t>PARAMETRIZAR CAMPANHA I BANCO FACTA I COD 17229 -MAIO</t>
  </si>
  <si>
    <t>PARAMETRIZAÇÃO CAMPANHA I BANCO FACTA I COD 16995 -MAIO</t>
  </si>
  <si>
    <t>PARAMETRIZAR CAMPANHA I BANCO FACTA I COD 16360 - MAIO</t>
  </si>
  <si>
    <t>PARAMETRIZAR CAMPANHA I BANCO FACTA I COD 17421 - MAIO</t>
  </si>
  <si>
    <t>PARAMETRIZAR CAMPANHA - ID: 1818 - REF: MAIO 2025</t>
  </si>
  <si>
    <t>TODA A PRODUÇÃO ( EXCETO TABELAS VIP)</t>
  </si>
  <si>
    <t>CAMPANHA MAIO FACTA | JARVIS 16898</t>
  </si>
  <si>
    <t>PARAMETRIZAR CAMPANHA I BANCO FACTA I COD17102 - MAIO</t>
  </si>
  <si>
    <t>17102 </t>
  </si>
  <si>
    <t>PARAMETRIZAR CAMPANHA I BANCO QUERO MAIS I COD 15874 -MAIO</t>
  </si>
  <si>
    <t>QUERO MAIS/ INSS/SIAPE/CARTÃO RMC/CARTÃO BENEFÍCIO/ TODAS AS TABELAS</t>
  </si>
  <si>
    <t>PARAMETRIZAR CAMPANHA - GC IGOR</t>
  </si>
  <si>
    <t>PRODUCAO TOTAL ATINGIR A META-BONIFICACAO  NOVOS INSS C 6 ,FACTA , CREDBANK, PRESENÇA E VCTEX</t>
  </si>
  <si>
    <t>PARAMETRIZAR CAMPANHA - 865 e 13671</t>
  </si>
  <si>
    <t>865 / 13671</t>
  </si>
  <si>
    <t>PRODUCAO TOTAL - CREDITO 865</t>
  </si>
  <si>
    <t xml:space="preserve">
PRODUCAO TOTAL CONTABILIZAR E ATINGIR A META
BONIFICACAO DESCONSIDERAR TABELAS VIP</t>
  </si>
  <si>
    <t>PRESENÇA BANK - INSS - NOVO - 84 e 96x</t>
  </si>
  <si>
    <t>C6 – TODOS OS CONVENIOS, NAS TABELAS ELEGIVEIS.</t>
  </si>
  <si>
    <t>PARAMETRIZAR CAMPANHA - ID: 14544 - REF: MAIO 2025</t>
  </si>
  <si>
    <t>CONTABILIZAR TODA PRODUÇÃO PARA META E REMUNERAR BANCO MASTER APENAS, MFÁCIL E CREDCESTA, TODOS OS CONVÊNIOS EXCETO INSS.</t>
  </si>
  <si>
    <t>CADASTRAR CAMPANHA MAIO | BANCO FACTA | JARVIS 13900</t>
  </si>
  <si>
    <t>CONFORME REGULAMENTO FACTA (E EXCETO CLT).</t>
  </si>
  <si>
    <t>CAMPANHA BANCO FACTA I 17288 I MAIO</t>
  </si>
  <si>
    <t>PARAMETRIZAR CAMPANHA I BANCO QUERO + I COD 14105 - MAIO</t>
  </si>
  <si>
    <t>PARAMETRIZAR CAMPANHA - ID: 17303 - REF: MAIO 2025</t>
  </si>
  <si>
    <t>PARAMETRIZAR CAMPANHA - 16977</t>
  </si>
  <si>
    <t>PARAMETRIZAR CAMPANHA - 17354</t>
  </si>
  <si>
    <t>PARAMETRIZAR CAMPANHA I BANCO DIGIO I COD 6887 - MAIO</t>
  </si>
  <si>
    <t>PARAMETRIZAÇÃO CAMPANHA l BANCO FACTA l CÓDIGO 17614</t>
  </si>
  <si>
    <t>PARAMETRIZAR CAMPANHA - MAIO - COD 13053</t>
  </si>
  <si>
    <t>PARAMETRIZAR CAMPANHA - ID: 17350 - REF: MAIO 2025</t>
  </si>
  <si>
    <t>CAMPANHA MAIO CASHCARD | JARVIS 7149 ANTONIO SOBRINHO (VALOR PROMOTORA)</t>
  </si>
  <si>
    <t>Re: PARAMETRIZAR CAMPANHA - ID: 15515 - MAIO 2025</t>
  </si>
  <si>
    <t>PARAMETRIZAR CAMPANHA - FACTA - 3489 - REF: MAIO 2025</t>
  </si>
  <si>
    <t>PARAMETRIZAR CAMPANHA l BANCO FACTA l CÓDIGO 13977</t>
  </si>
  <si>
    <t>PARAMETRIZAR CAMPANHA l BANCO FACTA l CÓDIGO 11208</t>
  </si>
  <si>
    <t>PARAMETRIZAR CAMPANHA - 9241 e 15703</t>
  </si>
  <si>
    <t>FACTA CONFORME REGULAMENTO -CREDITO 15703</t>
  </si>
  <si>
    <t>PARAMETRIZAR CAMPANHA - 17391</t>
  </si>
  <si>
    <t>PARAMETRIZAR CAMPANHA I BANCO MASTER I COD 15664 -MAIO</t>
  </si>
  <si>
    <t>CONTABILIZAR TODA PRODUÇÃO E REMUNARAR APENAS BANCO MASTER MFÁCIL E CREDCESTA, GOVERNO DA BAHIA.</t>
  </si>
  <si>
    <t>CONTABILIZAR TODA PRODUÇÃO PARA META E REMUNERAR BANCO MASTER APENAS, MFÁCIL E CREDCESTA, GOVERNO DA BAHIA</t>
  </si>
  <si>
    <t>PRODUCAO TOTAL ATINGIR A META-BONIFICACAO  NOVO /INSS/PRAZO 84 E 96 / PRESENÇA BANK</t>
  </si>
  <si>
    <t>PRODUCAO TOTAL ATINGIR A META-BONIFICACAO  NOVO /INSS/PRAZO 84 E 96 / MEU CREDBANK</t>
  </si>
  <si>
    <t>PRODUCAO TOTAL ATINGIR A META -BONIFICACAO  NOVO /INSS/PRAZO 84 E 96 / BMG</t>
  </si>
  <si>
    <t>QUERO MAIS-SOMENTE SOBRE CONVÊNIO SIAPE-TODOS OS PRODUTOS</t>
  </si>
  <si>
    <t>PRESENÇA BANK - TODOS OS PRODUTOS E PRAZOS (exceto clt)</t>
  </si>
  <si>
    <t>PARAMETRIZAR CAMPANHA - 16457</t>
  </si>
  <si>
    <t>PARAMETRIZAÇÃO CAMPANHA I BANCO MASTER I COD 16446 -MAIO</t>
  </si>
  <si>
    <t>TODOS MASTER OS PRODUTOS E PRAZOS</t>
  </si>
  <si>
    <t>PARAMETRIZAÇÃO CAMPANHA I BANCO C6 I COD 16446 - MAIO</t>
  </si>
  <si>
    <t>CAMPANHA BANCO DAYCOVAL I 15692 I MAIO</t>
  </si>
  <si>
    <t>0,70 % EM CIMA BONUS</t>
  </si>
  <si>
    <t>daycoval PRODUÇÃO GERAL</t>
  </si>
  <si>
    <t>CAMPANHA BANCO FACTA I 17401 I MAIO</t>
  </si>
  <si>
    <t>PARAMETRIZAÇÃO CAMPANHA BANCO FACTA I 14291 I MAIO</t>
  </si>
  <si>
    <t>PARAMETRIZAR CAMPANHA - ID: 4079 - REF: MAIO 2025</t>
  </si>
  <si>
    <t>CONFORME REGRAS FACTA-EXCETO TABELA QUE CONSTA VIP</t>
  </si>
  <si>
    <t>CAMPANHA BANCO FACTA I 13128 I MAIO</t>
  </si>
  <si>
    <t>PARAMETRIZAR CAMPANHA - ID: 8856 - REF: MAIO 2025</t>
  </si>
  <si>
    <t>CONSIDERAR TODA A PRODUÇAO DE SIAPE DO PRESENÇA BANK.</t>
  </si>
  <si>
    <t>PARAMETRIZAR CAMPANHA - ID: 1532 - REF: MAIO 2025</t>
  </si>
  <si>
    <t>PARAMETRIZAR CAMPANHA - ID: 1452 - REF: MAIO 2025</t>
  </si>
  <si>
    <t>CAMPANHA BANCO FACTA I 14511 I MAIO</t>
  </si>
  <si>
    <t>CAMPANHA BANCO FACTA I 11301 I MAIO</t>
  </si>
  <si>
    <t>CAMPANHA BANCO FACTA I 17192 I MAIO</t>
  </si>
  <si>
    <t>CAMPANHA BANCO FACTA I 15564 I MAIO</t>
  </si>
  <si>
    <t>CAMPANHA MAIO I 16578</t>
  </si>
  <si>
    <t>Producao geral VCTEX</t>
  </si>
  <si>
    <t>CAMPANHA BANCO FACTA I 15421</t>
  </si>
  <si>
    <t>CAMPANHA VCTEX E FACTA I 14011 I MAIO</t>
  </si>
  <si>
    <t xml:space="preserve">VCTEX -FGTS PRODUCAO TOTAL </t>
  </si>
  <si>
    <t>CAMPANHA BANCO FACTA I 13932 I MAIO</t>
  </si>
  <si>
    <t>PARAMETRIZAR CAMPANHA l CÓDIGO 12021</t>
  </si>
  <si>
    <t>PARAMETRIZAR CAMPANHA - GC MARCOS - MAIO 2025</t>
  </si>
  <si>
    <t>PARAMETRIZAR CAMPANHA - ID: 12988</t>
  </si>
  <si>
    <t>PARAMETRIZAR CAMPANHA - ID: 4079 - REF; MARÇO 2025</t>
  </si>
  <si>
    <t>0.50% / 1%</t>
  </si>
  <si>
    <t xml:space="preserve"> 499.000,00 / 500.000,00</t>
  </si>
  <si>
    <t>PRODUCAO TOTAL ATINGIR A META -BONIFICACAO  NOVO /INSS/PRAZO 84 E 96 / BANCO FACTA-</t>
  </si>
  <si>
    <t>PRODUCAO TOTAL ATINGIR A META -BONIFICACAO  NOVO /INSS/PRAZO 84 E 96 / PRESENÇA BANK</t>
  </si>
  <si>
    <t>PRODUCAO TOTAL ATINGIR A META-BONIFICACAO NOVO /INSS/PRAZO 84 E 96 / BMG</t>
  </si>
  <si>
    <t xml:space="preserve">PRODUCAO TOTAL CONTABILLIZAR E ATINGIR A META- COM EXCEÇÃO DO ITAU </t>
  </si>
  <si>
    <t>PRODUCAO TOTAL C6-NOVO</t>
  </si>
  <si>
    <t>FACTA CONFORME REGRA FACTA</t>
  </si>
  <si>
    <t>PARAMETRIZAR CAMPANHA - GC WANDER</t>
  </si>
  <si>
    <t>TODAS AS TABELAS DE CONTRATO NOVO INSS MEU CRED BANK</t>
  </si>
  <si>
    <t>TODOS OS CARTÕES CONSIGNADO E BENEFICIO DO INSS AMIGOZ</t>
  </si>
  <si>
    <t>PARAMETRIZAR CAMPANHA - GC LEONARDO</t>
  </si>
  <si>
    <t>C6 - INSS CONTRATO NOVO - PRAZO 96 MESES</t>
  </si>
  <si>
    <t>PRESENÇA BANK - INSS NOVO - PRAZO 96 MESES</t>
  </si>
  <si>
    <t>CAMPANHA MAIO I ANDRÉ MEDEIROS</t>
  </si>
  <si>
    <t>MEU CREDBANK FGTS  - TODA AS TABELAS </t>
  </si>
  <si>
    <t>CAMPANHA BANCO FACTA I 16955 I MAIO</t>
  </si>
  <si>
    <t>Banco Facta - Novo, cartão, FGTS, refin da port - parcelas todas</t>
  </si>
  <si>
    <t>MEU CREDBANK INSS - TODAS AS TABELAS - MARGEM LIVRE</t>
  </si>
  <si>
    <t>MEU CREDBANK - INSS - MEU CREDBANK - INSS - REFIN PORT - TX 1,85</t>
  </si>
  <si>
    <t>PARAMETRIZAR CAMPANHA - ID: 17010</t>
  </si>
  <si>
    <t>PARAMETRIZAR CAMPANHA - ID: 3566 - REF: MAIO 2025</t>
  </si>
  <si>
    <t>PARAMETRIZAR CAMPANHA - ID&gt; 14910 - REF; MAIO 2025</t>
  </si>
  <si>
    <t>FACTA INSS - CONFORME REGRA FACTA</t>
  </si>
  <si>
    <t>PARAMETRIZAR CAMPANHA - ID: 14194 - REF: MAIO</t>
  </si>
  <si>
    <t>PARAMETRIZAR CAMPANHA - ID: 15503 - REF: MAIO 2025</t>
  </si>
  <si>
    <t>PARAMETRIZAR CAMPANHA I COD 13113 - MAIO</t>
  </si>
  <si>
    <t>PRODUCAO MEU CREDBANK-FGTS</t>
  </si>
  <si>
    <t>PARAMETRIZAR CAMPANHA I COD 15908 - MAIO</t>
  </si>
  <si>
    <t>PAN-TODA PRODUÇÃO DE NOVO E REFIN  , EXCETO SIAPE, INSS, GOV DO PARANA, E FGTS</t>
  </si>
  <si>
    <t>CADASTRAR CAMPANHAS MAIO | JARVIS 16029 | BANCO DAYCOVAL</t>
  </si>
  <si>
    <t>16029 </t>
  </si>
  <si>
    <t>PARAMETRIZAR CAMPANHA - 9321 / 13184 / 14222 - REF: MAIO 2025</t>
  </si>
  <si>
    <t xml:space="preserve"> -CONFORME REGRA FACTA-EXCETO PORT,REFIN DE PORT, E CLT-CREDITO 9321</t>
  </si>
  <si>
    <t>PARAMETRIZAR CAMPANHA I BANCO FACTA I CODIGO 13007</t>
  </si>
  <si>
    <t>PARAMETRIZAR CAMPANHA I BANCO MASTER I COD 16591 - MAIO</t>
  </si>
  <si>
    <t>PARAMETRIZAR CAMPANHA I JARVIS 13929 l BANCO FACTA</t>
  </si>
  <si>
    <t>TODAS AS OPERAÇÕES FGTS E INSS FACTA QUE CONTEMPLAM A CAMPANHA </t>
  </si>
  <si>
    <t>BONUS DO REFIN DA PORTABILIDADE  MEU CRED BANK-INSS</t>
  </si>
  <si>
    <t xml:space="preserve">DAYCOVAL-PRODUCAO TOTAL -SOMENTE TABELAS QUE POSSUEM CAMPANHA </t>
  </si>
  <si>
    <t xml:space="preserve">SAFRA-PROPOSTAS SIAPE -NOVO-75% DOQUE RECEBEMOS </t>
  </si>
  <si>
    <t xml:space="preserve">FACTA CONFORME REGULAMENTO CONVENIO INSS E FGTS PRODUCAO TOTAL </t>
  </si>
  <si>
    <t>PARAMETRIZAR CAMPANHA - ID: 4723 - REF: MAIO 2025</t>
  </si>
  <si>
    <t>PARAMETRIZAR CAMPANHA - ID: 16713 - REF: MAIO 2025</t>
  </si>
  <si>
    <t>AMIGOS-NOVO, CARTÃO BENEFICIO E CARTÃO-TODOS OS CONVENIOS</t>
  </si>
  <si>
    <t>MASTER-NOVO, CARTÃO BENEFICIO E CARTÃO-TODOS OS CONVENIOS</t>
  </si>
  <si>
    <t>1.90%</t>
  </si>
  <si>
    <t>PARAMETRIZAR CAMPANHA - ID: 15663 - REF: MAIO 2025</t>
  </si>
  <si>
    <t>MERCANTIL-RMC E RCC - TODOS OS CONVENIOS</t>
  </si>
  <si>
    <t>PARAMETRIZAR CAMPANHA I JARVIS 13131 l BANCO MASTER</t>
  </si>
  <si>
    <t>CADASTRAR CAMPANHAS | MAIO | JARVIS 16101 E 12291</t>
  </si>
  <si>
    <t>16101 / 12291</t>
  </si>
  <si>
    <t>ENGLOBAR TODA A PRODUÇÃO PARA A META E PAGAMENTO NO INSS -NOVO-– BANCO FACTA -PRAZO MÁXIMO- TODAS TABELAS-CREDITO 16101</t>
  </si>
  <si>
    <t>CAMPANHA MENSAL MAIO | JARVIS 6869</t>
  </si>
  <si>
    <t>PRODUCAO TOTAL ATINGIR A META-BONIFICACAO MASTER PRODUCAO EXCETO INSS</t>
  </si>
  <si>
    <t>CAMPANHA BANCO FACTA I 16358 I MAIO</t>
  </si>
  <si>
    <t>CAMPANHA BANCO AMIGOZ I MAIO I 16977</t>
  </si>
  <si>
    <t>AMIGOZ-TODAS AS TABELAS RMC E RCC INSS</t>
  </si>
  <si>
    <t>CAMPANHA BANCO VCTEX I 15564 I MAIO</t>
  </si>
  <si>
    <t>PARAMETRIZAR CAMPANHAS - GC - ROMAGNOSI - REF: MAIO 2025</t>
  </si>
  <si>
    <t>PARAMETRIZAR CAMPANHAS - GC LARISSA - REF: MAIO 2025</t>
  </si>
  <si>
    <t>PAN - ORÇAMENTO SECRETO -  FGTS -EXCETO TABELAS FLEX</t>
  </si>
  <si>
    <t xml:space="preserve">PAN - CASCATA - FGTS-TABELAS FLEX </t>
  </si>
  <si>
    <t>CAMPANHAS BANCO FACTA I DANILO FERREIRA</t>
  </si>
  <si>
    <t>13910 E 8810</t>
  </si>
  <si>
    <t>13750 E 13560</t>
  </si>
  <si>
    <t>CONFORM REGRAS FACTA</t>
  </si>
  <si>
    <t>FACTA NOVO / PORT / REFIN PORT/ REFIN/ FGTS</t>
  </si>
  <si>
    <t>FACTA INSS PORT / REFIN DA PORT /REFIN /  NOVO / FGTS</t>
  </si>
  <si>
    <t>QUERO MAIS INSS E SIAPE - CARTÃO BENEFÍCIO (TODAS AS TABELAS E PRAZOS / INSS TODOS OS PRODUTOS TABELAS E PRAZOS)</t>
  </si>
  <si>
    <t>CONFORM REGRAS FACTA (REALIZAR O PAGAMENTO NO CÓDIGO SUB 13910)</t>
  </si>
  <si>
    <t>CONFORM REGRAS FACTA (REALIZAR O PAGAMENTO NO CÓDIGO SUB  13750)</t>
  </si>
  <si>
    <t>BANCO MASTER (Convênio IPSERV/CODAU/PREF UBERABA   Produto - M FACIL / CREDCESTA )</t>
  </si>
  <si>
    <t>PRODUCAO GERAL MASTER</t>
  </si>
  <si>
    <t>Meu CREDBANK-TODA PRODUÇAO DE FGTS</t>
  </si>
  <si>
    <t>CADASTRAR CAMPANHAS | MÊS DE MAIO | JARVIS 16474</t>
  </si>
  <si>
    <t>PARAMETRIZAR CAMPANHA I COD 13368 - MAIO</t>
  </si>
  <si>
    <t>FACTA - NOVO FGTS (tabelas que entram no regulamento)</t>
  </si>
  <si>
    <t>Re: Campanha 11994 adicional c6</t>
  </si>
  <si>
    <t>BANCO C6 - INSS - REFIN DE PORT - TABELAS FAIXAS DE TAXA   : 1,85%  - 1,83%  - BONUS SOBRE SALDO PORTADO</t>
  </si>
  <si>
    <t>BANCO C6 - INSS - REFIN DE PORT - TABELAS FAIXAS DE TAXA   : 1,829%  -  1,80%  - BONUS SOBRE SALDO PORTADO</t>
  </si>
  <si>
    <t>BANCO C6 - INSS - REFIN DE PORT - TABELAS FAIXAS DE TAXA   : 1,799% - 1,75%   - BONUS SOBRE SALDO PORTADO</t>
  </si>
  <si>
    <t>CAMPANHA BANCO MERCANTIL I MAIO I ANDRÉ MEDEIROS</t>
  </si>
  <si>
    <t xml:space="preserve">MERCANTIL-FGTS - TODAS AS TABELAS	</t>
  </si>
  <si>
    <t>PARAMETRIZAR CAMPANHA - ID:12378 / 16872 - MARÇO 2025</t>
  </si>
  <si>
    <t>12378 / 16872 </t>
  </si>
  <si>
    <t>Refin da Port c6 </t>
  </si>
  <si>
    <t xml:space="preserve">FACTA CONFORME REGULAMENTO-CREDITO 16872 </t>
  </si>
  <si>
    <t>TODOS OS BANCOS E TODOS OS PRODUTOS.-CREDITO 13552</t>
  </si>
  <si>
    <t>PRODUCAO TOTAL PARA ATINGIR A META E CONTABILIZAR-META DESCONSIDERAR  BMG E C6 ( INSS /NOVO ) -CREDITO 3184</t>
  </si>
  <si>
    <t xml:space="preserve">FACTA-IREMOS CONSIDERAR TODA A PRODUÇÃO / EXCETO AS TABELAS QUE POSSUEM VIP-credito 14603 </t>
  </si>
  <si>
    <t>TODOS BANCOS   / INSS-SIAPE/novo / port/refin de port /cartao rmc /cartao benefcio / 84X TODAS AS TABELAS CREDITO 2911</t>
  </si>
  <si>
    <t>0 A499.999,00</t>
  </si>
  <si>
    <t>fACTA/INSS/NOVO/CARTAO RMC/CARTAO BENEFICIO /PORT E REFIN DA PORT /84X TODAS AS TABELAS-CREDITO 2911</t>
  </si>
  <si>
    <t xml:space="preserve">PRODUCAO TOTAL PARA CONTABILIZAR-META PRODUCAO TOTAL DESCONSIDERANDO BANCO BMG-CREDITO 3190
</t>
  </si>
  <si>
    <t>AMIGOZ-CONFORME CAMPANHA-INSS-CARTOES-EXCETO PLASTICO (CONFORME CAMPANHA DO BANCO)</t>
  </si>
  <si>
    <t xml:space="preserve">13131-1942 </t>
  </si>
  <si>
    <t>FACTA - NOVO - 84x -INSS</t>
  </si>
  <si>
    <t>ITAU -SOBRE  OQUE RECEBEMOS 100%</t>
  </si>
  <si>
    <t xml:space="preserve"> MEU CREDBANK – NOVO COM SEGURO-INSS-PRAZO MAXIMO</t>
  </si>
  <si>
    <t xml:space="preserve"> MEU CREDBANK – NOVO SEM SEGURO-INSS-PRAZO MAXIMO</t>
  </si>
  <si>
    <t>BANCO C6 – NOVO INSS-PRAZO MAXIMO</t>
  </si>
  <si>
    <t>PARAMETRIZAR CAMPANHA - ID 14938 - REF: MAIO 2025</t>
  </si>
  <si>
    <t>CAMPANHA MAIO I 10473 I BANCO C6</t>
  </si>
  <si>
    <t>PARAMETRIZAÇÃO CAMPANHA I BANCO PAN I COD 16667 -MAIO</t>
  </si>
  <si>
    <t>C6 BANK - INSS - C6 BANK - INSS - DIGITAL WEB NOVO NORMAL (210180) - TAXA 1,85% - C/ Pacote
C6 BANK - INSS - C6 BANK - INSS - DIGITAL WEB NOVO REPRESENTANTE LEGAL (210184) - TAXA 1,85% - C/ Pacote</t>
  </si>
  <si>
    <t>PARAMETRIZAR CAMANHAS GC - BARBARA - REF: MAIO 2025</t>
  </si>
  <si>
    <t>6688</t>
  </si>
  <si>
    <t>15,00 POR PROPOSTA</t>
  </si>
  <si>
    <t>FACTA - INSS - conforme regra</t>
  </si>
  <si>
    <t>Re: CAMPANHA - BONUS BANCO FACTA - 05/2025 - ARKAD</t>
  </si>
  <si>
    <t xml:space="preserve">PRODUÇÃO GERAL/ CONFORME REGRAS FACTA-credito 15942 </t>
  </si>
  <si>
    <t>9207-15942-15896-16893</t>
  </si>
  <si>
    <t>9321 / 13184 /14244</t>
  </si>
  <si>
    <t>PARAMETRIZAR CAMPANHA - ID: 2059 - REF: MAIO 2025</t>
  </si>
  <si>
    <t xml:space="preserve">FIXO R$ 120,00 </t>
  </si>
  <si>
    <t xml:space="preserve">TODOS OS CONVENIOS E PRODUTOS DE TODOS OS BANCOS </t>
  </si>
  <si>
    <t>PARAMETRIZAR CAMPANHA - COD 15980 - MAIO</t>
  </si>
  <si>
    <t>PARAMETRIZAR CAMPANHA - COD 14933 - FACTA - MAIO</t>
  </si>
  <si>
    <t>PARAMETRIZAR CAMPANHA - COD 15980 - DAYCOVAL I MAIO</t>
  </si>
  <si>
    <t>PARAMETRIZAR CAMPANHA I BANCO FACTA I COD 14482 -MAIO</t>
  </si>
  <si>
    <t>PARAMETRIZAR CAMPANHA I DIRECT X I BANCO FACTA - MAIO</t>
  </si>
  <si>
    <t>PARAMETRIZAR CAMPANHA - ID: 695 - REF: MAIO 2025</t>
  </si>
  <si>
    <t>BANCO PAN - NOVO - PRAZO MAXIMO (SEPLAG / PMMG / IPSM / IPSEMG / PREF. BELO HORIZONTE)</t>
  </si>
  <si>
    <t>PRODUCAO TOTAL CONSIDERANDO 1942 E 13131-
META SOMENTE META CONSIDERAR SOMENTE CODIGO 13131(PRODUCAO TOTAL MASTER)-CREDITO 13131</t>
  </si>
  <si>
    <t>PARAMETRIZAR CAMPANHA - ID: 7274 - REF: MAIO</t>
  </si>
  <si>
    <t xml:space="preserve">MEUCREDBANK- INSS - REFIN DE PORT -  TODAS AS TABELAS   </t>
  </si>
  <si>
    <t>PARAMETRIZAR CAMPANHA - ID: 10293 - REF: MAIO 2025</t>
  </si>
  <si>
    <t>Meu Cashcard – Todos os Produtos – Todos os Prazos – Todos os convênios  – Todas as Tabelas</t>
  </si>
  <si>
    <t>PARAMETRIZAR CAMPANHA - 17199/ 14016 - REF: MAIO 2025</t>
  </si>
  <si>
    <t>17199/ 14016</t>
  </si>
  <si>
    <t>PAN - CONVÊNIOS PÚBLICOS-TODOS OS GOVERNOS E PREFEITURAS - TODOS OS PRODUTOS (EXCETO INSS, FGTS E SIAPE)</t>
  </si>
  <si>
    <t xml:space="preserve">PAN - ORÇAMENTO SECRETO - FGTS-DEMAIS TABELAS EXCETO TABELAS FLEX
</t>
  </si>
  <si>
    <t>70% DO QUE RECEBEMOS DE BONUS DO BANCO.-Daycoval</t>
  </si>
  <si>
    <t>Re: CAMPANHA - BONUS BANCO MASTER - 05/2025 - 16238 - SUB - LC NEGÓCIOS LTDA</t>
  </si>
  <si>
    <t>PRODUÇÃO GERAL EXCETO FGTS E INSS</t>
  </si>
  <si>
    <t xml:space="preserve"> MEU CREDBANK - REFIN DA PORT -INSS-PRAZO MÁXIMO</t>
  </si>
  <si>
    <t>PARAMETRIZAR CAMPANHA I BANCO FACTA l JARVIS 16165 E 16472</t>
  </si>
  <si>
    <t>16165 / 16472</t>
  </si>
  <si>
    <t>FACTA CONFORME REGRA DE REPASSE DO BONUS</t>
  </si>
  <si>
    <t>PARAMETRIZAR CAMPANHA l BANCO FACTA l CÓDIGO 15008</t>
  </si>
  <si>
    <t>FACTA CONFORME REGRA DE BONUS</t>
  </si>
  <si>
    <t>PARAMETRIZAR CAMPANHA - ID: 8300 - REF: MAIO 2025</t>
  </si>
  <si>
    <t>PARAMETRIAR CAMPANHA l BANCO BMG l CÓDIGO 9566</t>
  </si>
  <si>
    <t>PARAMETRIZAR CAMPANHA I BANCO FACTA I CODIGO 12800</t>
  </si>
  <si>
    <t>FACTA – INSS-NOVO –  96 X</t>
  </si>
  <si>
    <t>PARAMETRIZAR CAMPANHA I BANCO FACTA I CODIGO 17204</t>
  </si>
  <si>
    <t>17204 </t>
  </si>
  <si>
    <t xml:space="preserve">FACTA CONFORME REGULAMENT </t>
  </si>
  <si>
    <t>Re: CAMPANHA - BONUS BANCO MEU CREDBANK - 05/2025 - ARKAD</t>
  </si>
  <si>
    <t>9207-16893-15896-15942</t>
  </si>
  <si>
    <t xml:space="preserve">MEU CREDBANK-FGTS-NOVO-TODAS AS TABELAS-CREDITO 15942 </t>
  </si>
  <si>
    <t>PARAMETRIZAR CAMAPMNHAS - REF: MAIO 2025 - REGIONAL GLAUCE</t>
  </si>
  <si>
    <t>1%%</t>
  </si>
  <si>
    <t>Presença Bank – Todos os Produtos – Todos os Prazos – Todos os convênios  – Todas as Tabelas</t>
  </si>
  <si>
    <t>Banco Facta – Todos os Produtos – Todos os Prazos – Todos os convênios  – Todas as Tabelas</t>
  </si>
  <si>
    <t>RMC e RCC - BANCO CAPITAL CONSIG-  todas as tabelas e prazos desses produtos</t>
  </si>
  <si>
    <t>BANCO DAYCOVAL - TABELAS ONDE RECEBEMOS BONUS - GOV DE PE / INSS / PREF RECIFE / PREF DE OLINDA</t>
  </si>
  <si>
    <t xml:space="preserve">BANCO PRESENÇA BANK - TODAS OS CONVENIOS , TABELAS e PRAZOS </t>
  </si>
  <si>
    <t>PRODUCAO TOTAL ATINGIR A META- BONIFICACAO :
C6 - INSS - MARGEM LIVRE - PRAZO MAXIMO - TODAS AS TABELAS  -
PAN -  INSS - MARGEM LIVRE - PRAZO MAXIMO - TODAS AS TABELAS
FACTA - INSS - MARGEM LIVRE - PRAZO MAXIMO - TODAS AS TABELAS
DAYCOVAL -  GOV DE PE - MARGEM LIVRE - PRAZO MAXIMO - TODAS AS TABELAS</t>
  </si>
  <si>
    <t>PRESENÇABANK/ CLT/ TODAS TABELAS E PRAZOS</t>
  </si>
  <si>
    <t xml:space="preserve">C6 - INSS - MARGEM LIVRE - TODAS AS TABELAS DE PRAZO 96 MESES - </t>
  </si>
  <si>
    <t>FACTA / INSS / TODOS OS PRODUTOS E PRAZOS</t>
  </si>
  <si>
    <t>PRESENÇABANK / INSS /TODOS OS PRODUTOS E PRAZOS, EXCETO PORTABILIDADE</t>
  </si>
  <si>
    <t>PRESENÇABANK/ INSS/TODOS OS PRODUTOS E PRAZOS -EXCETO PORTABILIDADE</t>
  </si>
  <si>
    <t>MEUCREDBANK / INSS / -TODOS OS PRODUTOS E PRAZOS, EXCETO PORTABILIDADE</t>
  </si>
  <si>
    <t>17031</t>
  </si>
  <si>
    <t>Re: CAMPANHA DE BONIFICAÇÃO BANCO C6 SUB 11820 LILIANE MARIA</t>
  </si>
  <si>
    <t>11820</t>
  </si>
  <si>
    <t>1,83% a 1,85% calcular a média, das taxas de refin de port-C6</t>
  </si>
  <si>
    <t>1,80% a 1,829% calcular a média, das taxas de refin de port-C6</t>
  </si>
  <si>
    <t>1,799% a 1,750% calcular a média, das taxas de refin de port -C6</t>
  </si>
  <si>
    <t xml:space="preserve">Daycoval produção total </t>
  </si>
  <si>
    <t xml:space="preserve">PRESENÇA BANK PRODUCAO TOTAL </t>
  </si>
  <si>
    <t xml:space="preserve">                                   </t>
  </si>
  <si>
    <t>PRODUCAO TOTAL AMIGOZ</t>
  </si>
  <si>
    <t xml:space="preserve">Presençabank PRODOCAO TOTAL , PRODUTO NOVO-EXCETO CLT </t>
  </si>
  <si>
    <t>PRODUCAO TOTAL DIGIO</t>
  </si>
  <si>
    <t>MASTER- TODOS OS CONVENIOS E PRODUTOS MFACIL CREDCESTA REFIN CREDCESTA  -</t>
  </si>
  <si>
    <t>FACTA CONFORME REGULAMENTO CONSIDERANDO PRAZO MÁXIMO-EXCETO CLT</t>
  </si>
  <si>
    <t>PRODUCAO TOTAL ATINGIR A META-BONIFICACAO  BANCO MASTER PRODUCAO TOTAL -, MFÁCIL E CREDCESTA,  EXCETO INSS.</t>
  </si>
  <si>
    <t>C6-INSS(PRODUCAO TOTAL ) PRAZO 84 E 96</t>
  </si>
  <si>
    <t xml:space="preserve">daycoval PRODUÇÃO GERAL-em cima do que recebemos </t>
  </si>
  <si>
    <t xml:space="preserve"> CASH CARD-PRODUCAO TOTAL </t>
  </si>
  <si>
    <t>CASHCARD/CARTÃO BENEFICIO/TODOS OS CONVENIOS</t>
  </si>
  <si>
    <t xml:space="preserve">CONTABILIZAR TODA PRODUÇÃO  PARA META E REMUNERAR BANCO MASTER APENAS, MFÁCIL E CREDCESTA, TODOS OS CONVÊNIOS, EXCETO INSS.-CREDITO 15141 </t>
  </si>
  <si>
    <t>PRODUCAO TOTAL ATINGIR A META- BONIFICACAO  BANCO MASTER E  REMUNERAR MFÁCIL E CREDCESTA GOVERNO DA BAHIA</t>
  </si>
  <si>
    <t>PRESENÇA BANK -   NOVO E FGTS-INSS</t>
  </si>
  <si>
    <t>12466</t>
  </si>
  <si>
    <t>CAMPANHA FACTA I 16709 I ARG INFORMACOES CADASTRAIS LTDA I MAIO</t>
  </si>
  <si>
    <t>16709 </t>
  </si>
  <si>
    <t>PARAMETRIZAR CAMPANHAS 6843 | MAIO | BANCO DIGIO</t>
  </si>
  <si>
    <t>DIGIO - TODA PRODUÇÃO NÃO LANÇAR CRÉDITO, PARA REGISTRO INTERNO E ABATIMENTO DE DÍVIDA DO CÓDIGO 1419.</t>
  </si>
  <si>
    <t xml:space="preserve">MEUCREDBANK- INSS - NOVO  -  TODAS AS TABELAS   </t>
  </si>
  <si>
    <t xml:space="preserve">AMIGOZ PRODUCAO TOTAL </t>
  </si>
  <si>
    <t xml:space="preserve">MASTEr PRODUCAO TOTAL </t>
  </si>
  <si>
    <t xml:space="preserve">PRODUCAO TOTAL-EXCETO DAYCOVAL </t>
  </si>
  <si>
    <t>Re: PLANILHA SUB CAMPANHA - L. M. PROMOTORA E INTERMEDIACAO DE NEGOCIOS LTDA COD 17204 - CHRISTIANE ARAUJO</t>
  </si>
  <si>
    <t>banco amigoz(inss,gov pi,gov ma)-Todos os produtos exceto portabilidade</t>
  </si>
  <si>
    <t xml:space="preserve">AMIGOZ-INSS-Produtos : Cartão RMC e Cartão Benefício </t>
  </si>
  <si>
    <t>FACTA - INSS NOVO - PRAZO 96 MESES</t>
  </si>
  <si>
    <t xml:space="preserve">FACTA - INSS NOVO - PRAZO 96 MESES </t>
  </si>
  <si>
    <t>TODA PRODUÇÃO MEU CREDBANK INSS EXCETO 
PORTABILIDADE  E -TABELAS :
 MEU CREDBANK - INSS - MEU CREDBANK - INSS - FP - NORMAL - TX 1,85
\MEU CREDBANK - INSS - MEU CREDBANK - INSS - FP - SEGURO - TX 1,85</t>
  </si>
  <si>
    <t>MEU CREDBAK - INSS - TODAS AS TABELAS COM SEGURO-TODOS OS PRAZOS</t>
  </si>
  <si>
    <t>PARAMETRIZAR CAMPANHA - ID: 16754</t>
  </si>
  <si>
    <t xml:space="preserve">
AMIGOZ-PRODUCAO TOTAL -EXCETO Prefeitura de Juiz de Fora, TJMG e Prefeitura de Recife.)</t>
  </si>
  <si>
    <t>FACTA - PAGAREMOS O BONUS CONFORME O BANCO-credito 17199</t>
  </si>
  <si>
    <t>MASTER-PRODUCAO TOTAL -CARTÃO RMC E CARTÃO BENEFICIO-EXCETO INSS E FGTS</t>
  </si>
  <si>
    <t>Meu CREDBANK-TODA PRODUCAO DE INSS
EXCETO AS TABELAS DE PORTABILIDADE E REFIN PORTABILIDADE
E tabela : MEU CREDBANK - INSS - MEU CREDBANK - INSS - FP - NORMAL - TX 1,85</t>
  </si>
  <si>
    <t>13368</t>
  </si>
  <si>
    <t>15421</t>
  </si>
  <si>
    <t>PAN - CASCATA - FGTS-TODAS AS TABELAS</t>
  </si>
  <si>
    <t>PARAMETRIZAR CAMPANHA l BANCO FACTA l CÓDIGO 17711</t>
  </si>
  <si>
    <t>CADASTRAR CAMPANHAS | 17683 | MAIO FACTA</t>
  </si>
  <si>
    <t>FACTA INSS REFIN DA PORT /REFIN /  NOVO / FGTS(NOVO)</t>
  </si>
  <si>
    <t>17711</t>
  </si>
  <si>
    <t>Banco C6 – NOVO – Prazo 96x e 84x – INSS  –  só Representante Legal)</t>
  </si>
  <si>
    <t xml:space="preserve"> C6 – NOVO – Prazo 96x e 84x – INSS  – Todas as Tabelas (Obs: Margem livre, LOAS, Normal)</t>
  </si>
  <si>
    <t>PARAMETRIZAÇAO CAMPANHA I BANCO C6 I COD 10473 - JUNHO</t>
  </si>
  <si>
    <t>PARAMETRIZAÇAO CAMPANHA I BANCO MASTER I COD 16572 -JUNHO</t>
  </si>
  <si>
    <t>PARAMETRIZAR CAMPANHA - ID: 17350 - JUNHO 2025</t>
  </si>
  <si>
    <t>PARAMETRIZAÇÃO CAMPANHA I BANCO C6 I COD 16446 -JUNHO</t>
  </si>
  <si>
    <t>PARAMETRIZAÇÃO CAMPANHA I BANCO MASTER I COD 16446 -JUNHO</t>
  </si>
  <si>
    <t>PARAMETRIZAÇAO CAMPANHA I BANCO MASTER I COD 17142 -JUNHO</t>
  </si>
  <si>
    <t>PARAMETRIZAR CAMPANHA - ID: 14363 - REF: JUNHO 2025</t>
  </si>
  <si>
    <t>PARAMETRIZAR CAMPANHA - ID: 6211 - REF: JUNHO 2025</t>
  </si>
  <si>
    <t>Fwd: PLANILHA SUB CAMPANHA - JUNHO - CHRISTIANE ARAUJO</t>
  </si>
  <si>
    <t>QUERO MAIS –  PRODUÇÃO TOTAL </t>
  </si>
  <si>
    <t>C6 – TODOS OS CONVENIOS, NAS TABELAS ELEGIVEIS</t>
  </si>
  <si>
    <t>MEU CASH CARD – TODAS OS PRODUTOS E TABELAS </t>
  </si>
  <si>
    <t>PARAMETRIZAR CAMPANHA - ID: 14170</t>
  </si>
  <si>
    <t>PARAMETRIZAR CAMPANHA - ID: 15078</t>
  </si>
  <si>
    <t>PAGAREMOS O BONUS SOBRE A PRODUCAO O BANCO AMIGOZ</t>
  </si>
  <si>
    <t>PARAMETRIZAR CAMPANHA - ID: 3038 - REF: JUNHO 2025</t>
  </si>
  <si>
    <t>PAN - GRUPO MINAS (PMMG, SEPLAG. BOMBEIRO, IPSEMG, IPSM) - NOVO - REFIN</t>
  </si>
  <si>
    <t>PARAMETRIZAR CAMPANHA - ID: 12765 - REF: JUNHO 2025</t>
  </si>
  <si>
    <t>PARAMETRIZAR CAMPANHA - ID: 15087 - REF: JUNHO 2025</t>
  </si>
  <si>
    <t xml:space="preserve">REFIN DA PORT  \ MEUCREDBANK\INSS\96 E 84 X </t>
  </si>
  <si>
    <t>CADASTRAR CAMPANHA | JARVIS 15332 | BANCO MASTER</t>
  </si>
  <si>
    <t>PARAMETRIZAR CAMPANHAS - GC CRISTIANE - REF: JUNHO 2025</t>
  </si>
  <si>
    <t>BANCO MEU CREDBANK –  INSS APENAS TABELAS COM SEGURO</t>
  </si>
  <si>
    <t xml:space="preserve"> MEU CREDBANK - PRODUÇÃO TOTAL EM TODOS OS PRODUTOS</t>
  </si>
  <si>
    <t xml:space="preserve">AMIGOZ-PRODUCAO TOTAL </t>
  </si>
  <si>
    <t>PRODUCAO TOTAL ATINGIR A META-BONIFICACAO:
 NOVO INSS (COM SEGURO) , TODOS OS PRAZOS,BANCO MEU CREDBANK.-
 FGTS TODOS OS PRAZOS ,BANCO MEU CREDBANK.</t>
  </si>
  <si>
    <t>PRODUCAO TOTAL FACTA ATINGIR A META-BONIFICACAO :
FACTA- NOVO-CARTÕES-FGTS-CLT .</t>
  </si>
  <si>
    <t xml:space="preserve">DIGIO TODA PRODUCAO </t>
  </si>
  <si>
    <t>PARAMETRIZAR CAMPANHAS - ID 14722 / 15366 / 12288 / 9212 / 17154</t>
  </si>
  <si>
    <t>17154 </t>
  </si>
  <si>
    <t>C6 - INSS CONTRATO NOVO - PRAZO 84 e 96 MESES (exceto tabelas com RL)</t>
  </si>
  <si>
    <t>C6 – inss contrato novo – prazo 84 e 96 – tabelas com RL.</t>
  </si>
  <si>
    <t>BANCO C6 – NOVO INSS PRODUÇÃO TOTAL</t>
  </si>
  <si>
    <t>MEU CREDBANK – TABELAS VIGENTES NA CAMPANHA.</t>
  </si>
  <si>
    <t>PARAMETRIZAR CAMPANHA I JUNHO I PB SERVICO DE CONSTRUCAO I CNPJ: 27.150.447/0001-01</t>
  </si>
  <si>
    <t>PARAMETRIZAR CAMPANHA - ID: 16713 - REF: JUNHO</t>
  </si>
  <si>
    <t>NOVO, CARTÃO BENEFICIO E CARTÃO</t>
  </si>
  <si>
    <t>AMIGOZ-TODOS OS CONVENIOS - NOVO, CARTÃO BENEFICIO E CARTÃO</t>
  </si>
  <si>
    <t>MASTER-TODOS OS CONVENIOS E PRAZOS-NOVO, CARTÃO BENEFICIO E CARTÃO</t>
  </si>
  <si>
    <t>PARAMETRIZAR CAMPANHA - ID 8075</t>
  </si>
  <si>
    <t>PARAMETRIZAR CMAPANHA - ID 3594</t>
  </si>
  <si>
    <t>PARAMETRIZAR CAMPANHA - ID 3443</t>
  </si>
  <si>
    <t>3422/16482/ 6894 SUB</t>
  </si>
  <si>
    <t>PARAMETRIZAR CAMPANHA I JARVIS 17102 l BANCO FACTA</t>
  </si>
  <si>
    <t>CAMPANHA BANCO MASTER I 15216 I JUNHO I TOTEM SERVICOS E CADASTROS LTDA I CNPJ: 37.529.928/0001-78</t>
  </si>
  <si>
    <t>MASTER-TODOS OS CONVENIOS E PRODUTOS MFACIL CREDCESTA REFIN CREDCESTA -EMPRESTIMO GOVERNOS E PREFEITURAS  - </t>
  </si>
  <si>
    <t xml:space="preserve"> TODA A PRODUÇAO NO DIGIO .-CREDITO 6935</t>
  </si>
  <si>
    <t>TODA A PRODUÇAO NO MEU CREDBANK.-CREDITO 6935</t>
  </si>
  <si>
    <t xml:space="preserve">PRODUCAO TOTAL DIGIO (INSS) </t>
  </si>
  <si>
    <t>PRODUÇÃO TOTAL DO BANCO VCTEX PARA APURAÇAO E  ATINGIMENTO DA META. </t>
  </si>
  <si>
    <t>PRODUCAO TOTAL PARA CONTABILIZAR E META-BONIFICACAO EXCETO TABELAS VIP-ECREDITO 3190</t>
  </si>
  <si>
    <t xml:space="preserve">PRODUCAO TOTAL PARA CONTABILIZAR E META-BONIFICACAO EXCETO :o  tabelas que estão no GRUPO 001 --CREDITO 3422
E BANCOS Mercantil / Amigoz / Itaú </t>
  </si>
  <si>
    <t>CAMPANHA BANCO PRESENÇA BANK I 16977 I JUNHO</t>
  </si>
  <si>
    <t>PRESENÇA BANK-TODAS AS TABELAS DE NOVO (TODOS OS CONVÊNIOS) E PRODUÇÃO GERAL DE FGTS</t>
  </si>
  <si>
    <t>PARAMETRIZAR CAMPANHA I CÓDIGO 16358 l BANCO FACTA</t>
  </si>
  <si>
    <t>CAMPANHA AMIGOZ I JUNHO I 16977</t>
  </si>
  <si>
    <t>CAMPANHA BANCO FACTA I 16898</t>
  </si>
  <si>
    <t>16898  </t>
  </si>
  <si>
    <t>PARAMETRIZAR CAMPANHA I BANCO FACTA I COD 17225 - JUNHO</t>
  </si>
  <si>
    <t>CAMPANHAS ANDRÉ MEDEIROS I JUNHO I GC EMMANOEL</t>
  </si>
  <si>
    <t>PARAMETRIZAÇÃO CAMPANHA I JUNHO I DAYCOVAL I 15980</t>
  </si>
  <si>
    <t>CAMPANHA BANCO FACTA I JUNHO I 15908 - WASHINGTON MOREIRA DIAS NEVES</t>
  </si>
  <si>
    <t>15908 </t>
  </si>
  <si>
    <t>BANCO DAYCOVAL (PRODUÇÃO GERAL/TABELAS COMISSIONADAS PELO BANCO)</t>
  </si>
  <si>
    <t>C6 - INSS CONTRATO NOVO - PRAZO 84 e 96 MESES (tabelas com RL)</t>
  </si>
  <si>
    <t>DAYCOVAL-70% DO QUE RECEBEMOS DE BONUS DO BANCO.</t>
  </si>
  <si>
    <r>
      <rPr>
        <sz val="10"/>
        <color theme="1"/>
        <rFont val="Calibri"/>
        <family val="2"/>
      </rPr>
      <t xml:space="preserve">MEU CREDBANK - INSS - FP - SEGURO PLUS - TAXA 1,80 - TODOS OS PRAZOS MEU CREDBANK - INSS - FP - SEGURO - TX 1,80 -  TO </t>
    </r>
  </si>
  <si>
    <t>PARAMETRIZAR CAMPANHA - GC EDVAN - REF: JUNHO 2025 - PF</t>
  </si>
  <si>
    <t>PARAMETRIZAR CAMPANHA I JARVIS 17743</t>
  </si>
  <si>
    <t>PARAMETRIZAR CAMPANHA - REF: JUNHO 2025 - ID: 7146 / 9434</t>
  </si>
  <si>
    <t>7146 / 9434</t>
  </si>
  <si>
    <t>PRODUCAO TOTAL .-CREDITO</t>
  </si>
  <si>
    <t>PARAMETRIZAR CAMPANHA - ID: 14496 - REF: JUNHO 2025</t>
  </si>
  <si>
    <t>PARAMETRIZAR CAMPANHA l CODIGO 15980 l BANCO FACTA</t>
  </si>
  <si>
    <t>PARAMETRIZAR CAMPANHA - GC EDVAN - REF: JUNHO 2025</t>
  </si>
  <si>
    <t>R$ 200.000,00 - R$ 400.000.,00</t>
  </si>
  <si>
    <t>R$ 250- R$ 500,0</t>
  </si>
  <si>
    <t>R$ 300-R$ 500,0</t>
  </si>
  <si>
    <t>PARAMETRIZAR CAMPANHA - ID: 4723 - REF: JUNHO 2025</t>
  </si>
  <si>
    <t>PARAMETRIZAR CAMPANHA - ID 11730 - SAQUE COMPLEMENTAR OLE/PAN/BMG</t>
  </si>
  <si>
    <t>PARAMETRIZAR CAMPANHA - ID: 17514 / 14722 - BMG - JUNHO 2025</t>
  </si>
  <si>
    <t>BMG – OPERAÇÕES DE CARTÕES RMC E RCC – TODAS AS TABELAS QUE ESTEJAM VIGENTE PARA PAGAMENTO.</t>
  </si>
  <si>
    <t xml:space="preserve">PRODUCAO TOTAL QUERO MAIS </t>
  </si>
  <si>
    <t>PARAMETRIZACAO CAMPANHA I BANCO DIGIO I COD 6887 - JUNHO</t>
  </si>
  <si>
    <t>CAMPANHA JUNHO I 6869 I ARTHUR SERVICOS DE COBRANCAS I CNPJ: 32.550.838/0001-45</t>
  </si>
  <si>
    <t>PRODUCAO TOTAL ATINGIR A META-BONIFICACAO PRODUCAO TOTAL MASTER</t>
  </si>
  <si>
    <t>PARAMETRIZAR CAMPANHA - ID: 15078 - REF: JUNHO 2025</t>
  </si>
  <si>
    <t>CARTAO CONSIGNADO E CARTAO BENEFICIO - PREF CALDAS NOVAS - BANCO AMIGOZ</t>
  </si>
  <si>
    <t>PARAMETRIZAR CAMPANHA - ID: 6312</t>
  </si>
  <si>
    <t xml:space="preserve">BIMESTRAL </t>
  </si>
  <si>
    <t>PARAMETRIZAR CAMPANHAS - GC IGOR - JUNHO 2025</t>
  </si>
  <si>
    <t>15244-17714</t>
  </si>
  <si>
    <t>BANCO MASTER (TODOS OS CONVÊNIOS)-credito 15244</t>
  </si>
  <si>
    <t>PARAMETRIZAR A CAMPANHA - 13718</t>
  </si>
  <si>
    <t xml:space="preserve">AMIGOZ-TODAS ( EXCETO PREF RECIFE / TJ MG / JUIZ DE FORA) 	</t>
  </si>
  <si>
    <t>PARAMETRIZ CAMPANHA +- MARCUS GUILHERME - JUNHO / JULHO 2025</t>
  </si>
  <si>
    <t>8465/ 1363/3728/3729</t>
  </si>
  <si>
    <t>Re: PARAMETRIZAR CAMPANHAS 6843 | JUNHO | BANCO DIGIO</t>
  </si>
  <si>
    <t>DIGIO - TODA PRODUÇÃO - CRÉDITO A SER LANÇADO PARA O PARCEIRO</t>
  </si>
  <si>
    <t>PARAMETRIZAR CAMPANHA - ID: 15663</t>
  </si>
  <si>
    <t>PARAMETRIZAR CAMPANHA - ID: 4079 -</t>
  </si>
  <si>
    <t>PARAMETRIZAR CAMPANHA - ID 8596/10982 - BANCO FACTA</t>
  </si>
  <si>
    <t>8596 / 10982</t>
  </si>
  <si>
    <t>PARAMETRIZAR CAMPANHA - BANCO MASTER - ID 3121</t>
  </si>
  <si>
    <t>PARAMETRIZAR CAMPANHA l CÓDIGO 13368</t>
  </si>
  <si>
    <t>PARAMETRIZAR CAMPANHA - ID: 15869 - REF: JUNHO 2052</t>
  </si>
  <si>
    <t xml:space="preserve">Pagar bonus em cima de toda produção Amigoz, Exceto dos convenios: Prefeitura de Juiz de Fora, TJMG e Prefeitura de recife </t>
  </si>
  <si>
    <t>PARAMETRIZAR CAMPANHA l CÓDIGO 6869 l BANCO DIGIO</t>
  </si>
  <si>
    <t>PARAMETRIZAR CAMPANHA - ID: 13428</t>
  </si>
  <si>
    <t>MEU CREDBANK-PRODUCAO TOTAL INSS, EXCETO TABELAS:
MEU CREDBANK - INSS - MEU CREDBANK - INSS - FP - NORMAL - TX 1,85
\MEU CREDBANK - INSS - MEU CREDBANK - INSS - FP - SEGURO - TX 1,85</t>
  </si>
  <si>
    <t xml:space="preserve">Lotus produção total </t>
  </si>
  <si>
    <t>BANCO MASTER – OPERAÇÕES DE CARTÕES EM TODOS OS CONVENIOS VIGENTES NA CAMPANHA.</t>
  </si>
  <si>
    <t>BANCO MASTER – OPERAÇÕES DE EMPRÉSTIMO EM TODOS OS CONVENIO, PRAZOS E TABELAS VIGENTES NA CAMPANHA.</t>
  </si>
  <si>
    <t>PARAMETRIZAR CAMPANHA - ID 1942 - MEU CREDBANK</t>
  </si>
  <si>
    <t>PRODUÇÃO TOTAL REFIN DA PORT MEU CREDBANK</t>
  </si>
  <si>
    <t>PARAMETRIZAR CAMPANHA - ID: 2245 - REF: JUNHO 2025</t>
  </si>
  <si>
    <t>PARAMETRIZAR CAMPANHA JUNHO | 12378 / 16872 | BANCO FACTA</t>
  </si>
  <si>
    <t>PARAMETRIZAR CAMPANHA - ID: 9067 - REF: JUNHO 2025</t>
  </si>
  <si>
    <t>Bonus em cima de todos os contratos novos digitados no banco Digio ( GOVERNO MS e IMPCG)</t>
  </si>
  <si>
    <t>PARAMETRIZAR CAMPANHA - ID 16029/9212</t>
  </si>
  <si>
    <t>BMG – OPERAÇÕES DE CARTÕES RMC E RCC – TODAS AS TABELAS DE SAQUE COMPLEMENTAR.</t>
  </si>
  <si>
    <t>BMG – OPERAÇÕES DE CARTÕES RMC E RCC – TODAS AS TABELAS DE SAQUE</t>
  </si>
  <si>
    <t>PARAMETRIZAR CAMPANHA - ID: 14750 - JUNHO 2025</t>
  </si>
  <si>
    <t>PARAMETRIZAR CAMPANHAS - MICHAELE - RF JUNHO</t>
  </si>
  <si>
    <t>PRODUCAO TOTAL ATINGIR A META-BONIFICACAO PRODUCAO TOTAL BANCO DIGIO</t>
  </si>
  <si>
    <t>PARAMETRIZAR CAMPANHAS - GC ALEXANDRE - JUNHO 2025</t>
  </si>
  <si>
    <t>CONTABILIZAR TODA PRODUÇÃO PARA META E REMUNERAR BANCO MASTER APENAS, MFÁCIL E CREDCESTA, TODOS CONVÊNIOS EXCETO INSS.</t>
  </si>
  <si>
    <t>984 / 17520</t>
  </si>
  <si>
    <t>CAMPANHA BANCO FACTA JUNHO I 13007</t>
  </si>
  <si>
    <t>Re: PARAMETRIZAR CAMPANHAS | CAMPANHAS SUB ´S REGIONAL GLAUCE MONTE | MÊS DE JUNHO 2025</t>
  </si>
  <si>
    <t>C6 - SIAPE (EXCETO REFIN) FGTS (TABELAS ACIMA DE 1K) E CLT.</t>
  </si>
  <si>
    <t xml:space="preserve">BANCO C6 - MARGEM LIVRE - TODAS AS TABELAS  NORMAL E LOAS </t>
  </si>
  <si>
    <t>BANCO C6 - MARGEM LIVRE TODAS AS TABELAS    REPR LEGAL</t>
  </si>
  <si>
    <t>BANCO C6 - INSS - REFIN DE PORT - TABELAS FAIXAS DE TAXA   : 1,85%  - 1,83%  - BONUS SOBRE SALDO PORTADO</t>
  </si>
  <si>
    <t>BANCO C6 - INSS - REFIN DE PORT - TABELAS FAIXAS DE TAXA   : 1,829%  -  1,80%  - BONUS SOBRE SALDO PORTADO</t>
  </si>
  <si>
    <t>BANCO C6 - INSS - REFIN DE PORT - TABELAS FAIXAS DE TAXA   : 1,799% - 1,75%   - BONUS SOBRE SALDO PORTADO</t>
  </si>
  <si>
    <t xml:space="preserve"> MEU CREDBAK - INSS - TODAS AS TABELAS COM SEGURO</t>
  </si>
  <si>
    <t xml:space="preserve">MEU CREDBANK FGTS  - TODA AS TABELAS </t>
  </si>
  <si>
    <t>BANCO AMIGOZ - TODOS OS CONVENIOS - PRODUTOS E PRAZOS , COM EXCEÇÃO :CONVENIOS : PREF. JUIZ DE FORA / PREF. RECIFE / TJMG.</t>
  </si>
  <si>
    <t xml:space="preserve">DAYCOVAL - 50% DO BÔNUS QUE A CREDFRANCO RECEBER </t>
  </si>
  <si>
    <t xml:space="preserve">Oleo 5 % estoque de cartão </t>
  </si>
  <si>
    <t>Refin da Port c6 -Inss</t>
  </si>
  <si>
    <t>CONTABILIZAR TODA PRODUÇÃO PARA META E REMUNERAR BANCO MASTER APENAS, MFÁCIL E CREDCESTA, TODOS OS CONVÊNIOS EXCETO INSS.-credito 15141</t>
  </si>
  <si>
    <t>CONTABILIZAR TODA PRODUÇÃO PARA META E REMUNERAR BANCO MASTER APENAS, MFÁCIL E CREDCESTA, TODOS OS CONVÊNIOS EXCETO INSS.-CREDITO 17520</t>
  </si>
  <si>
    <t>Toda produção Lotus</t>
  </si>
  <si>
    <t>PARAMETRIZAR CAMPANHA - ID: 2838 - JUNHO 2025</t>
  </si>
  <si>
    <t>PARAMETRIZAR CAMPANHA - ID: 695 - REF: JUNHO 2025</t>
  </si>
  <si>
    <t>BANCO PAN - NOVO - PRAZO MAXIMO 120x (SEPLAG / PMMG / IPSM / IPSEMG / PREF. BELO HORIZONTE)</t>
  </si>
  <si>
    <t>Re: :: CAMPANHA QUERO MAIS - MAYNE PORTO - 06.2025 ::</t>
  </si>
  <si>
    <t>PARAMETRIZAR CAMPANHA - ARKAD - REF: JUNHO 2025</t>
  </si>
  <si>
    <t>9207 | 15942 | 15896 | 16893</t>
  </si>
  <si>
    <t>PARAMETRIZAR CAMPANHA - ID: 4097 - REF: JUNHO 2025</t>
  </si>
  <si>
    <t>PARAMETRIZAR CAMAPNHA - ID: 14910 - REF; JUNHO 2025</t>
  </si>
  <si>
    <t>PARAMETRIZAR CAMPANHA - ID: 14194 - REF: JUNHO 2025</t>
  </si>
  <si>
    <t>PARAMETRIZAR CAMPANHA - ID: 3566 - REF: JUNHO 2025</t>
  </si>
  <si>
    <t>PARAMETRIZAR CAMPANHA - ID 9212 - CAPITAL CONSIG</t>
  </si>
  <si>
    <t>PARAMETRIZAR CAMPANHA - ID: 15503 - REF: JUNHO</t>
  </si>
  <si>
    <t xml:space="preserve">SAFRA - PROPOSTAS SIAPE e INSS (  INSS SE RECEBERMOS O BONUS ) </t>
  </si>
  <si>
    <t>PARAMETRIZAR CAMPANHA - ID: 3566 - REF: JUNHO</t>
  </si>
  <si>
    <t>PARAMETRIZAR CAMPANHA - ID 15663 - BANCO AMIGOZ</t>
  </si>
  <si>
    <t>PARAMETRIZAR CAMPANHA - ID 2649 / ID 7018</t>
  </si>
  <si>
    <t>2649 | 7018</t>
  </si>
  <si>
    <t>Toda a produção paga da parceira será contabilizada independente do produto com a bonificação de 0.10% sobre a produção com exceção de regra VIP - Crédito cod: 2649</t>
  </si>
  <si>
    <t>CAMPANHA BANCO MASTER I JUNHO I 16591</t>
  </si>
  <si>
    <t>Master - CONTABILIZAR TODA PRODUÇÃO PARA META E REMUNERAR BANCO MASTER GOV DA BAHIA NOVO, MFÁCIL E CREDCESTA.</t>
  </si>
  <si>
    <t>CAMPANHA BANCO MASTER I JUNHO I 13131</t>
  </si>
  <si>
    <t xml:space="preserve">13131	</t>
  </si>
  <si>
    <t>Produção total banco Master</t>
  </si>
  <si>
    <t xml:space="preserve"> CONSIDERAR PARA BONIFICAÇÃO PARA TODAS AS OPERAÇÕES DIGITADAS E PAGAS NO PERIODO , EM TODOS OS BANCOS - Crédito ID 5311</t>
  </si>
  <si>
    <t>CADASTRAR CAMPANHA | 16955 FACTA JUNHO</t>
  </si>
  <si>
    <t>CAMPANHA BANCO FACTA I JUNHO</t>
  </si>
  <si>
    <t xml:space="preserve">12291/16101	</t>
  </si>
  <si>
    <t>PARAMETRIZAR CAMPAHA - ID: 936 - REF: JUNHO</t>
  </si>
  <si>
    <t>LOTUS FGTS</t>
  </si>
  <si>
    <t>PRESENÇA BANK - INSS</t>
  </si>
  <si>
    <t>Re: CAMPANHA - BONUS BANCO MASTER - 06/2025 - 16238 - SUB - LC NEGÓCIOS LTDA</t>
  </si>
  <si>
    <t>TODA PRODUÇÃO DO MASTER EXCETO FGTS E INSS</t>
  </si>
  <si>
    <t>Re: Campanha Facta Sub - COD WEBSUB: 13669 -SUB - LIMA E BISPO SOLUCOES E DESENVOLVI - BONUS 0,30% - JUNHO - 2025</t>
  </si>
  <si>
    <t>Re: Campanha Facta Sub - COD WEBSUB: 17192 - SUB - SUB RECEBAMAIS SOLUCOES EM CREDITO LTDA - BARRETOS - SP - JUNHO - 2025</t>
  </si>
  <si>
    <t>Re: Campanha Facta Sub - COD WEBSUB: 11301 - LUIZ ANTONIO MAIA LTDA - OSVALDO CRUZ - SP - JUNHO - 2025</t>
  </si>
  <si>
    <t>Re: Campanha Facta Sub - COD WEBSUB: 14511 - SUB - LEROY LUIZ ARAUJO NOGUEIRA MACARIO - ANDRADINA - SP - MAIO - 2025 - 0,50% BONUS</t>
  </si>
  <si>
    <t>Re: Campanha Facta Sub - COD WEBSUB: 13128 - SUB - DANIELLE LIMA BEVENUTO 32674022809 - ANDRADINA - SP - JUNHO - 2025</t>
  </si>
  <si>
    <t>Re: Campanha Facta Sub - COD WEBSUB: 17636 -SUB - ANDRESSA PATRICIA KETELHUT JORDAO - BONUS 0,50% - 06 - 2025</t>
  </si>
  <si>
    <t>Re: Campanha Facta Sub - COD WEBSUB: 14291 - SOUZA &amp; BATALINI SOCIEDADE LTDA - TEODORO SAMPAIO - SP - Bônus 0,25% - JUNHO 2025</t>
  </si>
  <si>
    <t>Re: Campanha Facta Sub - COD WEBSUB: 17401 - SUB -SUB - FABIANO DOS SANTOS SILVEIRA 332559 - CASTILHO - SP - 06 - 2025</t>
  </si>
  <si>
    <t>Re: Campanha Sub - BANCO DAYCOVAL - WEBSUB: 15692 - SUB - ABM ASSESSORIA E PROCESSAMENTO DE - CREDGOL - 06-2025</t>
  </si>
  <si>
    <t xml:space="preserve">DAYCOVAL - 0,70% EM CIMA DAS TABELAS QUE RECEBEMOS DO BANCO	</t>
  </si>
  <si>
    <t xml:space="preserve">TODOS PRODUTOS E CONVENIOS BANCO MASTER  - EXCETO INSS </t>
  </si>
  <si>
    <t>CAMPANHA FACTA JUNHO | 17051</t>
  </si>
  <si>
    <t>CADASTRAR CAMPANHA JUNHO | BANCO FACTA | JARVIS 15516</t>
  </si>
  <si>
    <t>CADASTRAR CAMPANHA FACTA | JUNHO | JARVIS 12732</t>
  </si>
  <si>
    <t>CADASTRAR CAMPANHA FACTA | JUNHO | 17143</t>
  </si>
  <si>
    <t>CADASTRAR CAMPANHA FACTA | JUNHO | JARVIS 16892</t>
  </si>
  <si>
    <t>CADASTRAR CAMPANHA FACTA | JUNHO | 15632</t>
  </si>
  <si>
    <t>CADASTRAR CAMPANHA FACTA | JUNHO | JARVIS 11820</t>
  </si>
  <si>
    <t>PARAMETRIZAR CAMPANHA - GC DIEGO - REF: JUNHO 2025</t>
  </si>
  <si>
    <t>PRESENÇABANK / INSS / TODAS TABELAS E PRAZOS</t>
  </si>
  <si>
    <t>Re: :: CAMPANHA FACTA - SANYCRED - 06.2025 ::</t>
  </si>
  <si>
    <t xml:space="preserve">13750 | 13560	</t>
  </si>
  <si>
    <t>PARAMETRIZAR CAMPANHA - BANCO MASTER - ID 16102</t>
  </si>
  <si>
    <t>BANCO MASTER  TODOS OS CONVENIOS, PRAZOS E TABELAS.</t>
  </si>
  <si>
    <t>Re: :: CAMPANHA FACTA - MULTSERV - 06.2025 ::</t>
  </si>
  <si>
    <t xml:space="preserve">16472 | 16165	</t>
  </si>
  <si>
    <t>Re: :: CAMPANHA FACTA - WF - 06.2025 ::</t>
  </si>
  <si>
    <t>CAMPANHA GERAL I GC JONAS VICENTE I JUNHO</t>
  </si>
  <si>
    <t xml:space="preserve">6448 | 8737	</t>
  </si>
  <si>
    <t>TODAS AS TABELAS E PRODUTOS P/ META. DESCONSIDERAR PORT, VIP E GRUPO 001 PARA O PAGAMENTO DO BÔNUS - Crédito cod 6448</t>
  </si>
  <si>
    <t>Re: :: CAMPANHA FACTA - RODRIGO ALMEIDA - 06.2025 ::</t>
  </si>
  <si>
    <t>Re: :: CAMPANHA FACTA - MEDCRED - 06.2025 ::</t>
  </si>
  <si>
    <t>Re: :: CAMPANHA FACTA - PINHATI ASSESSORIA - 06.2025 ::</t>
  </si>
  <si>
    <t>8810 | 13910</t>
  </si>
  <si>
    <t>Re: :: CAMPANHA FACTA - MAYNE PORTO - 06.2025 ::</t>
  </si>
  <si>
    <t>CAMPANHA JUNHO I DANILO FERREIRA</t>
  </si>
  <si>
    <t>QUERO+ SOMENTE SOBRE CONVÊNIO SIAPE</t>
  </si>
  <si>
    <t>PAN - TODA PRODUÇÃO DE NOVO E REFIN  , EXCETO SIAPE, INSS, GOV DO PARANA, E FGTS</t>
  </si>
  <si>
    <t>CAMPANHA BANCO FACTA I 16055 I JUNHO</t>
  </si>
  <si>
    <t>Re: 13113 - CAMPANHA 06/2025</t>
  </si>
  <si>
    <t>Meu CREDBANK	 - TODA PRODUÇAO DE FGTS</t>
  </si>
  <si>
    <t>Meu CREDBANK	 - TODA PRODUÇÃO INSS EXCETO PORTABILIDADE E AS TABELAS - MEU CREDBANK - INSS - MEU CREDBANK - INSS - FP - NORMAL - TX 1,85\MEU CREDBANK - INSS - MEU CREDBANK - INSS - FP - SEGURO - TX 1,85</t>
  </si>
  <si>
    <t>Re: CAMPANHA VCTEX 15908 - WASHINGTON - ( TON ) - 06/2025</t>
  </si>
  <si>
    <t xml:space="preserve">Toda a produção para o atingimento da meta e bonificação nas duas escalas seja 0.10% ou 0.20% dependendo da meta. Deverá ser paga sobre a produção de contratos novos / convênio Inss /  prazo máximo 84 e 96 meses / tabela normal  com exceção do banco Itaú ( pois está na regra VIP) - Crédito cod 3349  </t>
  </si>
  <si>
    <t>BANCO MASTER / TODOS OS PRODUTOS E CONVENIOS EXCETO O INSS</t>
  </si>
  <si>
    <t>PARAMETRIZAR CAMPANHA - ID 14409 / 17288 ( sub )</t>
  </si>
  <si>
    <t xml:space="preserve">17288 ( Sub ) 	</t>
  </si>
  <si>
    <t>Todas as tabelas contrato novo banco Presença bank.</t>
  </si>
  <si>
    <t>PARAMETRIZAR CAMPANHA - ID: 1577 - REF: JUNHO 2025</t>
  </si>
  <si>
    <t>PARAMETRIZAR CAMPANHA - ID: 14129 - REF: JUNHO - BANCO MASTER</t>
  </si>
  <si>
    <t>14496 | 17540</t>
  </si>
  <si>
    <t>PARAMETRIZAR CAMPANHA - ID 17664 - REF JUNHO</t>
  </si>
  <si>
    <t>PARAMETRIZA CAMPANHA - BANCO C6 - ID 11730</t>
  </si>
  <si>
    <t>Bonificar em cima das operações de contratos NOVO do BANCO C6 – todos os prazos e tabelas. (o que tiver dentro da vigencia do banco)</t>
  </si>
  <si>
    <t>PARAMETRIZAR CAMPANHA - ID 1532 - BANCO FACTA</t>
  </si>
  <si>
    <t>15663 | 17740</t>
  </si>
  <si>
    <t>AMIGOZ - REFERENTE A VENDA DE CARTAO RMC E RCC - Iremos considerar toda a produção de GOV DE MINAS - Crédito cód: 17740</t>
  </si>
  <si>
    <t>PARAMETRIZAR CAMPANHA - ID 17353 - CASH CARD</t>
  </si>
  <si>
    <t>TODA OPERAÇÃO CASH CARD</t>
  </si>
  <si>
    <t>PARAMETRIZAR CAMPANHA I DIRECT X I BANCO FACTA - JUNHO</t>
  </si>
  <si>
    <t>9207 | 16893 | 15896 | 15942</t>
  </si>
  <si>
    <t>PARAMETRIZAR CAMPANHA / 9207/ 16893 / 15896 / 15942 - BANCO MEU CREDBANK</t>
  </si>
  <si>
    <t>CAMPANHA FACTA I JUNHO I ANDRÉ MEDEIROS</t>
  </si>
  <si>
    <t>PARAMETRIZAR A CAMPANHA - ID 14129 - DIGIO REFIN DE PORT INSS</t>
  </si>
  <si>
    <t>TODOS BANCOS   / INSS-SIAPE/novo / port/refin de port /cartao rmc /cartao benefcio / 84x E 96x TODAS AS TABELASCREDITO 2911</t>
  </si>
  <si>
    <t>PARAMETRIZAR CAMPANHA - ID 9572 - MASTER</t>
  </si>
  <si>
    <t>CADASTRAR CAMPANHA | BANCO C6 | JARVIS 11820</t>
  </si>
  <si>
    <t>PARAMETRIZAR CAMPANHA - PRESENÇA - ID 15503</t>
  </si>
  <si>
    <t xml:space="preserve">4511 /15867	</t>
  </si>
  <si>
    <t>Re: Bônus - ID: 4511 - CAMILA CRISTINA DE AZEVEDO SCHWINGEL</t>
  </si>
  <si>
    <t>PARAMETRIZAR CAMPANHA - ID 2619 - VCTEX</t>
  </si>
  <si>
    <t>PARAMETRIZAR CAMPANHA - ID 14722 - BANCO PAN</t>
  </si>
  <si>
    <t>Re: 13932 - SUB FACTA ELIANA DORIA | BONUS JUNHO | PARAMETRIZAÇÃO</t>
  </si>
  <si>
    <t>Re: 15564 - FERNANDA SUB FACTA | BONUS DE JUNHO | PARAMETRIZAÇÃO</t>
  </si>
  <si>
    <t xml:space="preserve">16783	</t>
  </si>
  <si>
    <t>Re: 16783 - SUB FACTA ANI CHAVES | BONUS JUNHO | PARAMETRIZAÇÃO</t>
  </si>
  <si>
    <t>Re: 16578 - GABRIELA FONSECA | BONUS JUNHO | PARAMETRIZAÇÃO</t>
  </si>
  <si>
    <t>Re: 14011 - SUB MIX SOLUÇÕES | BONUS | VCTEX E FACTA | JUNHO</t>
  </si>
  <si>
    <t>PARAMETRIZAR CAMPANHAS - REF: JUNHO - GC LARISSA</t>
  </si>
  <si>
    <t>7481  | 10373</t>
  </si>
  <si>
    <t>PARAMETRIZAR CAMPANHA I BANCO FACTA I COD 13440 - JUNHO</t>
  </si>
  <si>
    <t>PARAMETRIZAR CAMPANHA - ID: 15655</t>
  </si>
  <si>
    <t>PARAMETRIZAR CAMPANHA - ID: 17551 - QUADRIMESTRE - CLT FACTA</t>
  </si>
  <si>
    <t>CAMPANHA DANILO FERREIRA I VCTEX I JUNHO</t>
  </si>
  <si>
    <t>QUADRIMESTRAL</t>
  </si>
  <si>
    <t>TODA A PRODUÇÃO, DESCONSIDERANDO QUALQUER TABELA VIP NO PAGAMENTO.</t>
  </si>
  <si>
    <t>Re: CAMPANHA BANCO AMIGOS - PARCEIRO 13782 (SUB RDC)</t>
  </si>
  <si>
    <t>BÔNUS SOBRE TODAS AS TABELAS FACTA - CONVÊNIO CLT - O bônus só será pago após recebermos do banco</t>
  </si>
  <si>
    <t>PARAMETRIZAR CAMPAHA - ID: 13782 - BANCO MASTER</t>
  </si>
  <si>
    <t>PARAMETRIZAR CAMPANHA - ID: 13782 - DAYCOVAL</t>
  </si>
  <si>
    <t>PARAMETRIZAR CAMPANHA - ID 14026 - BANCO C6 CLT</t>
  </si>
  <si>
    <t>CLT C6</t>
  </si>
  <si>
    <t>PARAMETRIZAR CAMPANHA I BANCO FACTA I COD 17806 - JULHO</t>
  </si>
  <si>
    <t>1,2% (80% DO QUE RECEBEMOS)</t>
  </si>
  <si>
    <t>Re: Bônus Sub zero banco Facta Sub 16382</t>
  </si>
  <si>
    <t>CASHCARD/CARTÃO BENEFICIO/ TODAS TABELAS E PRAZOS E PRODUTOS</t>
  </si>
  <si>
    <t>PARAMETRIZAR CAMPANHAS - EXCEÇÃO - GC GLAUCE - JUNHO 2025</t>
  </si>
  <si>
    <t>Daycoval – Todos os Produtos – Todos os Prazos – Todos os convênios  – Todas as Tabelas</t>
  </si>
  <si>
    <t xml:space="preserve">MEU CREDBANK - INSS - FP - SEGURO PLUS - TAXA 1,80 - TODOS OS PRAZOS MEU CREDBANK - INSS - FP - SEGURO - TX 1,80 -  TO </t>
  </si>
  <si>
    <t>Banco Amigoz – Todos os Produtos – Todos os Prazos – Todos os convênios  – Todas as Tabelas</t>
  </si>
  <si>
    <t>TODOS OS BANCOS - INSS - 96X - TODOS OS PRODUTOS</t>
  </si>
  <si>
    <t>BANCO FACTA - CONFORME REGULAMENTO - CREDITO 6935</t>
  </si>
  <si>
    <t xml:space="preserve">BANCO FACTA - CONFORME REGULAMENTO - Crédito cod: 14496 </t>
  </si>
  <si>
    <t>BANCO FACTA - CONFORME REGULAMENTO - CREDITO 17199</t>
  </si>
  <si>
    <t>BANCO FACTA - INSS - NOVO - 96X</t>
  </si>
  <si>
    <t>BANCO FACTA - INSS - CONFORME REGULAMENTO - credito 2911</t>
  </si>
  <si>
    <t>BANCO FACTA - CONFORME REGULAMENTO - CREDITO 10982</t>
  </si>
  <si>
    <t xml:space="preserve">BANCO FACTA - CONFORME REGULAMENTO - CREDITO 16872 </t>
  </si>
  <si>
    <t>BANCO FACTA - CONFORME REGULAMENTO - CRÉDITO 13750</t>
  </si>
  <si>
    <t>BANCO FACTA - CONFORME REGULAMENTO - CRÉDITO 16472</t>
  </si>
  <si>
    <t>BANCO FACTA - CONFORME REGULAMENTO - CRÉDITO 13910</t>
  </si>
  <si>
    <t>BANCO FACTA - TODA A PRODUÇÃO PARA ATINGIMENTO DA META E BONIFICAR SOBRE: INSS - NOVO - 96X - Crédito cód 16101</t>
  </si>
  <si>
    <t>BANCO FACTA - CONFORME REGULAMENTO - Credito 9702</t>
  </si>
  <si>
    <t>BANCO FACTA - CONFORME REGULAMENTO - EXCETO TABELA VIP</t>
  </si>
  <si>
    <t>C6 ,FACTA , CREDBANK, PRESENÇA E VCTEX - NOVO - INSS / SIAPE - TABELAS NORMAIS</t>
  </si>
  <si>
    <t>BANCO MERCANTIL - CARTÕES - GRUPO MINAS</t>
  </si>
  <si>
    <t>Re: CAMPANHA MÊS DE JUNHO - ROCHA CONSIGNADO</t>
  </si>
  <si>
    <t>PARAMETRIZAR CAMPANHA - ID: 16239 - REF: JULHO 2025</t>
  </si>
  <si>
    <t>BANCO MASTER - TODA A PRODUÇÃO (EXCETO INSS, FGTS, GOV. PE e GOV. ES, MASTER LUZ)</t>
  </si>
  <si>
    <t>PARAMETRIZAR CAMPANHAS - GC ICARO - JULHO 2025</t>
  </si>
  <si>
    <t>PARAMETRIZAR CAMPANHA - ID: 14496 / 17540 - REF: JULHO 2025</t>
  </si>
  <si>
    <t>OPERAÇÕES DE CARTÕES DOS BANCOS OLÉ, PAN E BMG.</t>
  </si>
  <si>
    <t>AMIGOZ/todos/ todos/todos</t>
  </si>
  <si>
    <t>MASTER /todos/ todos/todos</t>
  </si>
  <si>
    <t>PARAMETRIZAR CAMPANHA l BANCO FACTA l CÓDIGO 16955</t>
  </si>
  <si>
    <t>PARAMETRIZAR CAMPANHA JUNHO l BANCO MASTER l CÓDIGO</t>
  </si>
  <si>
    <t>Fwd: CAMPANHA FACTA TK</t>
  </si>
  <si>
    <t>PARAMETRIZACAO CAMPANHA I C S CASH LTDA I COD 14993 -JULHO</t>
  </si>
  <si>
    <t>PARAMETRIZACAO CAMPANHA I MICHELLI APARECIDA DA CUNHA ULTCHA I COD 8835 - JULHO</t>
  </si>
  <si>
    <t>Bonus em cima de todos os contratos novos digitados no banco Daycoval ( Todos os convenios )</t>
  </si>
  <si>
    <t>PARAMETRIZAR CAMPANHA - REF JULHO - EDVAN</t>
  </si>
  <si>
    <t>CAMPANHA FACTA | MÊS DE JULHO | JARVIS 16988</t>
  </si>
  <si>
    <t>EM TODOS as operações Daycoval que possuem tabelas contempladas (exceto INSS, FGTS e SIAPE)</t>
  </si>
  <si>
    <t>PARAMETRIZAR CAMPANHA - ID: 13782 (RDC) - REF: JULHO 2025</t>
  </si>
  <si>
    <t>CADASTRAR CAMPANHA l BANCO MASTER l CÓDGIO 13131</t>
  </si>
  <si>
    <t>CADASTRAR CAMPANHA l BANCO MASTER l CÓDIGO 6869</t>
  </si>
  <si>
    <t xml:space="preserve">11937	</t>
  </si>
  <si>
    <t>CAMPANHAS I JULHO I ANDRÉ MEDEIROS I 11937 I 12021 I</t>
  </si>
  <si>
    <t>CAMPANHA BANCO MASTER I 13131 I T&amp;R I JULHO</t>
  </si>
  <si>
    <t xml:space="preserve">C6 - INSS CONTRATO NOVO - PRAZO 84 e 96 MESES (exceto tabelas com RL)	</t>
  </si>
  <si>
    <t>Re: RENOVAÇÃO DE CAMPANHA BANCO AMIGOS - SUB 13782</t>
  </si>
  <si>
    <t>Re: BONUS FACTA - 15980</t>
  </si>
  <si>
    <t>Re: BONUS FACTA - LINK 17743</t>
  </si>
  <si>
    <t>Re: BONUS FACTA - IEV 14482</t>
  </si>
  <si>
    <t xml:space="preserve">12273 / 17257 </t>
  </si>
  <si>
    <t>PARAMETRIZAR CAMPANHA - ID: 12273 / 17257 - REF: JULHO 2025</t>
  </si>
  <si>
    <t>CAMPANHA DAYCOVAL I COD 15980 I JULHO</t>
  </si>
  <si>
    <t xml:space="preserve">17199/ 14016	</t>
  </si>
  <si>
    <t>EM TODOS as operações e convenios BANCO MASTER (exceto INSS E FGTS)</t>
  </si>
  <si>
    <t>PARAMETRIZAR CAMPANHA - ID: 13782 - REF: JULHO 2025</t>
  </si>
  <si>
    <t>Toda a produção do banco C6</t>
  </si>
  <si>
    <t>PARAMETRIZAR CAMPANHA - ID 13782 - BANCO PAN</t>
  </si>
  <si>
    <t>EM TODOS as operações e convenios BANCO PAN (exceto INSS, FGTS e SIAPE)</t>
  </si>
  <si>
    <t>PARAMETRIZAR CAMPANHA - ID: 17865 - REF: JULHO 2025</t>
  </si>
  <si>
    <t>CAMPANHA MES JULHO I BANCO FACTA I COD 13929</t>
  </si>
  <si>
    <t>C6, todos os convênios, produtos novo, prazos 84 e 96</t>
  </si>
  <si>
    <t>12765 / 17574</t>
  </si>
  <si>
    <t>PARAMETRIZAR CAMPANHA - 12765 - 17574 - REF: JULHO</t>
  </si>
  <si>
    <t xml:space="preserve">17711	</t>
  </si>
  <si>
    <t>CAMPANHA MES JULHO I BANCO FACTA I COD 17711</t>
  </si>
  <si>
    <t>PARAMETRIZAR CAMPANHA - ID: 3443 - REF: JULHO</t>
  </si>
  <si>
    <t>PARAMETRIZAR CAMPANHA - ID: 8075 - REF: JULHO 2025</t>
  </si>
  <si>
    <t>PARAMETRIZAR CAMPANHA - ID: 5614 - REF: JULHO 2025</t>
  </si>
  <si>
    <t>CAMPANHA MES JULHO I BANCO FACTA I COD 16905</t>
  </si>
  <si>
    <t xml:space="preserve">4511 / 15867	</t>
  </si>
  <si>
    <t>CAMPANHA MES JULHO I BANCO FACTA I COD 12378/ 16872</t>
  </si>
  <si>
    <t>PARAMETRIZAR A COMPANHA - ID 14500 - PRESENÇA</t>
  </si>
  <si>
    <t>Banco Master – Todos os Produtos – Todos os Prazos – Todos os convênios  – Todas as Tabelas</t>
  </si>
  <si>
    <t>PARAMETRIZAR CAMPANHA - ID: 17303 - REF: JULHO 2025</t>
  </si>
  <si>
    <t>PARAMETRIZAR CAMPANHA - ID: 12765 - REF: JULHO 2025</t>
  </si>
  <si>
    <t>Todas as tabelas banco MASTER, DIGIO e DAYCOVAL.</t>
  </si>
  <si>
    <t>PARAMETRIZAR CAMPANHA - ID: 16417 - REF: JULHO 2025</t>
  </si>
  <si>
    <t>CADASTRO CAMPANHA l BANCO FACTA l CÓDIGO 9241 e 15703</t>
  </si>
  <si>
    <t>300.000,00 | 500.000,00</t>
  </si>
  <si>
    <t>0,10% | 0,20%</t>
  </si>
  <si>
    <t>PARAMETRIZAR CAMPANHA ID 12340 - REF: JULHO 2025</t>
  </si>
  <si>
    <t>Toda a produção paga do parceiro será contabilizada independente do produto para o atingimento da meta, porém para pagamento da bonificação será desconsiderada a produção em tabelas específicas do banco BMG por estarem parametrizadas na regra VIP.</t>
  </si>
  <si>
    <t>PARAMETRIZAR CAMPANHA - ID 14938 - BANCO MASTER</t>
  </si>
  <si>
    <t>PARAMETRIZAR CAMPANHA - ID 4079 - BANCO MEU CREDBANK</t>
  </si>
  <si>
    <t xml:space="preserve">MEU CREDBANK - INSS - MEU CREDBANK - INSS - FP - SEGURO TOP - TAXA 1,85  / MEU CREDBANK - INSS - MEU CREDBANK - INSS - FP - SEGURO - TX 1,85 / MEU CREDBANK - INSS - MEU CREDBANK - INSS - FP - SEGURO FLEX </t>
  </si>
  <si>
    <t>PARAMETRIZAR CAMPANHA - ID 2240 - BANCO FACTA</t>
  </si>
  <si>
    <t>Banco Presença – inss – Todos os Prazos  – Tabelas com seguro</t>
  </si>
  <si>
    <t>CAMPANHA MES JULHO I BANCO FACTA I COD 16165 E 16472</t>
  </si>
  <si>
    <t>PARAMETRIZAR CAMPANHA - ID 1518/16763 - BANCO MASTER</t>
  </si>
  <si>
    <t>16472 / 16165</t>
  </si>
  <si>
    <t>Toda a produção paga do parceiro será contabilizada independente do produto para o atingimento da meta, porém para pagamento da bonificação será desconsiderada a produção em tabelas que não geram comissão.</t>
  </si>
  <si>
    <t>PARAMETRIZAR CAMPANHA - ID: ID 16427 - REF: JULHO</t>
  </si>
  <si>
    <t>PARAMETRIZAR CAMPANHA - ID 12765 - BANCO PAN</t>
  </si>
  <si>
    <t>Fwd: Campanha Performance / Parceiro 17097- FORTE MULTI SERVICOS LTDA</t>
  </si>
  <si>
    <t xml:space="preserve">TODOS OS CONVENIOS E PRODUTOS NOVOS  DE TODOSOS BANCOS </t>
  </si>
  <si>
    <t>CAMPANHA MES JULHO I BANCO FACTA I COD 12291/16101</t>
  </si>
  <si>
    <t>PARAMETRIZACAO CAMPANHA I GRUPO DIRECTX I JULHO</t>
  </si>
  <si>
    <t>PARAMETRIZACAO CAMPANHA I BANCO FACTA I COD 17894 - JULHO</t>
  </si>
  <si>
    <t>PARAMETRIZAR CAMPANHAS - GC EMMANUEL - REF: JULHO 2025</t>
  </si>
  <si>
    <t xml:space="preserve">BANCO MASTER – OPERAÇÕES DE CARTÕES EM TODOS OS CONVENIOS VIGENTES NA CAMPANHA. </t>
  </si>
  <si>
    <t>BANCO MASTER – OPERAÇÕES DE EMPRESTIMO EM TODOS OS CONVENIO, PRAZOS E TABELAS VIGENTES NA CAMPANHA.</t>
  </si>
  <si>
    <t>RMC e RCC - BANCO CAPITAL CONSIG- todas as tabelas e prazos desses produtos</t>
  </si>
  <si>
    <t>OPERAÇÕES DE CARTÃO E SAQUE COMPLEMENTAR DOS BANCOS OLÉ, PAN E BMG.</t>
  </si>
  <si>
    <t>bonificar nas tabelas aptas do banco PAN para os produtos novo e refin do convenio GOVERNO DE PERNAMBUCO em todos os prazos.</t>
  </si>
  <si>
    <t>Campanha Facta Sub - COD WEBSUB: 17401 - SUB -SUB - FABIANO DOS SANTOS SILVEIRA 332559 - CASTILHO - SP - 07 - 2025</t>
  </si>
  <si>
    <t>Re: PLANILHA CAMPANHA PJ JUNHO 2025 - GRADE GC MICHAELE</t>
  </si>
  <si>
    <t>Crédito cod 2911</t>
  </si>
  <si>
    <t>Crédito cod 3184</t>
  </si>
  <si>
    <t>Não encontrado</t>
  </si>
  <si>
    <t>PARAMETRIZAR CAMPANHAS - GC WANDER - REF: JULHO 2025</t>
  </si>
  <si>
    <t>TODAS AS TABELAS COM SEGURO DE CONTRATO NOVO INSS MEU CRED BANK</t>
  </si>
  <si>
    <t>BONUS DO REFIN DA PORTABILIDADE  MEU CRED BANK</t>
  </si>
  <si>
    <t>Banco C6 – NOVO – Prazo 96x e 84x – INSS  – Todas as Tabelas (Obs: Margem livre, LOAS, Normal e Representante Legal)</t>
  </si>
  <si>
    <t>RMC e RCC - BANCO CAPITAL CONSIG-  todas as tabelas e prazos desses produtos</t>
  </si>
  <si>
    <t>Presença Bank –  INSS - Todos os Produtos – Todos os Prazos –  Todas as Tabelas com seguro</t>
  </si>
  <si>
    <t>BMG - INSS - Cartão e Cartão Beneficio - Todas as tabelas de Cartão com Saque</t>
  </si>
  <si>
    <t>BANCO PAN -  INSS TODAS AS TABELAS - EXCETO SAQUE COMPLEMENTAR</t>
  </si>
  <si>
    <t>BANCO PAN - SAQUE COMPLEMENTAR CARTOES TODOS OS CONVENIOS</t>
  </si>
  <si>
    <t xml:space="preserve">OBS : As campanhas bonus BANCO PAN refere-se a 50% do que recebemos </t>
  </si>
  <si>
    <t>MEUCREDBANK / INSS / TODAS TABELAS E PRAZOS COM SEGURO</t>
  </si>
  <si>
    <t xml:space="preserve">MEUCREDBANK / INSS / REFIN DE PORT </t>
  </si>
  <si>
    <t>AKI CAPITAL TODOS OS CONVENIOS - APENAS  OPERAÇÕES DE CARTÕES RMC E RCC</t>
  </si>
  <si>
    <t>PARAMETRIZAR CAMPANHAS - REGIONAL GLAUCE - REF: JULHO 2025</t>
  </si>
  <si>
    <t>CAMPANHA MES JULHO I COD 17960</t>
  </si>
  <si>
    <t>17960 </t>
  </si>
  <si>
    <t>MEU CREDBANK- FGTS - NOVO - TODOS</t>
  </si>
  <si>
    <t>PARAMETRIZAR CAMPANHA - ID 14409/17288</t>
  </si>
  <si>
    <t>17288 </t>
  </si>
  <si>
    <t>PARAMETRIZAR CAMPANHA - ID: 14170 - REF: JULHO 2025</t>
  </si>
  <si>
    <t>BÔNUS: 0,90% SOBRE TODA PRODUCAO DO BANCO AMIGOZ</t>
  </si>
  <si>
    <t>BANCO CAPITAL CONSIG(gov pi,gov ma,pref são luiz,pref picos-pi)-Todos os produtos e prazos</t>
  </si>
  <si>
    <t>PARAMETRIZAR CAMPANHA - ID: 13053</t>
  </si>
  <si>
    <t>PARAMETRIZAR CAMPANHA - 3422 / 16482 / 6894 SUB - REF: JULHO 2025</t>
  </si>
  <si>
    <t>Re: RENOVAÇÃO CAMPANHA MÊS DE JULHO 2025 - PARCEIRA GENIELA - POTENCIAL - COD 16474</t>
  </si>
  <si>
    <t>Re: CAMPANHA MÊS JULHO FACTA - COD 16358 TIAGO RODRIGUES</t>
  </si>
  <si>
    <t>Re: CAMPANHA MES JULHO - PRESENÇA BANK - GM PROMOTORA 16977 (ERICK VIEIRA)</t>
  </si>
  <si>
    <t>Re: CAMPANHA MES JULH0 - AMIGOZ - GM PROMOTORA 16977 (ERICK VIEIRA)</t>
  </si>
  <si>
    <t>AMIGOZ -  EM CIMA DE TODAS AS TABELAS RMC E RCC INSS</t>
  </si>
  <si>
    <t>CAMPANHAS ANDRÉ MEDEIROS I GC EMMANOEL I JULHO</t>
  </si>
  <si>
    <t xml:space="preserve">BMG-OPERAÇÕES DE CARTÕES RMC E RCC – TODAS AS TABELAS DE SAQUE COMPLEMENTAR </t>
  </si>
  <si>
    <t>IREMOS CONSIDERAR TODA A PRODUÇÃO / EXCETO AS TABELAS QUE POSSUEM VIP-CREDITO 14603</t>
  </si>
  <si>
    <t>BANCO PAN -  TODOS OS CONVENIOS - TODAS AS TABELAS DEMAIS CONVENIOS EXCETO SAQUE COMPLEMENTAR</t>
  </si>
  <si>
    <t>TODOS OS BANCOS E TODOS OS PRODUTO-</t>
  </si>
  <si>
    <t>IREMOS CONSIDERAR TODA A PRODUÇÃO / EXCETO AS TABELAS QUE POSSUEM VIP</t>
  </si>
  <si>
    <t>BANCO AMIGOZ/ PRODUTO TODOS E TABELAS TODAS-</t>
  </si>
  <si>
    <t xml:space="preserve">TODAS AS TABELAS E PRODUTOS P/ META. DESCONSIDERAR PORT, VIP E GRUPO 001 PARA O PAGAMENTO DO BÔNUS </t>
  </si>
  <si>
    <t>MEU CREDBANK - INSS REFIN DA PORTABILIDADE TAXA 1,80%-</t>
  </si>
  <si>
    <t>BÔNUS SOBRE TODA PRODUÇÃO (AMBOS OS CÓDIGOS E TODOS OS BANCOS)-</t>
  </si>
  <si>
    <t>ENGLOBAR TODA A PRODUÇÃO PARA A META E PAGAMENTO /FACTA/INSS/NOVO/ TODOS OS PRAZOS-</t>
  </si>
  <si>
    <t>PARAMETRIZAR CAMPANHA - ID 5614</t>
  </si>
  <si>
    <t>PARAMETRIZAR AS CAMPANHA - ID 12633 / 5804 / 15932</t>
  </si>
  <si>
    <t>12633 </t>
  </si>
  <si>
    <t>PARAMETRIZAR CAMPANHA - 4097 - REF: JULHO 2025</t>
  </si>
  <si>
    <t>PARAMETRIZAR CAMPANHA - 695 REF: JULHO 2025</t>
  </si>
  <si>
    <t>PARAMETRIZAR CAMPANHA - 1577 - REF: JULHO 2025</t>
  </si>
  <si>
    <t>PARAMETRIZAR CAMPANHA - ID: 2838 - REF: JULHO 2025</t>
  </si>
  <si>
    <t>PARAMETRIZAR A CAMPANHA - ID 17974 - BANCO MERCANTIL</t>
  </si>
  <si>
    <t>PARAMETRIZAR CAMPANHA - ID 15216 - BANCO MERCANTIL</t>
  </si>
  <si>
    <t>MERCANTIL -Bônus pago referente a venda de cartão RMC E RCC</t>
  </si>
  <si>
    <t>PARAMETRIZAR CAMPANNHA - ID 9321 / 14244 / 13184 - PRODUÇÃO TOTAL</t>
  </si>
  <si>
    <t xml:space="preserve">TODOS PRODUTOS E CONVENIOS DE TODOS OS BANCOS   EXCETO  OPERAÇÕES DE PORTABILIDADE E CLT </t>
  </si>
  <si>
    <t>CAMPANHA MES JULHO I BANCO MASTER I COD 15216</t>
  </si>
  <si>
    <t>TODA PRODUÇÃO BANCO MASTER , DE ACORDO COM AS REGRAS DO BANCO</t>
  </si>
  <si>
    <t>CAMPANHA MES JULHO I BANCO MERCANTIL I COD 17740</t>
  </si>
  <si>
    <t>17740 </t>
  </si>
  <si>
    <t>CAMPANHA MES JULHO I BANCO FACTA I COD 15632</t>
  </si>
  <si>
    <t>CAMPANHA MES JULHO I BANCO FACTA I COD 17143</t>
  </si>
  <si>
    <t>CAMPANHA MES JULHO I COD 15463/5407</t>
  </si>
  <si>
    <t>PARAMETRIZAÇÃO DE CAMPANHA - BANCO MERCANTIL - ID 3446</t>
  </si>
  <si>
    <t>CAMPANHA MES DE JULHO I BANCO AMIGOZ I COD 16418</t>
  </si>
  <si>
    <t>Banco Amigoz – Todos os Produtos – Todos os Prazos – Todos os convênios  – Todas as Tabelas</t>
  </si>
  <si>
    <t>2649 / 7018</t>
  </si>
  <si>
    <t>CONSIDERAR TODA A PRODUÇAO PARA APURAÇAO DA META E PAGAMENTO DA BONIFICAÇÃO EM AMBOS OS CODIGOS 7460 / 12006</t>
  </si>
  <si>
    <t>PARAMETRIZAR CAMPANHA - ID: 14910 - REF: JULHO 2025</t>
  </si>
  <si>
    <t>PARAMETRIZAR CAMPANHA - 3566 - BANCO QUERO MAIS - REF: JULHO 2025</t>
  </si>
  <si>
    <t>CAMPANHA MES JULHO I BANCO FACTA I COD 9248</t>
  </si>
  <si>
    <t>CAMPANHA MES JULHO I BANCO QUERO + CREDITO I COD 9248</t>
  </si>
  <si>
    <t>CAMPANHA MES JULHO I BANCO FACTA I COD 17683</t>
  </si>
  <si>
    <t>CAMPANHA MES JULHO I BANCO FACTA I COD 14194/14495</t>
  </si>
  <si>
    <t>Re: Campanha C6 PARC 11820 LILIANE MARIA</t>
  </si>
  <si>
    <t>1,83% a 1,85% calcular a média, das taxas de refin de port</t>
  </si>
  <si>
    <t>1,80% a 1,829% calcular a média, das taxas de refin de port</t>
  </si>
  <si>
    <t>PARAMETRIZAR CAMPANHA - ID 16754 - BANCO AMIGOZ</t>
  </si>
  <si>
    <t>PARAMETRIZAR CAMPANHA - BANCO MASTER - ID 14054</t>
  </si>
  <si>
    <t>MASTER-TODOS OS CONVÊNIOS E PRODUTOS MFACIL, CREDCESTA, REFIN CREDCESTA.</t>
  </si>
  <si>
    <t>CAMPANHA MES JULHO I BANCO FACTA I COD 13560 / 13750</t>
  </si>
  <si>
    <t>CAMPANHA MES JULHO I BANCO FACTA I COD 14003</t>
  </si>
  <si>
    <t>CAMPANHA MES JULHO I COD 13718</t>
  </si>
  <si>
    <t>CAMPANHA MES JULHO I BANCO FACTA I COD 17859 / 17918</t>
  </si>
  <si>
    <t>CAMPANHA MES JULHO I COD 14105</t>
  </si>
  <si>
    <t>QUERO + SOMENTE SOBRE CONVENIO SIAPE</t>
  </si>
  <si>
    <t>CAMPANHA MES JULHO I BANCO FACTA I COD 16085</t>
  </si>
  <si>
    <t>16102 </t>
  </si>
  <si>
    <t>BANCO MASTER TODOS OS CONVENIOS, PRAZOS E TABELAS.</t>
  </si>
  <si>
    <t>PARAMETRIZAR CAMPANHA - 7274/74161 - REF JULHO</t>
  </si>
  <si>
    <t>Re: 15564 - FERNANDA SUB FACTA | BONUS DE JULHO | PARAMETRIZAÇÃO</t>
  </si>
  <si>
    <t>Re: 13932 - SUB FACTA ELIANA DORIA | BONUS JULHO | PARAMETRIZAÇÃO</t>
  </si>
  <si>
    <t>Re: 13440 - SUB FACTA DANILO | BONUS JULHO | PARAMETRIZAÇÃO</t>
  </si>
  <si>
    <t>Re: 16783 - SUB FACTA ANI CHAVES | BONUS JULHO | PARAMETRIZAÇÃO</t>
  </si>
  <si>
    <t>Re: 14011 - SUB MIX SOLUÇÕES | BONUS | VCTEX E FACTA | JULHO</t>
  </si>
  <si>
    <t>Re: 15421 - MIKELY SUB FACTA | BONUS JULHO | PARAMETRIZAÇÃO</t>
  </si>
  <si>
    <t>Re: 16578 - GABRIELA FONSECA | BONUS JULHO | PARAMETRIZAÇÃO</t>
  </si>
  <si>
    <t>Re: :: CAMPANHA FACTA - MEDCRED - 07.2025 ::</t>
  </si>
  <si>
    <t>Re: Campanha Sub - COD WEBSUB: 13007 : JULIENE MONREAL DOS SANTOS SORROCHE - 41.659.209/0001-49 - BONUS 0,40% - JULHO - 2025</t>
  </si>
  <si>
    <t>CONTRATO NOVO BANCO MASTER</t>
  </si>
  <si>
    <t>Todas as tabelas banco MASTER e DIGIO.-Todos (exceto INSS, FGTS, GOV. PE e GOV. ES, MASTER LUZ)</t>
  </si>
  <si>
    <t>PARAMETRIZAR CAMPANHA - ID: 15503 - REF: JULHO 2025</t>
  </si>
  <si>
    <t>PRESENÇA INSS</t>
  </si>
  <si>
    <t>CAMPANHA MES JULHO I COD 13368</t>
  </si>
  <si>
    <t>CAMPANHA MES JULHO I BANCO FACTA I COD 13910/8810</t>
  </si>
  <si>
    <t>13910-8810</t>
  </si>
  <si>
    <t>Fwd: 13113 - CAMPANHA 07/2025</t>
  </si>
  <si>
    <t>CAMPANHA MES JULHO I COD 15908</t>
  </si>
  <si>
    <t>CAMPANHA MES JULHO I COD 6846</t>
  </si>
  <si>
    <t>CAMPANHA MES JULHO I BANCO MASTER I COD 6905</t>
  </si>
  <si>
    <t>Campanha Facta Sub - COD WEBSUB: 17192 - SUB - SUB RECEBAMAIS SOLUCOES EM CREDITO LTDA - BARRETOS - SP - JULHO - 2025</t>
  </si>
  <si>
    <t>Re: Campanha Facta Sub - COD WEBSUB: 13669 -SUB - LIMA E BISPO SOLUCOES E DESENVOLVI - BONUS 0,30% - 07 - 2025</t>
  </si>
  <si>
    <t>Campanha Facta Sub - COD WEBSUB: 11301 - LUIZ ANTONIO MAIA LTDA - OSVALDO CRUZ - SP - 07 - 2025</t>
  </si>
  <si>
    <t>Campanha Facta Sub - COD WEBSUB: 14511 - SUB - LEROY LUIZ ARAUJO NOGUEIRA MACARIO - ANDRADINA - SP - JULHO - 2025</t>
  </si>
  <si>
    <t>Campanha Facta Sub - COD WEBSUB: 13128 - SUB - DANIELLE LIMA BEVENUTO 32674022809 - ANDRADINA - SP - 07 - 2025</t>
  </si>
  <si>
    <t>Campanha Facta Sub - COD WEBSUB: 17636 -SUB - ANDRESSA PATRICIA KETELHUT JORDAO - BONUS 0,70% -</t>
  </si>
  <si>
    <t>Campanha Facta Sub - COD WEBSUB: 14291 - SOUZA &amp; BATALINI SOCIEDADE LTDA - TEODORO SAMPAIO - SP - 07 2025</t>
  </si>
  <si>
    <t>Re: Campanha Sub - BANCO DAYCOVAL - WEBSUB: 15692 - SUB - ABM ASSESSORIA E PROCESSAMENTO DE - CREDGOL - 07-2025</t>
  </si>
  <si>
    <t>Re: CAMPANHA - BONUS BANCO MASTER - 07/2025 - 16238 - SUB - LC NEGÓCIOS LTDA</t>
  </si>
  <si>
    <t>Re: CAMPANHA - BONUS BANCO MEU CREDBANK - 07/2025 - ARKAD</t>
  </si>
  <si>
    <t xml:space="preserve">MEU CREDBAK-FGTS-TODA A PRODUÇÃO </t>
  </si>
  <si>
    <t>Re: CAMPANHA - BONUS BANCO FACTA - 07/2025 - ARKAD</t>
  </si>
  <si>
    <t>MASTER- M FACIL E CREDCESTA, prefeitura de UBERABA, IPSERV E CODAU-TODOS OS PRAZOS</t>
  </si>
  <si>
    <t>PARAMETRIZAR CAMPANHA - ID 13336</t>
  </si>
  <si>
    <t>13336 </t>
  </si>
  <si>
    <t> bônus sobre toda a produção, desconsiderando as tabelas VIP</t>
  </si>
  <si>
    <t>CAMPANHA MES JULHO I BANCO FACTA I COD 11820</t>
  </si>
  <si>
    <t>PARAMETRIZAR CAMPANHA I COD 5736 / 17484</t>
  </si>
  <si>
    <t>5736 / 17484</t>
  </si>
  <si>
    <t>CAMPANHA MES JULHO I BANCO DIGIO I COD 16363</t>
  </si>
  <si>
    <t>BONUS SOBRE A PRODUÇÃO BANCO DIGIO- TODOS OS PRODUTOS E PRAZO NAS TABELAS QUE INCIDE O BÔNUS</t>
  </si>
  <si>
    <t>PARAMETRIZAR CAMPANHA - ID 4353 - BANCO DAYCOVAL</t>
  </si>
  <si>
    <t>PARAMETRIZAR COMPANHA - ID: 17111 - REF: JULHO</t>
  </si>
  <si>
    <t>PARAMETRIZAR CAMPANHA - BANCO DIGIO - ID 14186</t>
  </si>
  <si>
    <t>PARAMETRIZAR CAMPANHA - ID 6799 - MERCANTIL - FGTS</t>
  </si>
  <si>
    <t>Re: BONUS SUB ZERO DAYCOVAL IEV - 14482</t>
  </si>
  <si>
    <t>PARAMETRIZAR CAMPANHA - ID 13389</t>
  </si>
  <si>
    <t>CAMPANHA MES JULHO I BANCO FACTA I COD 16892</t>
  </si>
  <si>
    <t>CAMPANHA MES JULHO I BANCO FACTA I COD 12732</t>
  </si>
  <si>
    <t>CAMPANHA MES JULHO I BANCO FACTA I COD 15516</t>
  </si>
  <si>
    <t>PARAMETRIZAR CAMPANHA - ID: 1452 - REF: JULHO 2025</t>
  </si>
  <si>
    <t>CAMAPANHA MES JULHO I BANCO FACTA I COD 17051</t>
  </si>
  <si>
    <t>PARAMETRIZAR CAMPANHA - BANOC MERCANTIL - ID 3895</t>
  </si>
  <si>
    <t>Re: CADASTRO DE BÔNUS - SUB FACTA - CÓD 13711</t>
  </si>
  <si>
    <t>PARAMETRIZAR CAMPANH - BANCO BMG - ID 7337</t>
  </si>
  <si>
    <t>PARAMETRIZAR CAMPANHA - ID 16713 - BANCO BMG</t>
  </si>
  <si>
    <t>TODO A PRODUÇAO BMG</t>
  </si>
  <si>
    <t>Fwd: Campanha AC Cred cód 9281 SUB Mercantil - FGTS</t>
  </si>
  <si>
    <t>PARAMETRIZA CAMPANHA - 17303 QUERO MAIS</t>
  </si>
  <si>
    <t>17303 </t>
  </si>
  <si>
    <t>Banco Quero Mais Crédito - Todos os produtos - Convenio Siape</t>
  </si>
  <si>
    <t>Fwd: PARAMETRIZAÇÃO DE CAMPANHA BANCO DIGIO // CÓDIGO 6887 BAHIA MONEY</t>
  </si>
  <si>
    <t>PARAMETRIZAR CAMPANHA - ID 4190</t>
  </si>
  <si>
    <t>CONSIDERAR TODA A PRODUÇAO DO DIGIO PARA APURAÇAO.</t>
  </si>
  <si>
    <t>CONSIDERAR TODA A PRODUÇAO DO SAFRA PARA APURAÇAO.</t>
  </si>
  <si>
    <t>CONSIDERAR TODA A PRODUÇAO DO FACTA PARA APURAÇAO.</t>
  </si>
  <si>
    <t>CONSIDERAR TODA A PRODUÇAO DO BANRISUL  PARA APURAÇAO.</t>
  </si>
  <si>
    <t>CONSIDERAR TODA A PRODUÇAO DO BMG  PARA APURAÇAO.</t>
  </si>
  <si>
    <t>CONSIDERAR TODA A PRODUÇAO DO PAN PARA APURAÇAO.</t>
  </si>
  <si>
    <t>CONSIDERAR TODA A PRODUÇAO DO MEU CREDBANKPARA APURAÇAO.</t>
  </si>
  <si>
    <t>Re: CAMPANHA SUB PONTO AMIGO - 16291 - BANCO PAN - GOVERNO DO PARANÁ</t>
  </si>
  <si>
    <t>16291 </t>
  </si>
  <si>
    <t>BANCO PAN -- GOV DO PARANÁ - TODAS AS TABELAS E PRAZOS .</t>
  </si>
  <si>
    <t>PARAMETRIZAR CAMPANHA - ID 2404 - PORTABILIDADE DAYCOVAL</t>
  </si>
  <si>
    <t>15818-16763</t>
  </si>
  <si>
    <t xml:space="preserve">DAYCOVAL - PORTABILIDADE NOS CONVENIOS SEPLAG / PMMG / IPSM / IPSEMG </t>
  </si>
  <si>
    <t>CAMPANHA BANCO MASTER I JUNHO-AGOSTO I ANDRÉ MEDEIROS</t>
  </si>
  <si>
    <t>Re: BONUS SUB SAFRA 16818 TIME - LARISSA</t>
  </si>
  <si>
    <t>BANCO SAFRA</t>
  </si>
  <si>
    <t>PARAMETRIZA CAMAPANHA - ID 14678 - BANCO AKI CAPITAL</t>
  </si>
  <si>
    <t>Fwd: Parametrizacao Campanha Facta parceiro codigo 17467</t>
  </si>
  <si>
    <t>Banco Quero Mais Crédito - Todos os produtos - Convenio INSS</t>
  </si>
  <si>
    <t xml:space="preserve">Crédito cod 14603 </t>
  </si>
  <si>
    <t>17859 / 17918</t>
  </si>
  <si>
    <t>SUSANA DE LIRA RIBEIRO</t>
  </si>
  <si>
    <t>ANA BEATRIZ PIMENTA LISBOA</t>
  </si>
  <si>
    <t>RAFAEL ALVES MARTINI</t>
  </si>
  <si>
    <t>MAURICIO PEREIRA DOS SANTOS</t>
  </si>
  <si>
    <t>7274 / 17461</t>
  </si>
  <si>
    <t>BANCO FACTA – NOVO – PRAZO 96X – INSS – TODAS AS TABELAS</t>
  </si>
  <si>
    <t>BANCO PRESENÇA - INSS - TODA A PRODUÇÃO</t>
  </si>
  <si>
    <t>TODA A PRODUÇÃO PARA ATINGIMENTO - TODA A PRODUÇÃO EXCETO ITAU PARA PAGAMENTO</t>
  </si>
  <si>
    <t>BANCO MERCANTIL - FGTS</t>
  </si>
  <si>
    <t>BANCO OLE - TODA A PRODUÇÃO</t>
  </si>
  <si>
    <t>BANCO AMIGOZ - TODA A PRODUÇÃO
EXCETO ( EXCETO PREF RECIFE / TJ MG / JUIZ DE FORA)</t>
  </si>
  <si>
    <t xml:space="preserve">
MEU CREDBANK-TODA A PRODUÇÃO INSS, EXCETO :
MEU CREDBANK - INSS - MEU CREDBANK - INSS - FP - NORMAL - TX 1,85
MEU CREDBANK - INSS - MEU CREDBANK - INSS - FP - SEGURO - TX 1,85</t>
  </si>
  <si>
    <t>MEU CREDBANK-TODA A PRODUÇÃO INSS, EXCETO :
MEU CREDBANK - INSS - MEU CREDBANK - INSS - FP - NORMAL - TX 1,85
MEU CREDBANK - INSS - MEU CREDBANK - INSS - FP - SEGURO - TX 1,85</t>
  </si>
  <si>
    <t xml:space="preserve">
MEU CREDBANK-INSS TODA A PRODUÇÃO, EXCETO :
MEU CREDBANK - INSS - MEU CREDBANK - INSS - FP - NORMAL - TX 1,85
MEU CREDBANK - INSS - MEU CREDBANK - INSS - FP - SEGURO - TX 1,85</t>
  </si>
  <si>
    <t xml:space="preserve">MASTER TODA A PRODUÇÃO </t>
  </si>
  <si>
    <t xml:space="preserve"> AMIGOZ  TODA A PRODUÇÃO EXCETO  Prefeitura de Juiz de Fora, TJMG e Prefeitura de Recife.)</t>
  </si>
  <si>
    <t>TODA A PRODUÇÃO -EXCETO TABELAS VIP</t>
  </si>
  <si>
    <t>TODA A PRODUÇÃO -</t>
  </si>
  <si>
    <t xml:space="preserve"> MEU CREDBANK – TODA A PRODUÇÃO EM TODOS OS PRODUTOS, PORÉM 0,75% NO REFIN DA PORT</t>
  </si>
  <si>
    <t>AMIGOZ- TODA A PRODUÇÃO</t>
  </si>
  <si>
    <t xml:space="preserve">DAYCOVAL-TODA A PRODUÇÃO </t>
  </si>
  <si>
    <t xml:space="preserve">QUERO MAIS -TODA A PRODUÇÃO </t>
  </si>
  <si>
    <t xml:space="preserve">PRESENÇA BANK-TODA A PRODUÇÃO </t>
  </si>
  <si>
    <t xml:space="preserve">AMIGOZ TODA A PRODUÇÃO </t>
  </si>
  <si>
    <t xml:space="preserve">TODA A PRODUÇÃO ATINGIR A META- BONIFICACAO-DAYCOVAL -  GOV DE PE - MARGEM LIVRE - PRAZO MAXIMO - TODAS AS TABELAS </t>
  </si>
  <si>
    <t xml:space="preserve">TODA A PRODUÇÃO ATINGIR A META- BONIFICACAO-FACTA - INSS - MARGEM LIVRE - PRAZO MAXIMO - TODAS AS TABELAS </t>
  </si>
  <si>
    <t xml:space="preserve">TODA A PRODUÇÃO ATINGIR A META- BONIFICACAO-PAN -  INSS - MARGEM LIVRE - PRAZO MAXIMO - TODAS AS TABELAS </t>
  </si>
  <si>
    <t xml:space="preserve">TODA A PRODUÇÃO ATINGIR A META- BONIFICACAO C6 - INSS - MARGEM LIVRE - PRAZO MAXIMO - TODAS AS TABELAS  - </t>
  </si>
  <si>
    <t>TODA A PRODUÇÃO BANCO MASTER ( EXCETO NOVO )</t>
  </si>
  <si>
    <t xml:space="preserve">TODA A PRODUÇÃO </t>
  </si>
  <si>
    <t>BANCO CAPITAL CONSIGADO  TODA A PRODUÇÃO CARTÃO E CARTÃO BENEFICIO</t>
  </si>
  <si>
    <t xml:space="preserve">DIGIO TODA A PRODUÇÃO </t>
  </si>
  <si>
    <t>TODA A PRODUÇÃO DOS BANCOS:C6 , FACTA , PAN , DAYCOVAL ,MEU CRED BANK , AMIGOZ ,BMG --em agosto, caso  a parceira atinja  
50% da meta anual, iremos pagar 50% do Bônus.</t>
  </si>
  <si>
    <t xml:space="preserve">BMG -TODA A PRODUÇÃO </t>
  </si>
  <si>
    <t>TODA A PRODUÇÃO PARA ATINGIR A META E CONTABILIZAR-META DESCONSIDERAR  BMG E C6 ( INSS /NOVO ) -CREDITO 3184</t>
  </si>
  <si>
    <t>TODA A PRODUÇÃO -CREDITO</t>
  </si>
  <si>
    <t>TODA A PRODUÇÃO PARA ATINGIR A META E CONTABILIZAR-META DESCONSIDERAR  BMG E C6 ( INSS /NOVO)</t>
  </si>
  <si>
    <t>TODA A PRODUÇÃO atingir a meta- bonificação TODA A PRODUÇÃO novo-inss-84x exceto banco itau.</t>
  </si>
  <si>
    <t>PRESENÇA BANK- TODA A PRODUÇÃO NAS TABELAS QUE RECEBEMOS BONIFICACOES</t>
  </si>
  <si>
    <t>AMIGOZ – TODA A PRODUÇÃO</t>
  </si>
  <si>
    <t>BANCO C6 – NOVO INSS TODA A PRODUÇÃO</t>
  </si>
  <si>
    <t xml:space="preserve"> BANCO MASTER - TODA A PRODUÇÃO</t>
  </si>
  <si>
    <t>QUERO MAIS - TODA A PRODUÇÃO </t>
  </si>
  <si>
    <t>BANCO DAYCOVAL - TODA A PRODUÇÃO</t>
  </si>
  <si>
    <t>CONSIDERAR TODA A PRODUÇÃO NA FACTA ,CONFORME TABELAS ELEGÍVEIS AO BÔNUS</t>
  </si>
  <si>
    <t>R$ 15,00 POR PROPOSTA</t>
  </si>
  <si>
    <t>BANCO DAYCOVAL - 34% DO PERCENTUAL DE BÔNUS QUE RECEBEMOS - EXCETO TABELAS ABAIXO :
DAYCOVAL - GOVERNO DE PERNAMBUCO - DAYCOVAL - GOVERNO DE PERNAMBUCO - GOV PE 1 (991780)
DAYCOVAL - GOVERNO DE PERNAMBUCO - DAYCOVAL - GOVERNO DE PERNAMBUCO - GOV PE 2 (991781)
DAYCOVAL - GOVERNO DE PERNAMBUCO - DAYCOVAL - GOVERNO DE PERNAMBUCO - GOV PE 3 (991782)- No prazo de 120</t>
  </si>
  <si>
    <t>BANCO DAYCOVAL - 70% DO PERCENTUAL DE BÔNUS QUE RECEBEMOS</t>
  </si>
  <si>
    <t>BANCO DAYCOVAL - 95% DO PERCENTUAL DE BÔNUS QUE RECEBEMOS - GOV DE PE /  INSS /  PREF RECIFE /  PREF DE OLINDA / SIAPE/ GOV BA</t>
  </si>
  <si>
    <t>BANCO MERCANTIL - Bônus pago referente a venda de cartão RMC E RCC</t>
  </si>
  <si>
    <t>MASTER-TODA A PRODUÇÃO EXCETO FGTS E INSS</t>
  </si>
  <si>
    <t>PARAMETRIZAR CAMPANHA - ID 1942 - BANCO DIGIO</t>
  </si>
  <si>
    <t>PARAMETRIZAR CAMPANHAS - ID 6305 / 1929 PRODUÇÃO TOTAL</t>
  </si>
  <si>
    <t>PARAMETRIZAR CAMPANAHA - ID 12378</t>
  </si>
  <si>
    <t>PAGAR BÔNUS SOBRE TODA PRODUÇÃO</t>
  </si>
  <si>
    <t>Re: PLANILHA SUB CAMPANHA - JULHO - CHRISTIANE ARAUJO</t>
  </si>
  <si>
    <t>17204 e 17960 </t>
  </si>
  <si>
    <t>M R S CORRESPONDENTE</t>
  </si>
  <si>
    <t>BANCO MASTER –  PRODUÇÃO TOTAL – INDICADO</t>
  </si>
  <si>
    <t>PARAMETRIZAR CAMPANHA - ID 17396</t>
  </si>
  <si>
    <t>DIGIO - INSS - PORTABILIDADE - TODOS</t>
  </si>
  <si>
    <t>DIGIO - INSS - REFIN DA PORTABILIDADE - TODOS</t>
  </si>
  <si>
    <t>PARAMETRIZAR CAMPANHA - ID 8851 - BANCO PAN/DAYCOVAL</t>
  </si>
  <si>
    <t>todas as tabelas digitadas no banco pan no convenio governo de rondonia ,96 meses</t>
  </si>
  <si>
    <t>todas as tabelas digitadas no banco daycoval no convenio governo de rondonia ,96 meses</t>
  </si>
  <si>
    <t>bmg / inss e siape / cartão e cartão benefício</t>
  </si>
  <si>
    <t>13215 </t>
  </si>
  <si>
    <t>13560-13750</t>
  </si>
  <si>
    <t>BANCO AKI CAPITAL - TODAS AS TABELAS DOS PRODUTOS DE EMPRÉSTIMO , todos os convênios,tabelas e prazos . </t>
  </si>
  <si>
    <t>MASTER-TODOS OS CONVENIOS E PRODUTOS MFACIL CREDCESTA REFIN CREDCESTA - EMPRESTIMO GOVERNOS E PREFEITURAS.</t>
  </si>
  <si>
    <t xml:space="preserve">QUERO MAIS –  PRODUÇÃO TOTAL  SIAPE  </t>
  </si>
  <si>
    <t>Re: Campanha Facta | 16898 - SUB GILDERSON SA TELES PORTO</t>
  </si>
  <si>
    <t>Re: PLANILHA CAMPANHA PJ JULHO 2025 - GRADE GC MICHAELE</t>
  </si>
  <si>
    <t>9566  </t>
  </si>
  <si>
    <t>17892 </t>
  </si>
  <si>
    <t>PAN-PRODUÇÃO GERAL (EXCETO INSS, FGTS E SIAPE)</t>
  </si>
  <si>
    <t>PAN-FGTS</t>
  </si>
  <si>
    <t>PAN -SAQUE COMPLEMENTAR - TODOS OS PRODUTOS DE CARTÃO</t>
  </si>
  <si>
    <t>VCTEX-PRODUÇÃO GERAL</t>
  </si>
  <si>
    <t xml:space="preserve">QUERO + CRÉDITO-PRODUCAO TOTAL </t>
  </si>
  <si>
    <t xml:space="preserve">BMG-PRODUCAO TOTAL </t>
  </si>
  <si>
    <t>PARAMETRIZAR CAMPANHAS 6843 | JULHO | BANCO DIGIO</t>
  </si>
  <si>
    <t>Re: CAMPANHA - MR - CÓDIGOS 16130,17204,17960</t>
  </si>
  <si>
    <t>17204 e 17960)</t>
  </si>
  <si>
    <t>BANCO FACTA –  CONFORME REGRAS FACTA</t>
  </si>
  <si>
    <t>ANCO C6 –  PRODUÇÃO TOTAL </t>
  </si>
  <si>
    <t>Re: CAMPANHA BANCO C6 - SUB 11994 -</t>
  </si>
  <si>
    <t>BANCO C6 - TODOS OS CONVENIOS, TABELAS E PRAZOS</t>
  </si>
  <si>
    <t>PARAMETRIZAR CAMPANHAS - ID 9067</t>
  </si>
  <si>
    <t>Bonus pago em cima de contrato novo com seguro/prazo maximo e Refin port até a flex 2 ( Conforme parametro facta )</t>
  </si>
  <si>
    <t>Bonus pago em cima de contrato novo com seguro/prazo maximo e Refin port até a flex 2 ( Conforme parametro facta )</t>
  </si>
  <si>
    <t>TODAS AS TABELAS E PRODUTOS P/ ATINGIMENTO DA META. DESCONSIDERAR PORT, VIP, E GRUPO 001 P/ CALCULO DO BÔNUS.</t>
  </si>
  <si>
    <t>PRODUCAO TOTAL :
 BANCOS BMG( exceto : cartão /
 cartão beneficio,siape/ inss,todos os prazos) , 
PRESENÇA BANK e FACTA ( Conforme parametro do banco )</t>
  </si>
  <si>
    <t>MERCANTIL-cartão RMC e RCC (CBMG / IPSEMG / IPSM / PMMG / SEPLAG)</t>
  </si>
  <si>
    <t xml:space="preserve">
CONSIDERAR TODA A PRODUÇÃO ATINGIR A META-
BONIFICACAO TODA A PRODUÇÃO
EXCETO : mErcantil / Amigoz / Itaú 
E GRUPO 001 E vip </t>
  </si>
  <si>
    <t>PRODUCAO TOTAL BMG PARA ATINGIR A META
BONIFICACAO : BMG - NOVO - INSS ( Menos LOAS )
CARTÃO RMC e RCC ( Menos LOAS )</t>
  </si>
  <si>
    <t xml:space="preserve">PRODUCAO TOTAL PARA ATINGIR A META-E BONIFICACAO 
POREM PRODUTO (NOVO, REFIN, REFIN DA PORT E CARTÕES). OBS.: EXCLUIR PORTABILIDADE E CLT.
</t>
  </si>
  <si>
    <t>PRODUCAO TOTAL PARA ATINGIR A META-E BONIFICACAO 
POREM PRODUTO (NOVO, REFIN, REFIN DA PORT E CARTÕES). OBS.: EXCLUIR PORTABILIDADE E CLT.</t>
  </si>
  <si>
    <t xml:space="preserve">TODOS OS BANCOS E PRODUTOS CONTABILIZAM PARA BATIMENTO DA META, PORÉM, REMUNERAÇÃO APENAS (NOVO, REFIN, REFIN DA PORT E CARTÕES). OBS.: EXCLUIR PORTABILIDADE E CLT E Banco: Mercantil Produto: CLT e Credito pessoal </t>
  </si>
  <si>
    <t>BANCO FACTA - NOVO - 96x (exceto CLT) - CONFORME REGULAMENTO</t>
  </si>
  <si>
    <t>BANCO FACTA (exceto CLT) - CONFORME REGULAMENTO</t>
  </si>
  <si>
    <t>FACTA - INSS NOVO - PRAZO 96 MESES (EXCETO CLT)</t>
  </si>
  <si>
    <t xml:space="preserve">PRODUCAO TOTAL PAN ATINGIR A META-BONIFICACAO PAN-Gov ES PRODUCAO TOTAL </t>
  </si>
  <si>
    <t>DIGIO - TODA PRODUÇÃO CREDITO  -1419.(PARA ABATIMENTO DE DIVIDA)</t>
  </si>
  <si>
    <t>CADASTRAR CAMPANHA | 16130 L. M. PROMOTORA E INTERMEDIACAO</t>
  </si>
  <si>
    <t>BANCO PAN INSS - NOVO E REFIN FGTS TODAS AS TABELAS (exceção tabelas de invalidez)</t>
  </si>
  <si>
    <t>BANCO PAN CONVENIOS PUBLICOS TODAS AS TABELAS</t>
  </si>
  <si>
    <t>BANCO PAN SAQUE COMPLEMENTAR TODOS OS CONVENIOS</t>
  </si>
  <si>
    <t>BANCO PAN CARTÃO COM SAQUE </t>
  </si>
  <si>
    <t>BANCO PAN FGTS INSS CLT CAMPANHA FIDELIZA MARGEM LIVRE</t>
  </si>
  <si>
    <t>0,50 % Fideliza</t>
  </si>
  <si>
    <t>TABELAS QUE CONSTAM NA VIP</t>
  </si>
  <si>
    <t xml:space="preserve">CONSIDERAR TODA A PRODUÇAO PARA APURAÇAO, TODOS CONVENIOS </t>
  </si>
  <si>
    <t xml:space="preserve">CONSIDERAR TODA A PRODUÇAO PARA APURAÇAO, TODOS CONVENIOS  </t>
  </si>
  <si>
    <t>PRODUCAO TOTAL ATINGIR A META E BONIFICACAO PRODUCAO TOTAL MASTER</t>
  </si>
  <si>
    <t xml:space="preserve">TODOS BANCOS   / INSS-SIAPE/novo / port/refin de port /cartao rmc /cartao benefcio / 84X TODAS AS TABELAS
FACTA SOMENTE O INSS- 84x </t>
  </si>
  <si>
    <t>A bonificação será paga mediante a produção total, exceto a produção do banco BMG  e os bancos que possuem regra VIP.</t>
  </si>
  <si>
    <t>MERCANTIL - FGTS - DIGITAL NOVO NORMAL BMF (13728077)
MERCANTIL - FGTS - DIGITAL NOVO CC BMF (13728127)
MERCANTIL - FGTS - DIGITAL NOVO C50 BMF (13728128)</t>
  </si>
  <si>
    <t xml:space="preserve">QUERO MAIS –  PRODUÇÃO TOTAL - EXCETO SIAPE </t>
  </si>
  <si>
    <t>MEU CREDBANK / TABELAS:
MEU CREDBANK - INSS - FP - SEGURO TOP - TAXA 1,85 
 /  MEU CREDBANK - INSS - FP - SEGURO - TX 1,85  / 
 MEU CREDBANK - INSS - FP - SEGURO FLEX – PRAZOS 96X e 84x.</t>
  </si>
  <si>
    <t>DAYCOVAL - PORTABILIDADE NOS CONVENIOS SEPLAG / PMMG / IPSM / IPSEMG</t>
  </si>
  <si>
    <t>1,799% a 1,750% calcular a média, das taxas de refin de port </t>
  </si>
  <si>
    <t>MEU CREDBANK – TODA A PRODUÇÃO EM TODOS OS PRODUTOS, EXCETO REFIN DE PORT</t>
  </si>
  <si>
    <t>MEU CREDBANK – TODA A PRODUÇÃO EM TODOS OS PRODUTOS, REFIN DA PORT</t>
  </si>
  <si>
    <t>PAN -TABELAS NORMAIS FGTS -NÃO ENTRA FLEX</t>
  </si>
  <si>
    <t>MASTER-Iremos considerar todos os convênios (  (Novo / Cartão / Cartão Beneficio)- (Exceto INSS, FGTS, GOV. PE e GOV. ES, MASTER LUZ)</t>
  </si>
  <si>
    <t>CHAMADO / E-MAIL</t>
  </si>
  <si>
    <t>17253 </t>
  </si>
  <si>
    <t>14129 </t>
  </si>
  <si>
    <t>17714 </t>
  </si>
  <si>
    <t>(PRODUÇÃO GERAL BANCO MASTER)</t>
  </si>
  <si>
    <t>(PRODUÇÃO GERAL BANCO DÍGIO)</t>
  </si>
  <si>
    <t>07/08/2025 18:08:59</t>
  </si>
  <si>
    <t>REFIN DA PORT MEU CREDANK</t>
  </si>
  <si>
    <t>BONUS DO REFIN DA PORTABILIDADE MEU CRED BANK ( INSS )</t>
  </si>
  <si>
    <t>TODAS AS TABELAS COM SEGURO DE CONTRATO NOVO INSS MEU CRED BANK -</t>
  </si>
  <si>
    <t>BANCO PAN SAQUE COMPLEMENTAR TODOS OS CONVÊNIOS</t>
  </si>
  <si>
    <t xml:space="preserve"> 0,50% FGTS- Pan - informar que não temos acesso ao bonus desafio</t>
  </si>
  <si>
    <t xml:space="preserve">c6-PRODUÇÃO GERAL </t>
  </si>
  <si>
    <t>BANCO AKI CAPITAL CARTÕES TODOS OS CONVÊNIOS </t>
  </si>
  <si>
    <t>BANCO AKI CAPITAL EMPRESTIMO TODOS OS CONVÊNIOS </t>
  </si>
  <si>
    <t xml:space="preserve">QUERO MAIS- SIAPE </t>
  </si>
  <si>
    <t xml:space="preserve">c6PRODUÇÃO GERAL </t>
  </si>
  <si>
    <t xml:space="preserve">MEU CASH PRODUÇÃO GERAL </t>
  </si>
  <si>
    <t>PAN -INSS (NOVO E REFIN / FGTS TODAS AS TABELAS ( EXCEÇÃO TABELAS DE INVALIDEZ)</t>
  </si>
  <si>
    <t>TODAS AS TABELAS COM SEGURO DE CONTRATO NOVO INSS MEU CRED BANK </t>
  </si>
  <si>
    <t>MASTER - - EXCETO INSS E FGTS</t>
  </si>
  <si>
    <t>MEU CREDBANK- (TODA PRODUÇÃO FGTS)</t>
  </si>
  <si>
    <t>MEU CREDBANK -  (TODA PRODUÇÃO INSS 
EXCETO AS TABELAS FP - NORMAL - TX 1,85MEU CREDBANK –
 INSS - MEU CREDBANK - INSS - FP - SEGURO - TX 1,85)</t>
  </si>
  <si>
    <t xml:space="preserve">DATA-CHAM/E-MAIL </t>
  </si>
  <si>
    <t>REFIN DA PORT MEU CREDANK-INSS</t>
  </si>
  <si>
    <t>DAYCOVAL -TODAS AS TABELAS QUE CONTEMPLA</t>
  </si>
  <si>
    <t>PRESENÇA BANK-TODAS AS TABELAS DE NOVO E FGTS</t>
  </si>
  <si>
    <t>BANCO AMIGOZ/ PRODUTO TODOS E TABELAS TODAS</t>
  </si>
  <si>
    <t>PARAMETRIZAR CAMPANHA RETROATIVA - ID 17514 / 14722 - 21/07 A 31/08</t>
  </si>
  <si>
    <t>17514 </t>
  </si>
  <si>
    <t>14722 </t>
  </si>
  <si>
    <t>PARAMETRIZAR CAMPANHA - ID 8006 / 17937 / 8900</t>
  </si>
  <si>
    <t>CREDITO 8006</t>
  </si>
  <si>
    <t>8006 / 17937 / 8900</t>
  </si>
  <si>
    <t>TODAS AS TABELAS E PRODUTOS. DESCONSIDERAR PORT, VIP, E GRUPO 001 P/ CALCULO DO BÔNUS.</t>
  </si>
  <si>
    <t>PARAMETRIZAR CAMPANHAS - ID 9067</t>
  </si>
  <si>
    <t>PARAMETRIZAR CAMPANHA - ID 5614- BANCO DIGIO</t>
  </si>
  <si>
    <t>banco digio - todos produtos</t>
  </si>
  <si>
    <t>PARAMETRIZAR CAMPANHA - BANCO C6 - ID 7882</t>
  </si>
  <si>
    <t>BONIFICAÇÃO ESPECIFICA PARA O PRODUTO PORTABILIDADE / BANCO C6 / CONVENIO INSS </t>
  </si>
  <si>
    <t>PARAMETRIZAR CAMPANHA - ID 16754 - BANCO AMIGOZ / DIGIO - REF AGOSTO</t>
  </si>
  <si>
    <t>PARAMETRIZAR CAMPANHAS - BANCO MEU CASH - GC LUCYANA MEDEIROS</t>
  </si>
  <si>
    <t>12028 </t>
  </si>
  <si>
    <t>11670 </t>
  </si>
  <si>
    <t>17569 </t>
  </si>
  <si>
    <t>11867 </t>
  </si>
  <si>
    <t>11669 </t>
  </si>
  <si>
    <t>MEU CASH CARD - TODAS AS TABELAS DO CONVENIO PREF DE NATAL - TODOS OS PRAZOS .</t>
  </si>
  <si>
    <t>PARAMETRIZAR CAMPANHA - ID 16713 BANCO MASTER / AMIGOZ</t>
  </si>
  <si>
    <t>PARAMETRIZAÇÃO DE CAMPANHA - ID 14409 / 17288 - REF AGOSTO</t>
  </si>
  <si>
    <t>PARAMETRIZAR CAMPANHA - ID 8818 - REF AGOSTO</t>
  </si>
  <si>
    <t>PARAMETRIZAR CAMPANHA - 8851 - BANCO PAN / DAYCOVAL - GOV DE RONDONIA</t>
  </si>
  <si>
    <t>PARAMETRIZAR CAMPANHA - ID 17865 - CARTAO AMIGOZ</t>
  </si>
  <si>
    <t>PARAMETRIZAR CAMPANHA - ID 5736/17484 - REF AGOSTO</t>
  </si>
  <si>
    <t>PARAMETRIZAR CAMPANHA - ID 5614 - BANCO MERCANTIL</t>
  </si>
  <si>
    <t xml:space="preserve">MERCANTIL-FGTS </t>
  </si>
  <si>
    <t>PARAMETRIZAR CAMPANHA - ID 1212</t>
  </si>
  <si>
    <t>PARAMETRIZAR CAMPANHA - ID 12772 - BANCO AMIGOZ</t>
  </si>
  <si>
    <t>ENGLOBAR TODA A PRODUÇÃO PARA PAGAMENTO/ AMIGOZ/ IPER/ CARTÕES/ TODOS OS PRAZOS </t>
  </si>
  <si>
    <t>MERCANTIL-FGTS -</t>
  </si>
  <si>
    <t>PARAMETRIZAR CAMPANHA - ID 7166 - BANCO MASTER</t>
  </si>
  <si>
    <t>BANCO MASTER - TODOS OS CONVÊNIOS, TABELAS E PRAZOS </t>
  </si>
  <si>
    <t>PARAMETRIZAR CAMPANHA - BANCO PAN - ID 13782</t>
  </si>
  <si>
    <t>PARAMETRIZAR CAMPANHA - ID 15959 - BANCO PRESENÇA</t>
  </si>
  <si>
    <t>PAGAR BÔNUS SOBRE TODA PRODUÇÃO DO BANCO AMIGOZ</t>
  </si>
  <si>
    <t>PARAMETRIZAR CAMPANNHA - ID 14071 - BANCO DAYCOVAL</t>
  </si>
  <si>
    <t>EM TODAS AS TABELAS CONTEMPLADAS DE GOV SP e PMSP BANCO DAYCOVAL</t>
  </si>
  <si>
    <t>PARAMETRIZAR CAMPANHA - BANCO AMIGOZ - ID 8708</t>
  </si>
  <si>
    <t>PARAMETRIZAR CAMPANHA - ID 9212 - CASHCARD</t>
  </si>
  <si>
    <t>CASHCARD - PREFEITURA DE NATAL </t>
  </si>
  <si>
    <t>PARAMETRIZAR CAMPANHA - ID 7756- BANCO DAYCOVAL</t>
  </si>
  <si>
    <t xml:space="preserve">BANCO DAYCOVAL-EM CIMA DAS TABELAS QUE RECEBEMOS </t>
  </si>
  <si>
    <t>PARAMETRIZAR CAMPANHA - ID 14876 / 17303 - MEU CASH CARD - REF AGOSTO</t>
  </si>
  <si>
    <t xml:space="preserve">CONSIDERAR TODA A PRODUÇAO PARA APURAÇAO DA META E bonificacao </t>
  </si>
  <si>
    <t>CONSIDERA A PRODUÇÃO - GOV  E PREFEITURA DE SÃO PAULO  BANCO BMG</t>
  </si>
  <si>
    <t xml:space="preserve">TODA PRODUÇÃO BANCO DIGIO </t>
  </si>
  <si>
    <t>PARAMETRIZAR CAMPANHA RETROATIVA - ID 12776 / 12288 - 21/07 A 31/08</t>
  </si>
  <si>
    <t>BANCO CREFAZ TABELAS QUE RECEBEMOS 12%</t>
  </si>
  <si>
    <t>BANCO CREFRAZ TABELAS QUE RECEBEMOS 1%</t>
  </si>
  <si>
    <t>PARAMETRIZAÇÃO DE CAMPANHA - ID 12302 - PRODUÇÃO TOTAL</t>
  </si>
  <si>
    <t>PARMETRIZAR CAMPANHA - ID 13053 - BANCO MASTER</t>
  </si>
  <si>
    <t>PARAMETRIZAR CAMPANHA - ID 14938</t>
  </si>
  <si>
    <t>TODOS PRODUTOS E CONVÊNIOS BANCO MASTER - EXCETO INSS</t>
  </si>
  <si>
    <t>PARAMETRIZAR CAMPANHAS - ID 8819 / 6245 / 9286 / BANCO MASTER</t>
  </si>
  <si>
    <t>PARAMETRIZAÇÃO DE CAMPANHA - ID 13782 - BANCO DAYCOVAL</t>
  </si>
  <si>
    <t>PARAMETRIZAR CAMPANHA - ID 13782 - BANCO MASTER</t>
  </si>
  <si>
    <t>master-EM TODAS AS OPERAÇÕES EXCETO INSS E FGTS</t>
  </si>
  <si>
    <t>PARAMETRIZAR CAMPANHA - ID 12633 / 5804 / 15932 / 12633 - REF AGOSTO</t>
  </si>
  <si>
    <t>BANCO MEU CREDBANK –  INSS APENAS TABELAS COM SEGURO</t>
  </si>
  <si>
    <t>DIGIO  – PRODUÇAÕ TOTAL PORTABILIDADE E REFIN DA PORTABILIDADE</t>
  </si>
  <si>
    <t>PARAMETRIZAR CAMPANHA - ID 14876 - BMG / C6</t>
  </si>
  <si>
    <t>BANCO C6 - INSS ,TODAS AS TABELAS E PRAZOS</t>
  </si>
  <si>
    <t>BANCO BMG - INSS - TODAS AS TABELAS E PRAZOS</t>
  </si>
  <si>
    <t>PARAMETRIZAR CAMPANHAS - ID 11208 / 4735</t>
  </si>
  <si>
    <t>PARAMETRIZAÇÃO CAMPANHA - ID 13428 -</t>
  </si>
  <si>
    <t>PARAMETRIZAR CAMPANHA - ID 13336 - TODA A PRODUÇÃO</t>
  </si>
  <si>
    <t>9241 15703</t>
  </si>
  <si>
    <t>70% DO QUE FOR RECEBIDO PELO BANCO</t>
  </si>
  <si>
    <t>PRODUÇÃO GERAL BANCO DIGIO</t>
  </si>
  <si>
    <t>PARAMETRIZAR CAMPANHAS - ID 8687 /10461 / 12385 - REF AGOSTO</t>
  </si>
  <si>
    <t>PARAMETRIZAR CAMPANHA - ID 16303</t>
  </si>
  <si>
    <t>AMIGOZ - TODAS AS TABELAS E CONVÊNIOS</t>
  </si>
  <si>
    <t>PARAMETRIZAR CAMPANHA - ID 4097 - REF AGOSTO</t>
  </si>
  <si>
    <t>PARAMETRIZAR CAMPANHA - ID 6142 - BNACO MEU CASH CARD</t>
  </si>
  <si>
    <t>Re: PARAMETRIZAR CAMPANHA - FACTA - REF AGOSTO</t>
  </si>
  <si>
    <t>PARAMETRIZAR CAMPANHA - ID 17965 - BANCO MASTER</t>
  </si>
  <si>
    <t>BANCO MASTER GOV RIO (TODA A PRODUÇÃO DE EMPRESTIMO,CARTÃO RMC E CARTÃO RCC)</t>
  </si>
  <si>
    <t>PARAMETRIZAR CAMPANHA - MEU CASH CARD - ID 12524/6092/15767/11824</t>
  </si>
  <si>
    <t>15767 </t>
  </si>
  <si>
    <t>11824 </t>
  </si>
  <si>
    <t> CONSIDERAR PARA BONIFICAÇÃO PARA TODAS AS OPERAÇÕES DIGITADAS E PAGAS NO PERIODO , EM TODOS OS BANCCOS </t>
  </si>
  <si>
    <t>PARAMETRIZAR CAMPANHA - ID 11292 - BANCO LOTUS FGTS</t>
  </si>
  <si>
    <t>Bonus em cima de todos os contratos de FGTS produzidos na Lotus</t>
  </si>
  <si>
    <t>PARAMETRIZAR CAMPANHA - BANCO MERCANTIL - ID 13061</t>
  </si>
  <si>
    <t>PARAMETRIZAR CAMPANHA - ID 16457 - BANCO MERCANTIL</t>
  </si>
  <si>
    <t>PARAMETRIZAR CAMPANHA - ID 16886 / 16955 - BANCO MERCATIL / FACTA - FGTS</t>
  </si>
  <si>
    <t>FGTS MERCANTIL – TODAS</t>
  </si>
  <si>
    <t>Re: METAS E CAMPANHA - ID 15169 - BANCO SIMPLIX</t>
  </si>
  <si>
    <t>SIMPLIX - FGTS TODA A PRODUÇÃO</t>
  </si>
  <si>
    <t>PRESENÇA-TODA A PRODUÇÃO  INSS </t>
  </si>
  <si>
    <t xml:space="preserve">	PAN, NOVO, GOVERNO DO PR, PRAZO 96x</t>
  </si>
  <si>
    <t>produto M FACIL E CREDCESTA, no banco MASTER e convênio prefeitura de UBERABA, IPSERV E CODAU em todas as tabelas e prazos.</t>
  </si>
  <si>
    <t>C6--1,83% a 1,85% calcular a média, das taxas de refin de port</t>
  </si>
  <si>
    <t>C6-1,80% a 1,829% calcular a média, das taxas de refin de port</t>
  </si>
  <si>
    <t xml:space="preserve">C6-1,799% a 1,750% calcular a média, das taxas de refin de port </t>
  </si>
  <si>
    <t>PARAMETRIZAR CAMPANHA - ID 8856 - BANCO PRESENÇA SIAPE</t>
  </si>
  <si>
    <t>PARAMETRIZAR CAMPANHA - ID 14206 - REF AGOSTO</t>
  </si>
  <si>
    <t>TODOS OS BANCOS - TODOS OS PRODUTOS - INSS - 96X</t>
  </si>
  <si>
    <t>PARAMETRIZAR CAMPANHA - ID 6109 REF AGOSTO - CASH CARD</t>
  </si>
  <si>
    <t>PARAMETRIZAR CAMPANHA - ID 17303 - BANCO C6 - REF AGOSTO</t>
  </si>
  <si>
    <t>Banco C6 – NOVO – Prazo 96x e 84x – INSS  – Todas as Tabelas (Obs: Margem livre, LOAS, Normal e Representante Legal)</t>
  </si>
  <si>
    <t>Banco C6 – NOVO – Prazo 96x e 84x – INSS  –  só Representante Legal)</t>
  </si>
  <si>
    <t>PARAMETRIZAR CAMPANHA - ID 6832 - BANCO DIGIO - REF AGOSTO</t>
  </si>
  <si>
    <t>banco digio - todos produtos inss aptos para bonificacao</t>
  </si>
  <si>
    <t>PARAMETRIZAR CAMPANHA</t>
  </si>
  <si>
    <t>10442 </t>
  </si>
  <si>
    <t>10975 </t>
  </si>
  <si>
    <t>14399 </t>
  </si>
  <si>
    <t xml:space="preserve">75% DO VALOR QUE RECE PEFEITURA DE NATAL BEMOS DE BONUS NO MEU CASH CARD - APENAS NO CONVENIO </t>
  </si>
  <si>
    <t>PAGAREMOS SOBRE A PRODUÇÃO DO BANCO VCTEX</t>
  </si>
  <si>
    <t>PARAMETRIZAR CAMPANHA - ID 15001 - BANCO BANRISUL</t>
  </si>
  <si>
    <t>Re: PARAMETRIZAÇÃO CAMPANHA - ID 8856 - BANCO PRESENÇA BANK</t>
  </si>
  <si>
    <t>PARAMETRIZAR CAMPANHA - ID 13899 / 13864 - BANCO FACTA - REF AGOSTO</t>
  </si>
  <si>
    <t>PARAMETRIZAR CAMPANHA - BANCO C6</t>
  </si>
  <si>
    <t>TODA A PRODUÇÃO DO BANCO C6</t>
  </si>
  <si>
    <t>PRODUÇÃO GERAL BANCO C6</t>
  </si>
  <si>
    <t>OLE -0,50% DO ESTOQUE DE CARTÃO</t>
  </si>
  <si>
    <t>PAN -GOV DO PARANÁ (TODOS OS PRODUTOS/TABELAS E PRAZOS).</t>
  </si>
  <si>
    <t>MEU CASH CARD PREF DE NATAL (TODOS OS PRODUTOS/TABELAS E PRAZOS).</t>
  </si>
  <si>
    <t>PRODUÇÃO GERAL BANCO AMIGOZ</t>
  </si>
  <si>
    <t>PRODUÇÃO GERAL BANCO BMG</t>
  </si>
  <si>
    <t>daycoval 50% DO RECEBIDO PELO BANCO</t>
  </si>
  <si>
    <t>facta-INSS (NOVO) PRAZO MÁXIMO (TODAS AS TABELAS)</t>
  </si>
  <si>
    <t>DAYCOVAL 50% DO RECEBIDO PELO BANCO</t>
  </si>
  <si>
    <t>PRESENÇA -INSS (TODAS AS TABELAS E PRAZOS COM SEGURO).</t>
  </si>
  <si>
    <t>MEU CREDBANK -INSS - MEU CREDBANK - INSS - REFIN PORT - TX 1,85</t>
  </si>
  <si>
    <t>MEU CREDBANK -INSS - TODAS AS TABELAS COM SEGURO</t>
  </si>
  <si>
    <t>1751114)</t>
  </si>
  <si>
    <t> 1752731</t>
  </si>
  <si>
    <t>c6-Considerar todas as tabelas NORMAL, contrato NOVO</t>
  </si>
  <si>
    <t xml:space="preserve">AMIGOZ-TODAS ( EXCETO PREF RECIFE / TJ MG / JUIZ DE FORA) </t>
  </si>
  <si>
    <t>C6-PRODUTO NOVO (TODOS OS CONVÊNIOS)</t>
  </si>
  <si>
    <t>daycoval -0,70% EM CIMA DAS TABELAS QUE RECEBEMOS DO BANCO</t>
  </si>
  <si>
    <t>CONVÊNIOS PÚBLICOS (TODOS OS PRODUTOS E TABELAS) do Pan,</t>
  </si>
  <si>
    <t>PAN CONVÊNIOS PÚBLICOS (EXCETO SIAPE) TODOS OS PRODUTOS (EXCETO INSS E FGTS )</t>
  </si>
  <si>
    <t>PAN SAQUE COMPLEMENTAR - TODOS OS PRODUTOS DE CARTÃO</t>
  </si>
  <si>
    <t>PAN - TODOS OS PRODUTOS (EXCETO INSS NOVO)</t>
  </si>
  <si>
    <t xml:space="preserve">C6MARGEM LIVRE (NOVO) TODOS OS CONVÊNIOS E TABELAS </t>
  </si>
  <si>
    <t>PRODUÇÃO GERAL BANCO VCTEX</t>
  </si>
  <si>
    <t>PRODUÇÃO GERAL BANCO QUERO +</t>
  </si>
  <si>
    <t>BMG-INSS - NOVO - 96X</t>
  </si>
  <si>
    <t>R$ 200.000,00</t>
  </si>
  <si>
    <t>12176 </t>
  </si>
  <si>
    <t>todas as tabelas digitadas no banco dAYCOVAL no convenio governo de rondonia ,96 meses</t>
  </si>
  <si>
    <t> MEU CREDBANK - FGTS</t>
  </si>
  <si>
    <t>CONSIDERAR TODA A PRODUÇÃO DO PRESENÇA BANK CONFORME REGRA.</t>
  </si>
  <si>
    <t>PAN CASCATA - (novo, refin, FGTS, INSS) EXCETO INVALIDEZ</t>
  </si>
  <si>
    <t>14701 </t>
  </si>
  <si>
    <t>15282 </t>
  </si>
  <si>
    <t>PARAMETRIZAR CAMPANHAS - ID 15330 / 13977/ 326</t>
  </si>
  <si>
    <t>PARAMETRIZAR CAMPANHA - ID 14750 / 8437 / 9648 / 16153 / 7640 / 16502</t>
  </si>
  <si>
    <t>BANCO CAPITAL CONSIG(gov pi,gov ma,pref são luiz,pref picos-pi)</t>
  </si>
  <si>
    <t>CAMPANHAS PESSOA FISICA - REGIONAL GLAUCE MONTE _ AGOSTO_2025</t>
  </si>
  <si>
    <t xml:space="preserve">AMIGOZ / TODOS CONVÊNIOS E PRODUTOS </t>
  </si>
  <si>
    <t>BANCO CAPITAL CONSIG-  todas as tabelas, todos os prazos, todos os produtos</t>
  </si>
  <si>
    <t xml:space="preserve"> MEU CREDBANK - INSS - TODAS AS TABELAS COM SEGURO</t>
  </si>
  <si>
    <t>15710 </t>
  </si>
  <si>
    <t> MEU CREDBAK - INSS - TODAS AS TABELAS COM SEGURO</t>
  </si>
  <si>
    <t>PARAMETRIZAR CAMPANHA - BARBARA BOFF</t>
  </si>
  <si>
    <t>CREFAZ - CRÉDITO PESSOAL ENERGIA - TODOS - TODOS</t>
  </si>
  <si>
    <t>PAN - INSS - NOVO - TODOS</t>
  </si>
  <si>
    <t>PARAMETRIZAR CMPANHAS - CAMPANHA SERGIPE / 01/08/2025 A 31/08/2025</t>
  </si>
  <si>
    <t>TODOS OS BANCOS E PRODUTOS (exceção a portabilidade e CLT).</t>
  </si>
  <si>
    <t>PARAMETRIZAR CAMPANHA - GC SAMARA CAROLINA</t>
  </si>
  <si>
    <t>PARAMETRIZAR CAMPANHA EMMANOEL</t>
  </si>
  <si>
    <t>TODA A PRODUÇÃO DO CÓDIGO (EXCETO C6 NOVO)</t>
  </si>
  <si>
    <t xml:space="preserve">TODA PRODUÇÃO </t>
  </si>
  <si>
    <t>TODOS OS BANCOS -INSS (TODOS OS CONVÊNIOS/TABELAS DE PRAZO MÁXIMO ) 96 E 84 X</t>
  </si>
  <si>
    <t xml:space="preserve">
34% SOBRE O QUE RECEBEMOS, EXCETO TABELAS : 
DAYCOVAL - GOVERNO DE PERNAMBUCO - GOV PE 1 (991780)
DAYCOVAL - GOVERNO DE PERNAMBUCO - GOV PE 2 (991781)
DAYCOVAL - GOVERNO DE PERNAMBUCO - GOV PE 3 (991782</t>
  </si>
  <si>
    <t>BANCO MASTER - CARTÕES RMC E RCC - TODA A PRODUÇÃO EXCETO (INSS, GOV. PE, GOV. ES)</t>
  </si>
  <si>
    <t xml:space="preserve"> PAN-NOVO-REFIN gOVERNO DE PERNAMBUCO em todos os prazos.</t>
  </si>
  <si>
    <t xml:space="preserve">65% do que recebemos em bonus no Daycoval </t>
  </si>
  <si>
    <t xml:space="preserve">BANCO OLÉ INSS – CARTÕES RMC E RCC – </t>
  </si>
  <si>
    <t>Bonificar em cima das operações de contratos NOVO do BANCO C6 –</t>
  </si>
  <si>
    <t>22/08/2025 14:16:07</t>
  </si>
  <si>
    <t>todos produtos apto para bonificacao - banco digio</t>
  </si>
  <si>
    <t> PRODUÇÃO GERAL</t>
  </si>
  <si>
    <t>AMIGOZ 3,50% TODAS ( EXCETO PREF RECIFE / TJ MG / JUIZ DE FORA).</t>
  </si>
  <si>
    <t>MEU CREDBANK 1,50% TODA PRODUÇÃO FGTS</t>
  </si>
  <si>
    <t>QUERO + 0,20% SOMENTE SOBRE CONVENIO SIAPE</t>
  </si>
  <si>
    <t>TODA PRODUÇÃO C6</t>
  </si>
  <si>
    <t xml:space="preserve">RMC e RCC - BANCO CAPITAL CONSIG-PROCUCAO TOTAL </t>
  </si>
  <si>
    <t>BANCO CAPITAL CONSIG -  todas as tabelas, todos os prazos e todos os produtos</t>
  </si>
  <si>
    <t>BANCO PAN - TODAS AS TABELAS - TODOS OS PRODUTOS - CONVÊNIO GOVERNO DE PERNAMBUCO</t>
  </si>
  <si>
    <t>BANCO PAN - TODAS AS TABELAS - TODOS OS PRODUTOS - CONVÊNIO GOVERNO DA PARAÍBA</t>
  </si>
  <si>
    <t>ONUS SOBRE TODA A PRODUÇÃO9 EXCETO PORTABILIDADE)</t>
  </si>
  <si>
    <t xml:space="preserve">final de campanha </t>
  </si>
  <si>
    <t>BANCO BMG CARTÃO COM SAQUE </t>
  </si>
  <si>
    <t>BANCO BMG SAQUE COMPLEMENTAR</t>
  </si>
  <si>
    <t>Re: CAMPANHA FACTA - SUB KM 13617 VITA</t>
  </si>
  <si>
    <t>MEU CREDBANK TODA PRODUÇÃO INSS, EXCETO AS TABELAS: 
MEU CREDBANK - INSS - MEU CREDBANK - INSS - FP - NORMAL - TX 1,85
85MEU CREDBANK - INSS - MEU CREDBANK - INSS - FP - SEGURO - TX 1,85</t>
  </si>
  <si>
    <r>
      <t>RMC e RCC - BANCO CAPITAL CONSIG-  todas as tabelas e prazos desses produtos (</t>
    </r>
    <r>
      <rPr>
        <b/>
        <sz val="11"/>
        <color rgb="FF000000"/>
        <rFont val="Calibri"/>
        <family val="2"/>
        <scheme val="major"/>
      </rPr>
      <t>Repasse de 1,20% do bonus para o código 18016 e de 0,5% para o código 17303</t>
    </r>
    <r>
      <rPr>
        <sz val="11"/>
        <color rgb="FF000000"/>
        <rFont val="Calibri"/>
        <family val="2"/>
        <scheme val="major"/>
      </rPr>
      <t>)</t>
    </r>
  </si>
  <si>
    <t>3422 | 16482 | 7723 | 6894</t>
  </si>
  <si>
    <t>17199 | 14016</t>
  </si>
  <si>
    <t>4511 | 15867</t>
  </si>
  <si>
    <t>5311 | 13912 | 15025 | 8656</t>
  </si>
  <si>
    <t>5736 | 17484</t>
  </si>
  <si>
    <t>15818 | 16763</t>
  </si>
  <si>
    <t>9061 | 9564</t>
  </si>
  <si>
    <t>4310 | 13955</t>
  </si>
  <si>
    <t>12378 | 16872</t>
  </si>
  <si>
    <t>16101 | 12291</t>
  </si>
  <si>
    <t>2911 | 11402</t>
  </si>
  <si>
    <t>3184 | 12430</t>
  </si>
  <si>
    <t>17204 | 17960</t>
  </si>
  <si>
    <t>17859 | 17918</t>
  </si>
  <si>
    <t>1729 | 8125</t>
  </si>
  <si>
    <t>TODOS BANCOS - INSS / SIAPE - TODOS OS PRODUTOS - EXCETO REFIN - PRAZO DE 84x e 96x</t>
  </si>
  <si>
    <t>ESPELHAR A CAMPANHA CASCATA DO BANCO</t>
  </si>
  <si>
    <t>ESPELHAR A CAMPANHA FIDELIZA DO BANCO</t>
  </si>
  <si>
    <t>75% DO QUE FOR RECEBIDO PELO BANCO</t>
  </si>
  <si>
    <t>50% DO QUE FOR RECEBIDO PELO BANCO</t>
  </si>
  <si>
    <t>34% DO QUE FOR RECEBIDO PELO BANCO</t>
  </si>
  <si>
    <t>84% DO QUE FOR RECEBIDO PELO BANCO</t>
  </si>
  <si>
    <t>65% DO QUE FOR RECEBIDO PELO BANCO</t>
  </si>
  <si>
    <t>95% DO QUE FOR RECEBIDO PELO BANCO</t>
  </si>
  <si>
    <t>CREDITO PARA O 7460</t>
  </si>
  <si>
    <t>CREDITO PARA O 17859</t>
  </si>
  <si>
    <t>CREDITO PARA O 16763</t>
  </si>
  <si>
    <t>CREDITO PARA O 9321</t>
  </si>
  <si>
    <t>CREDITO PARA O 9061</t>
  </si>
  <si>
    <t>CREDITO PARA O 16872</t>
  </si>
  <si>
    <t>CREDITO PARA O 16101</t>
  </si>
  <si>
    <t>CREDITO PARA O 5736</t>
  </si>
  <si>
    <t>CREDITO PARA O 3422</t>
  </si>
  <si>
    <t>CREDITO PARA O 5407</t>
  </si>
  <si>
    <t>CREDITO PARA O 4511</t>
  </si>
  <si>
    <t xml:space="preserve">CREDITO PARA O 5311 </t>
  </si>
  <si>
    <t>CREDITO PARA O 11938</t>
  </si>
  <si>
    <t>CREDITO PARA O 9207</t>
  </si>
  <si>
    <t>CREDITO PARA O 17199</t>
  </si>
  <si>
    <t>CREDITO PARA O 15703</t>
  </si>
  <si>
    <t xml:space="preserve">CREDITO PARA O 14603 </t>
  </si>
  <si>
    <t>CREDITO PARA O 1729</t>
  </si>
  <si>
    <t>CREDITO PARA O 2911</t>
  </si>
  <si>
    <t>CREDITO PARA O 3184</t>
  </si>
  <si>
    <t>FACTA - REFIN DE PORT - CONFORME REGULAMENTO</t>
  </si>
  <si>
    <t>BANCO FACTA -TODA A PRODUÇÃO PARA ATINGIMENTO - PAGAMENTO PARA INSS / FGTS - CONFORME REGULAMENTO</t>
  </si>
  <si>
    <t>TODA A PRODUÇÃO PARA ATINGIMENTO - PAGAMENTO PARA FACTA - INSS - NOVO - CONFORME REGULAMENTO</t>
  </si>
  <si>
    <t>TODA A PRODUÇÃO PARA ATINGIMENTO - PAGAMENTO PARA FACTA E C6 - INSS - NOVO - 84 E 96 - CONFORME REGULAMENTO</t>
  </si>
  <si>
    <t>CP RESOLVE</t>
  </si>
  <si>
    <t>TODA A PRODUÇÃO PARA ATINGIMENTO - PAGAMENTO PARA TODA A PRODUÇÃO - EXCETO BMG - VIP</t>
  </si>
  <si>
    <t>master-PRODUÇÃO GERAL</t>
  </si>
  <si>
    <t> bônus sobre toda a PRODUÇÃO, desconsiderando as tabelas VIP</t>
  </si>
  <si>
    <t>toda PRODUÇÃO lotus</t>
  </si>
  <si>
    <t>TODA PRODUÇÃO DO MASTER -(QUE CONTABILIZE PARA BONIFICAO)</t>
  </si>
  <si>
    <t>MEU CREDBANK-TODA PRODUÇÃO DE FGTS</t>
  </si>
  <si>
    <t>C6-Bônus será pago sobre a PRODUÇÃO do de CLT</t>
  </si>
  <si>
    <t>CONSIDERAR TODA A PRODUÇÃO DE SIAPE DO PRESENÇA BANK.</t>
  </si>
  <si>
    <t>CONSIDERAR TODA A PRODUÇÃO NO BANRISUL</t>
  </si>
  <si>
    <t xml:space="preserve">BANCO CREFAZ -TODA PRODUÇÃO </t>
  </si>
  <si>
    <t>Presença 0,50% Bonus somente PRODUÇÃO inss</t>
  </si>
  <si>
    <t>TODA PRODUÇÃO BMG-C6</t>
  </si>
  <si>
    <t>TODA PRODUÇÃO crefaz</t>
  </si>
  <si>
    <t>TODA PRODUÇÃO DE FGTS-MEU CREDBANK</t>
  </si>
  <si>
    <t>Bonus somente PRODUÇÃO CLT bncom Presença bank</t>
  </si>
  <si>
    <t>CONSIDERAR TODA A PRODUÇÃO NO BANRISUL </t>
  </si>
  <si>
    <t>MERCANTIL -*Bônus pago referente a venda de CARTÃO RMC E RCC</t>
  </si>
  <si>
    <t>BANCO OLE INSS-CARTÕES TABELAS QUE RECEBMOS 6¨%</t>
  </si>
  <si>
    <t>MEU CREDBANK-TODA PRODUÇÃO INSS INCLUINDO CARTÕES, EXCETO AS TABELAS - MEU CREDBANK - INSS - MEU CREDBANK - INSS - FP - NORMAL - TX 1,85\MEU CREDBANK - INSS - MEU CREDBANK - INSS - FP - SEGURO - TX 1,85</t>
  </si>
  <si>
    <t>ODOS OS CARTÕES CONSIGNADO E BENEFÍCIO DO INSS AMIGOZ -</t>
  </si>
  <si>
    <t>TODOS OS CARTÕES CONSIGNADO E BENEFÍCIO DO INSS AMIGOZ</t>
  </si>
  <si>
    <t>cash card - prefeitura de natal - CARTÃO BENEFÍCIO - todas as tabelas e prazos</t>
  </si>
  <si>
    <t>BMG / CARTÃO E CARTÃO BENEFÍCIO / INSS E SIAPE</t>
  </si>
  <si>
    <t>BMG - INSS - CARTÃO e CARTÃO BENEFÍCIO - Todas as tabelas de CARTÃO com Saque</t>
  </si>
  <si>
    <t> BMG - INSS - CARTÃO e CARTÃO BENEFÍCIO - Todas as tabelas de CARTÃO - Saque Complementar</t>
  </si>
  <si>
    <t>PRODUÇÃO GERAL DE CARTÃO CONSIGNADO E CARTÃO BENEFÍCIO (TODOS OS CONVÊNIOS)</t>
  </si>
  <si>
    <t>Bonus em cima de todos os contratos novos digitados no banco Daycoval ( Todos os CONVÊNIOS )</t>
  </si>
  <si>
    <t>Bonus pago em cima da PRODUÇÃO do AMIGOZ todo os CONVÊNIOS( exceto os CONVÊNIOS: Prefeitura de Juiz de Fora, TJMG e Prefeitura de Recife.)</t>
  </si>
  <si>
    <t>Bonus pago em cima da PRODUÇÃO do Digio todos os CONVÊNIOS (Contratos novos)</t>
  </si>
  <si>
    <t>CONSIDERAR TODA A PRODUÇÃO PARA APURAÇAO, TODOS CONVÊNIOS</t>
  </si>
  <si>
    <t>TODOS OS CONVÊNIOS E PRODUTOS NOVOS  DE TODOSOS BANCOS </t>
  </si>
  <si>
    <t>MASTER-Todos CONVÊNIOS (Novo / CARTÃO / CARTÃO BENEFÍCIO)</t>
  </si>
  <si>
    <t>PRESENÇA-EM TODOS OS CONVÊNIOS, TABELAS, PRAZOS BANCO PRESENÇA</t>
  </si>
  <si>
    <t>CONSIDERAR TODA A PRODUÇÃO PARA APURAÇAO, POREM PAGAREMOS SOMENTE SOBRE MARGEM LIVRE TODOS CONVÊNIOS  , exceto ITAU</t>
  </si>
  <si>
    <t>MASTER-TODOS OS CONVÊNIOS E PRODUTOS MFACIL CREDCESTA REFIN CREDCESTA - EMPRESTIMO GOVERNOS E PREFEITURAS.</t>
  </si>
  <si>
    <t>daycoval -EM TODOS OS CONVÊNIOS E TABELAS COMTEMPLADAS EXCETO INSS E FGTS.</t>
  </si>
  <si>
    <t>PRODUÇÃO GERAL BANCO AMIGOZ ECXETO CONVÊNIOS : PREF. JUIZ DE FORA / PREF. RECIFE / TJMG.</t>
  </si>
  <si>
    <t>pan - campanha fideliza : FGTS, INSS e CLT
- TODOS OS PRODUTOS 
-Considerando apenas nas de INSS - Novo - Normal - 84 e 96x
-Exceto CONVÊNIOS de Prefeituras, Governos, Forças armadas e Siape</t>
  </si>
  <si>
    <t>QUERO MAIS CONSIDERAR SOMENTE OPERAÇÕES CARTÃO BENEFÍCIO - CONVÊNIOS: INSS E SIAPE.</t>
  </si>
  <si>
    <t xml:space="preserve">BANCO AKI CAPITAL - TODAS AS TABELAS DOS PRODUTOS RMC e RCC ( CARTÃO E CARTÃO BENEFÍCIO) , todos os CONVÊNIOS,tabelas e prazos . </t>
  </si>
  <si>
    <t xml:space="preserve">BANCO AKI CAPITAL - TODAS AS TABELAS DOS PRODUTOS DE EMPRESTIMO , todos os CONVÊNIOS,tabelas e prazos . </t>
  </si>
  <si>
    <t>BANCO DAYCOVAL - TABELAS ONDE RECEBEMOS BONUS - TODOS OS CONVÊNIOS</t>
  </si>
  <si>
    <t>PRODUÇÃO GERAL QUERO + CRÉDITO</t>
  </si>
  <si>
    <t>TODA A PRODUÇÃO PARA ATINGIR A META E CONTABILIZAR-META DESCONSIDERAR BMG E C6 ( INSS /NOVO )</t>
  </si>
  <si>
    <t>PAN-EM TODOS OS CONVÊNIOS E TABELAS EXCETO INSS, SIAPE FGTS.</t>
  </si>
  <si>
    <t>BANCO MERCANTIL - TODAS AS TABELAS, COM EXCEÇÃO DO CP RESOLVE -INSS CRÉDITO PESSOAL</t>
  </si>
  <si>
    <t>toda PRODUÇÃO para atingimento da meta , bonificação NOVO /FGTS BANCO MERCANTIL</t>
  </si>
  <si>
    <t>PAN -TODA PRODUÇÃO DE NOVO E REFIN , EXCETO SIAPE, INSS, GOV DO PARANA, E FGTS</t>
  </si>
  <si>
    <t xml:space="preserve">MEU CREDBANK FGTS - TODA AS TABELAS </t>
  </si>
  <si>
    <t>PAN BÔNUS CARTÃO COM SAQUE</t>
  </si>
  <si>
    <t>C6 - TODOS OS PRODUTOS E PRAZOS</t>
  </si>
  <si>
    <t>C6 - PORTABILIDADE (TODOS OS CONVÊNIOS)</t>
  </si>
  <si>
    <t>BANCO DAYCOVAL TABELAS COMISSIONADAS</t>
  </si>
  <si>
    <t>Presença Bank – INSS - tabelas com seguro-todos os prazos</t>
  </si>
  <si>
    <t>Presença Bank – INSS - Todos os Produtos – Todos os Prazos – Todas as Tabelas com seguro</t>
  </si>
  <si>
    <t xml:space="preserve">TABELAS : 
MEU CREDBANK - INSS - FP - SEGURO PLUS - TAXA 1,80 - TODOS OS PRAZOS
 MEU CREDBANK - INSS - FP - SEGURO - TX 1,80 - TODOS OS PRAZOS </t>
  </si>
  <si>
    <t xml:space="preserve">TODA PRODUÇÃO ATINGIR A META -BONIFICACAO-C6 - INSS - MARGEM LIVRE - PRAZO MAXIMO - TODAS AS TABELAS - </t>
  </si>
  <si>
    <t xml:space="preserve">TODA PRODUÇÃO ATINGIR A META -BONIFICACAO PAN - INSS - MARGEM LIVRE - PRAZO MAXIMO - TODAS AS TABELAS </t>
  </si>
  <si>
    <t xml:space="preserve">BANCO MASTER – CARTÕES EM TODOS OS CONVÊNIOS VIGENTES NA CAMPANHA. </t>
  </si>
  <si>
    <t>MEU CREDBANCK -INSS-TODA PRODUÇÃO CARTÕES 
 EXCETO:
 MEU CREDBANK - INSS - MEU CREDBANK - INSS - FP - NORMAL - TX 1,85
\MEU CREDBANK - INSS - MEU CREDBANK - INSS - FP - SEGURO - TX 1,85</t>
  </si>
  <si>
    <t>BANCO MERCANTIL - TODA A PRODUÇÃO DE CARTÕES</t>
  </si>
  <si>
    <t>BANCO QUERO MAIS - SIAPE - TODA A PRODUÇÃO</t>
  </si>
  <si>
    <t>TODA A PRODUÇÃO DOS CARTÕES RMC E RCC SIAPE - QUERO MAIS CRÉDITO</t>
  </si>
  <si>
    <t xml:space="preserve">TODA A PRODUÇÃO QUERO MAIS </t>
  </si>
  <si>
    <t> TODA A PRODUÇÃO DIGIO</t>
  </si>
  <si>
    <t>TODA A PRODUÇÃO DIGIO</t>
  </si>
  <si>
    <t>C6 – TODA A PRODUÇÃO CONFORME REGRA DE FECHAMENTO DO BANCO.</t>
  </si>
  <si>
    <t>TODA A PRODUÇÃO DE  CARTÃO RMC E RCC AMIGOZ </t>
  </si>
  <si>
    <t>TODA A PRODUÇÃO PARA ATINGIR A META E BONIFICACAO – META EXCETO 
PORTABILIDADE VIP, E GRUPO 001</t>
  </si>
  <si>
    <t>BANCO DIGIO ( TODA A PRODUÇÃO)</t>
  </si>
  <si>
    <t xml:space="preserve">amigoz- clt TODA A PRODUÇÃO </t>
  </si>
  <si>
    <t>CREFAZ – TODA A PRODUÇÃO</t>
  </si>
  <si>
    <t xml:space="preserve">TODA A PRODUÇÃO ATINGIR A META-BONIFICACAO NOVO/INSS/84X -EXCETO BANCO ITAU </t>
  </si>
  <si>
    <t>TODA A PRODUÇÃO PARA ATINGIR AMETA- BONIFICACAO TODA A PRODUÇÃO EXCETO ITAU</t>
  </si>
  <si>
    <t xml:space="preserve">MASTER-CARTÃO RMC E CARTÃO BENEFÍCIO TODA A PRODUÇÃO </t>
  </si>
  <si>
    <t>MASTER TODA A PRODUÇÃO-EXCETO FGTS E INSS</t>
  </si>
  <si>
    <t> BANCO C6- Iremos considerar a parodução total para atingimento da meta e bonificação sera paga paga sobre a TODA A PRODUÇÃO INSS e FGTS</t>
  </si>
  <si>
    <t>BANCO BMG - Iremos considerar a parodução total para atingimento da meta e bonificação sera paga paga sobre a TODA A PRODUÇÃO INSS e FGTS</t>
  </si>
  <si>
    <t> QUERO + CRÉDITO - Iremos considerar a parodução total para atingimento da meta e bonificação sera paga paga sobre a TODA A PRODUÇÃO INSS e FGTS</t>
  </si>
  <si>
    <t>BANCO AMIGOZ TODA A PRODUÇÃO</t>
  </si>
  <si>
    <t>AMIGOZ TODA A PRODUÇÃO (Repasse de 2% do bonus para o código 18016 e de 1% para o código 17303)</t>
  </si>
  <si>
    <t xml:space="preserve">TODA A PRODUÇÃO ATINGIR A META - BONIFICACO - DAYCOVAL - GOV DE PE - MARGEM LIVRE - PRAZO MAXIMO - TODAS AS TABELAS </t>
  </si>
  <si>
    <t xml:space="preserve">C6 – TODA A PRODUÇÃO </t>
  </si>
  <si>
    <t>C6 – TODA A PRODUÇÃO</t>
  </si>
  <si>
    <t xml:space="preserve"> Daycoval TODA A PRODUÇÃO </t>
  </si>
  <si>
    <t>BANCO BMG TODA A PRODUÇÃO COM EXCEÇÃO DO NOVO INSS NORMAL E INCLUIR O LOAS</t>
  </si>
  <si>
    <t xml:space="preserve">BANCO MASTER TODA A PRODUÇÃO </t>
  </si>
  <si>
    <t>TODA A PRODUÇÃO 
Obs: para bonificação nao serão considerados tabelas que possuem regras VIP aprovadas.</t>
  </si>
  <si>
    <t>TODA A PRODUÇÃO BANCO AMIGOZ- (Repasse do bonus para o código 17303 Fabrício Fernandes)</t>
  </si>
  <si>
    <t>TODA A PRODUÇÃO RMC e RCC - BANCO CAPITAL CONSIG-  (Repasse do bonus para o código 17303 Fabrício Fernandes)</t>
  </si>
  <si>
    <t>TODA A PRODUÇÃO C6 PORTABILIDADE / REFIN DE PORTABILIDADE</t>
  </si>
  <si>
    <t>C6- TODA A PRODUÇÃO - PRODUTO PORTABILIDADE</t>
  </si>
  <si>
    <t> MEU CREDBANK – TODA A PRODUÇÃO EM TODOS OS PRODUTOS,EXCETO REFIN DA PORT</t>
  </si>
  <si>
    <t> MEU CREDBANK – TODA A PRODUÇÃO  REFIN DA PORT</t>
  </si>
  <si>
    <t>TODA A PRODUÇÃO - EXCETO PORT E CLT</t>
  </si>
  <si>
    <t>BANCO DAYCOVAL - TABELAS QUE RECEBEMOS BÔNUS</t>
  </si>
  <si>
    <t>CONSIDERAR TODA A PRODUÇÃO PARA ATINGIMENTO - PAGAR SOMENTE SOBRE MARGEM LIVRE - EXCETO ITAU</t>
  </si>
  <si>
    <t>BANCO MASTER - TODA A PRODUÇÃO -  MFACIL/ CREDCESTA - EXCETO PREF. SALVADOR E GOV. BA</t>
  </si>
  <si>
    <t>Re: PARAMETRIZAR CAMPANHA - ID 12932 / 7150 / 8571 / 10815 - REF AGOSTO</t>
  </si>
  <si>
    <t>TODOS BANCOS- FACTA (SOMENTE INSS) -TODOS OS PRODUTOS CITADOS: 
/ INSS-SIAPE/novo / port/refin de port /cartao rmc /cartao benefcio / 84X</t>
  </si>
  <si>
    <t>02/09/2025 10:32:47</t>
  </si>
  <si>
    <t>02/09/2025 10:28:44</t>
  </si>
  <si>
    <t>02/09/2025 10:28:22</t>
  </si>
  <si>
    <t>02/09/2025 10:22:53</t>
  </si>
  <si>
    <t>02/09/2025 10:17:12</t>
  </si>
  <si>
    <t>02/09/2025 10:02:09</t>
  </si>
  <si>
    <t>02/09/2025 10:00:38</t>
  </si>
  <si>
    <t>02/09/2025 09:53:11</t>
  </si>
  <si>
    <t>01/09/2025 17:20:42</t>
  </si>
  <si>
    <t>01/09/2025 17:17:00</t>
  </si>
  <si>
    <t>01/09/2025 17:17:56</t>
  </si>
  <si>
    <t>01/09/2025 17:15:16</t>
  </si>
  <si>
    <t>01/09/2025 17:13:17</t>
  </si>
  <si>
    <t>01/09/2025 17:10:48</t>
  </si>
  <si>
    <t>01/09/2025 17:08:59</t>
  </si>
  <si>
    <t>01/09/2025 17:04:04</t>
  </si>
  <si>
    <t>01/09/2025 14:40:48</t>
  </si>
  <si>
    <t>01/09/2025 14:22:56</t>
  </si>
  <si>
    <t>01/09/2025 10:55:25</t>
  </si>
  <si>
    <t>01/09/2025 10:37:18</t>
  </si>
  <si>
    <t>TODA PRODU??O BANCO C6</t>
  </si>
  <si>
    <t>50% DO QUE FOR REPASSADO PELO BANCO.</t>
  </si>
  <si>
    <t>QUERO MAIS CRÉDITO (SUBSTABELECIDO)</t>
  </si>
  <si>
    <t>FACTA – PRODUÇÃO TOTAL CONFORME REGRA DE FECHAMENTO DO BANCO.</t>
  </si>
  <si>
    <t xml:space="preserve">BMG – OPERAÇÕES DE CARTÕES RMC E RCC – TODAS AS TABELAS DE SAQUE COMPLEMENTAR. </t>
  </si>
  <si>
    <t xml:space="preserve">BANCO MASTER – TODOS OS PRODUTOS E CONVENIOS. </t>
  </si>
  <si>
    <t xml:space="preserve">BANCO DAYCOVAL – Englobar todos os prazos, produtos e convenios que possuam campanha ativa. </t>
  </si>
  <si>
    <t>FACTA –  PRODUÇÃO TOTAL CONFORME REGRA DE FECHAMENTO DO BANCO</t>
  </si>
  <si>
    <t>PRODUCAO TOTAL BANCO MASTER</t>
  </si>
  <si>
    <t>credito 16763</t>
  </si>
  <si>
    <t>CAPITAL CONSIG - TODA PRODUÇÃO DE CARTAO E VARTAO BENEFICIO PARA TODOS OS CONVENIOS</t>
  </si>
  <si>
    <t>BMG - TODA PRODUÇÃO DE CARTAO E CARTAO BENEFICIO -TODOS OS CONVENIOS</t>
  </si>
  <si>
    <t>BANCO: CASH CARD - TODA PRODUÇÃO, PREFEITURA DE NATAL -</t>
  </si>
  <si>
    <t xml:space="preserve">c6- producao total </t>
  </si>
  <si>
    <t xml:space="preserve">CREFAZ -PRODUCAO TOTAL </t>
  </si>
  <si>
    <t xml:space="preserve"> BANCO OLÉ INSS ? CARTÕES RMC E RCC ? PRODUCAO  TOTAL </t>
  </si>
  <si>
    <t>BANCO SAFRA - TODA OPERAÇÃO NOVA</t>
  </si>
  <si>
    <t> BANCO MEU CREDBANK TODA PRODUÇÃO </t>
  </si>
  <si>
    <t> BANCO MASTER TODA A PRODUÇÃO DE CARTÕES RMC E RCC</t>
  </si>
  <si>
    <t>BANCO MASTER BANCO MASTER TODA A PRODUÇÇÃO DE EMPRESTIMO </t>
  </si>
  <si>
    <t>PRESENÇA BANK - INSS - NOVO</t>
  </si>
  <si>
    <t>FACTA - INSS - NOVO </t>
  </si>
  <si>
    <t>PAN - GOVERNO DE PERNAMBUCO NOVO E REFIN</t>
  </si>
  <si>
    <t xml:space="preserve">CREFAZ TODA PRODUCAO </t>
  </si>
  <si>
    <t>TODA PRODUCAO PAN</t>
  </si>
  <si>
    <t>MERCANTIL-Iremos considerar toda a produção de cartões RCC e RMC.</t>
  </si>
  <si>
    <t>CASHCARD -Governo de Alagoas, Prefeitura de Natal ? Em cima de todas as tabelas e produtos</t>
  </si>
  <si>
    <t xml:space="preserve">C6 – PRODUÇÃO TOTAL </t>
  </si>
  <si>
    <t> DE CARTÃO E SAQUE COMPLEMENTAR DOS BANCOS OLÉ, PAN E BMG.</t>
  </si>
  <si>
    <t>03/09/2025 14:25:25</t>
  </si>
  <si>
    <t>03/09/2025 14:21:39</t>
  </si>
  <si>
    <t>03/09/2025 10:50:36</t>
  </si>
  <si>
    <t>03/09/2025 10:43:05</t>
  </si>
  <si>
    <t>03/09/2025 10:40:22</t>
  </si>
  <si>
    <t>03/09/2025 10:37:43</t>
  </si>
  <si>
    <t>03/09/2025 09:51:09</t>
  </si>
  <si>
    <t>03/09/2025 09:35:30</t>
  </si>
  <si>
    <t>03/09/2025 09:33:29</t>
  </si>
  <si>
    <t>03/09/2025 09:31:53</t>
  </si>
  <si>
    <t>02/09/2025 14:22:39</t>
  </si>
  <si>
    <t>02/09/2025 12:50:22</t>
  </si>
  <si>
    <t>02/09/2025 11:10:09</t>
  </si>
  <si>
    <t>02/09/2025 10:58:40</t>
  </si>
  <si>
    <t>02/09/2025 10:58:16</t>
  </si>
  <si>
    <t>02/09/2025 10:54:34</t>
  </si>
  <si>
    <t>02/09/2025 10:50:14</t>
  </si>
  <si>
    <t>02/09/2025 10:46:45</t>
  </si>
  <si>
    <t>02/09/2025 10:43:07</t>
  </si>
  <si>
    <t>02/09/2025 10:36:55</t>
  </si>
  <si>
    <t>4629</t>
  </si>
  <si>
    <t>11652</t>
  </si>
  <si>
    <t>17102</t>
  </si>
  <si>
    <t>8476</t>
  </si>
  <si>
    <t>14363</t>
  </si>
  <si>
    <t>15802</t>
  </si>
  <si>
    <t>16238</t>
  </si>
  <si>
    <t>6905</t>
  </si>
  <si>
    <t>16131</t>
  </si>
  <si>
    <t>17865</t>
  </si>
  <si>
    <t>15874</t>
  </si>
  <si>
    <t>17859 e 17918</t>
  </si>
  <si>
    <t>16898</t>
  </si>
  <si>
    <t>14452</t>
  </si>
  <si>
    <t>13782</t>
  </si>
  <si>
    <t>15966</t>
  </si>
  <si>
    <t>1.000,00</t>
  </si>
  <si>
    <t>20.000,00</t>
  </si>
  <si>
    <t>R$ 250.000,00</t>
  </si>
  <si>
    <t>500.000,00</t>
  </si>
  <si>
    <t>1K</t>
  </si>
  <si>
    <t>1 MIL</t>
  </si>
  <si>
    <t>50.000,00</t>
  </si>
  <si>
    <t>10 MIL</t>
  </si>
  <si>
    <t>0,25%</t>
  </si>
  <si>
    <t>1,50</t>
  </si>
  <si>
    <t>1,50%</t>
  </si>
  <si>
    <t>1%</t>
  </si>
  <si>
    <t>0,50</t>
  </si>
  <si>
    <t>0,60%</t>
  </si>
  <si>
    <t>0,50%</t>
  </si>
  <si>
    <t>4,00 %</t>
  </si>
  <si>
    <t>BONUS DO REFIN DA PORTABILIDADE MEU CRED BANK</t>
  </si>
  <si>
    <t>TODOS OS CARTÕES CONSIGNADO E BENEFICIO DO INSS AMIGOZ </t>
  </si>
  <si>
    <t>CARTÃO BENEFICIO E CONSIGNADO COM E SEM SEGURO - BMG</t>
  </si>
  <si>
    <t> TODAS AS TABELAS COM SEGURO DE CONTRATO NOVO INSS MEU CRED BANK </t>
  </si>
  <si>
    <t xml:space="preserve">CART?O CONSIGNADO E CART?O BENEFICIO-QUERO MAIS </t>
  </si>
  <si>
    <t>4175/6961</t>
  </si>
  <si>
    <t xml:space="preserve">AMIGOZ-TODA PRODUCAO </t>
  </si>
  <si>
    <t>MASTER-TODOS  - EXCETO FGTS E INSS</t>
  </si>
  <si>
    <t>credito 9207</t>
  </si>
  <si>
    <t>MEU CREDBANK - FGTS</t>
  </si>
  <si>
    <t>9207.</t>
  </si>
  <si>
    <t xml:space="preserve"> BANCO DAYCOVAL, CONVENIO PREF UBERABA, TODAS AS TABELAS E PRAZOS</t>
  </si>
  <si>
    <t>MEU CASH -conv?nio Prefeitura de Natal</t>
  </si>
  <si>
    <t>toda produ??o de cartao e cartao beneficio do banco amigoz</t>
  </si>
  <si>
    <t>QUERO MAIS/ TODAS AS TABELAS E TODOS OS CONV?NIOS</t>
  </si>
  <si>
    <t>EM TODOS OS PRODUTOS E TABELAS BANCO DAYCOVAL QUE COMTEMPLAM A CAMPANHA DE BONUS</t>
  </si>
  <si>
    <t>EM TODOS OS PRODUTOS E TABELAS BANCO AMIGOZ</t>
  </si>
  <si>
    <t>EM TODOS OS PRODUTOS E TABELAS BANCO MASTER</t>
  </si>
  <si>
    <t>8535</t>
  </si>
  <si>
    <t>8536</t>
  </si>
  <si>
    <t>Iremos considerar toda a prosução Governo de Alagoas-CASHCARD</t>
  </si>
  <si>
    <t>05/09/2025 11:07:37</t>
  </si>
  <si>
    <t>05/09/2025 11:03:20</t>
  </si>
  <si>
    <t>05/09/2025 10:58:52</t>
  </si>
  <si>
    <t>05/09/2025 10:46:50</t>
  </si>
  <si>
    <t>05/09/2025 10:34:53</t>
  </si>
  <si>
    <t>04/09/2025 17:17:54</t>
  </si>
  <si>
    <t>04/09/2025 15:39:42</t>
  </si>
  <si>
    <t>04/09/2025 14:25:57</t>
  </si>
  <si>
    <t>04/09/2025 14:10:30</t>
  </si>
  <si>
    <t>04/09/2025 14:05:00</t>
  </si>
  <si>
    <t>04/09/2025 14:00:35</t>
  </si>
  <si>
    <t>04/09/2025 13:58:51</t>
  </si>
  <si>
    <t>04/09/2025 13:55:58</t>
  </si>
  <si>
    <t>04/09/2025 13:53:56</t>
  </si>
  <si>
    <t>04/09/2025 13:51:56</t>
  </si>
  <si>
    <t>04/09/2025 13:41:59</t>
  </si>
  <si>
    <t>03/09/2025 17:51:47</t>
  </si>
  <si>
    <t>03/09/2025 17:50:31</t>
  </si>
  <si>
    <t>03/09/2025 17:48:36</t>
  </si>
  <si>
    <t>03/09/2025 17:42:37</t>
  </si>
  <si>
    <t>16382</t>
  </si>
  <si>
    <t>15087</t>
  </si>
  <si>
    <t>17142</t>
  </si>
  <si>
    <t>6832</t>
  </si>
  <si>
    <t>11937 / 12021</t>
  </si>
  <si>
    <t>7769</t>
  </si>
  <si>
    <t>17574</t>
  </si>
  <si>
    <t>16239</t>
  </si>
  <si>
    <t>17555</t>
  </si>
  <si>
    <t>15169</t>
  </si>
  <si>
    <t>7640</t>
  </si>
  <si>
    <t>9648</t>
  </si>
  <si>
    <t>8437</t>
  </si>
  <si>
    <t>14750</t>
  </si>
  <si>
    <t>16713</t>
  </si>
  <si>
    <t>18221</t>
  </si>
  <si>
    <t>5804</t>
  </si>
  <si>
    <t>15932</t>
  </si>
  <si>
    <t>12633</t>
  </si>
  <si>
    <t>1,00%</t>
  </si>
  <si>
    <t>R$ 1.000,00</t>
  </si>
  <si>
    <t>Conforme regra Facta para bonifica??o</t>
  </si>
  <si>
    <t>PRODU??O FACTA CONFORME REGRA</t>
  </si>
  <si>
    <t>TODA A PRODU??O Cart?o Bmg inss e cart?o benef?cio .</t>
  </si>
  <si>
    <t>PRODU??O TOTAL SIMPLIX - FGTS</t>
  </si>
  <si>
    <t>BANCO CAPITAL CONSIG(gov pi,gov ma,pref s?o luiz,pref picos-pi)</t>
  </si>
  <si>
    <t>TODA A PRODU??O AMIGOZ</t>
  </si>
  <si>
    <t>TODA A PRODU??OBANCO AMIGOZ</t>
  </si>
  <si>
    <t>BMG PRODUCAO TOTAL</t>
  </si>
  <si>
    <t>BANCO MEU CREDBANK ? INSS APENAS TABELAS COM SEGURO</t>
  </si>
  <si>
    <t>TODA A PRODUÇÃO BANCO AMIGOZ</t>
  </si>
  <si>
    <t>TODA PRODUCAO BMG</t>
  </si>
  <si>
    <t>TODA PRODUCAO AMIGOZ</t>
  </si>
  <si>
    <t>TODA PRODUCAO MASTER</t>
  </si>
  <si>
    <t>PRESENÇA BANK- PRODUÇÃO TOTAL NAS TABELAS QUE RECEBEMOS BONIFICACOES -</t>
  </si>
  <si>
    <t>AMIGOZ ? PRODUÇÃO TOTAL</t>
  </si>
  <si>
    <t>MEU CREDBANK ? PRODUCAO TOTAL EM TODOS OS PRODUTOS ( exceto refin da port</t>
  </si>
  <si>
    <t> MEU CREDBANK - PRODUÇÃO TOTAL REFIN DA PORT </t>
  </si>
  <si>
    <t>CREFAZ ? PRODUÇÃO TOTA</t>
  </si>
  <si>
    <t>75% DO QUE RECEB</t>
  </si>
  <si>
    <t>FACTA ? PRODUÇAÕ TOTAL REFIN DA PORTABILIDADE</t>
  </si>
  <si>
    <t>DIGIO ? PRODUÇAÕ TOTAL PORTABILIDADE E REFIN DA PORTABILIDADE</t>
  </si>
  <si>
    <t>08/09/2025 13:07:13</t>
  </si>
  <si>
    <t>08/09/2025 13:33:13</t>
  </si>
  <si>
    <t>08/09/2025 13:25:40</t>
  </si>
  <si>
    <t>08/09/2025 13:22:53</t>
  </si>
  <si>
    <t>08/09/2025 13:20:19</t>
  </si>
  <si>
    <t>08/09/2025 12:48:50</t>
  </si>
  <si>
    <t>08/09/2025 11:12:29</t>
  </si>
  <si>
    <t>08/09/2025 11:09:27</t>
  </si>
  <si>
    <t>08/09/2025 11:05:23</t>
  </si>
  <si>
    <t>08/09/2025 09:37:57</t>
  </si>
  <si>
    <t>08/09/2025 09:25:55</t>
  </si>
  <si>
    <t>05/09/2025 17:01:17</t>
  </si>
  <si>
    <t>05/09/2025 16:59:34</t>
  </si>
  <si>
    <t>05/09/2025 16:55:31</t>
  </si>
  <si>
    <t>05/09/2025 16:49:54</t>
  </si>
  <si>
    <t>05/09/2025 16:44:13</t>
  </si>
  <si>
    <t>05/09/2025 16:40:32</t>
  </si>
  <si>
    <t>05/09/2025 16:20:59</t>
  </si>
  <si>
    <t>05/09/2025 16:03:52</t>
  </si>
  <si>
    <t>05/09/2025 15:14:40</t>
  </si>
  <si>
    <t>05/09/2025 15:09:14</t>
  </si>
  <si>
    <t>05/09/2025 15:05:35</t>
  </si>
  <si>
    <t>05/09/2025 14:05:30</t>
  </si>
  <si>
    <t>05/09/2025 14:01:10</t>
  </si>
  <si>
    <t>05/09/2025 11:25:17</t>
  </si>
  <si>
    <t>05/09/2025 11:23:53</t>
  </si>
  <si>
    <t>05/09/2025 11:21:52</t>
  </si>
  <si>
    <t>05/09/2025 11:19:54</t>
  </si>
  <si>
    <t>05/09/2025 11:17:24</t>
  </si>
  <si>
    <t>05/09/2025 11:13:06</t>
  </si>
  <si>
    <t>6817</t>
  </si>
  <si>
    <t>7756</t>
  </si>
  <si>
    <t>4288</t>
  </si>
  <si>
    <t>4155</t>
  </si>
  <si>
    <t>13389</t>
  </si>
  <si>
    <t>6887</t>
  </si>
  <si>
    <t>9248</t>
  </si>
  <si>
    <t>6962</t>
  </si>
  <si>
    <t>7337</t>
  </si>
  <si>
    <t>8075</t>
  </si>
  <si>
    <t>3566</t>
  </si>
  <si>
    <t>5362</t>
  </si>
  <si>
    <t>3594</t>
  </si>
  <si>
    <t>1328</t>
  </si>
  <si>
    <t>13977</t>
  </si>
  <si>
    <t>15313</t>
  </si>
  <si>
    <t>15096</t>
  </si>
  <si>
    <t>7882</t>
  </si>
  <si>
    <t>1212</t>
  </si>
  <si>
    <t>16502</t>
  </si>
  <si>
    <t>16153</t>
  </si>
  <si>
    <t>SEM META</t>
  </si>
  <si>
    <t>200.000,00</t>
  </si>
  <si>
    <t>300.000,00</t>
  </si>
  <si>
    <t>0,70%</t>
  </si>
  <si>
    <t>0,80</t>
  </si>
  <si>
    <t>0,25</t>
  </si>
  <si>
    <t>2%</t>
  </si>
  <si>
    <t>200,00</t>
  </si>
  <si>
    <t>0,20</t>
  </si>
  <si>
    <t>1,5%</t>
  </si>
  <si>
    <t>TODA PRODU??O BANCO DIGIO DE ACORDO COM A REGRA DA CAMPNAHA DO DIGIO</t>
  </si>
  <si>
    <t>PRODU??O TOTAL DO BANCO DAYCOVAL</t>
  </si>
  <si>
    <t>PRODU??O TOTAL BANCO DIGIO</t>
  </si>
  <si>
    <t>TODOS PRODUTOS E CONVENIOS BANCO DIGIO</t>
  </si>
  <si>
    <t>todos produtos apto para bonificacao - banco daycoval</t>
  </si>
  <si>
    <t>TODA PRODU??O DE CARTAO E CARTAO BEBEFICIO - BMG</t>
  </si>
  <si>
    <t>TODA PRODU??O</t>
  </si>
  <si>
    <t>QUERO MAIS INSS E SIAPE - CART?O BENEF?CIO</t>
  </si>
  <si>
    <t>CONSIDERAR TODA A PRODU?AO PARA APURA?AO, TODOS CONVENIOS PRAZO MAXIMO.</t>
  </si>
  <si>
    <t>FACTA INSS PORT / REFIN DA PORT /REFIN / NOVO / FGTS</t>
  </si>
  <si>
    <t>TODA PRODU??O, EXCETO TABELAS QUE POSSUEM REGRA VIP APROVADA</t>
  </si>
  <si>
    <t>Banco c6(novo,port,refin da port)</t>
  </si>
  <si>
    <t>TODA PRODU??O DO BANCO AMIGOZ</t>
  </si>
  <si>
    <t xml:space="preserve">TODA PRODUCAO </t>
  </si>
  <si>
    <t>12068 | 17777</t>
  </si>
  <si>
    <t>credito 12068</t>
  </si>
  <si>
    <t> 11599 | 17823</t>
  </si>
  <si>
    <t>credito 11599</t>
  </si>
  <si>
    <t>AMIGOZ PRODUCAO TOTAL</t>
  </si>
  <si>
    <t xml:space="preserve">85% DO RECEBIDO </t>
  </si>
  <si>
    <t>producao total c6</t>
  </si>
  <si>
    <t>PORTABILIDADE / BANCO C6 / CONVENIO INSS</t>
  </si>
  <si>
    <t xml:space="preserve">C6 PRODUCAO TOTAL </t>
  </si>
  <si>
    <t>8588</t>
  </si>
  <si>
    <t>8589</t>
  </si>
  <si>
    <t xml:space="preserve">FP - SEGURO TOP - TAXA 1,85
FP - SEGURO - TX 1,85
FP - SEGURO FLEX </t>
  </si>
  <si>
    <t>Ajustar parâmetro</t>
  </si>
  <si>
    <t>Retirar</t>
  </si>
  <si>
    <t>COD. CHAMADO</t>
  </si>
  <si>
    <t>CATEGORIA</t>
  </si>
  <si>
    <t>TITULO</t>
  </si>
  <si>
    <t>SOLICITANTE</t>
  </si>
  <si>
    <t>RESPONSAVEL</t>
  </si>
  <si>
    <t>SITUACAO</t>
  </si>
  <si>
    <t>DATA ULTIMA MENSAGEM</t>
  </si>
  <si>
    <t>DATA CHAMADO</t>
  </si>
  <si>
    <t>CODIGO DO CORRETOR</t>
  </si>
  <si>
    <t>PARAMETRO</t>
  </si>
  <si>
    <t>PERCENTUAL DE PREMIO</t>
  </si>
  <si>
    <t>PERIODO</t>
  </si>
  <si>
    <t>TIPO DE FECHAMENTO</t>
  </si>
  <si>
    <t>MENSAGEM</t>
  </si>
  <si>
    <t>PARAMETRIZACAO DE CAMPANHA</t>
  </si>
  <si>
    <t>PARAMETRIZAR CAMPANHA - ID</t>
  </si>
  <si>
    <t>JOSIANE ARAUJO TEIXEIRA (U)</t>
  </si>
  <si>
    <t>Cinthia Gomes da Silva</t>
  </si>
  <si>
    <t>Aberto</t>
  </si>
  <si>
    <t>24/09/2025 10:51:14</t>
  </si>
  <si>
    <t>17/09/2025 15:45:46</t>
  </si>
  <si>
    <t>DESCRI?AO</t>
  </si>
  <si>
    <t>DESCRI??O</t>
  </si>
  <si>
    <t>01/09 a 30/09</t>
  </si>
  <si>
    <t>Remetente - () Boa tarde! Parametro: Toda a produção paga da parceira será contabilizada independente do produto para o atingimento da meta . Porém a bonificação nas duas escalas seja 0.10% ou 0.20% dependendo da meta atingida conforme pleito acima só deverá ser paga sobre a produção de contratos novos / convênio Inss / prazo máximo 84 meses / tabela normal com exceção do banco Itaú ( pois está na regra VIP) Lembrando que a campanha em questão contempla a soma dos 2 códigos que a parceira tem conosco ID 3349 / ID 11938. Meta / bonificação 300.000,00 - 0,10 500.000,00 - 0,20 Abonificação sera paga no codigo ID 3349 CODIGO DO CORRETOR: 3349 / 11938 PERIODO: 01/09 A 30/09 TIPO DE FECHAMENTO: MENSAL META: DESCRIÇAO PERCENTUAL DE PREMIO: DESCRIÇÃO PARAMETRO: DESCRIÇAO ; Remetente - () Josi, bom dia. Reforço que não tem como considerar tabela normal de todos bancos, pois  cada um possui sua particularidade. ; Remetente - ()  Em tempo Portanto foi considerados todas as tabelas do INSS-NOVO- 84X;</t>
  </si>
  <si>
    <t>CAMPANHA SETEMBRO I COD 9132 I BANCO DIGIO</t>
  </si>
  <si>
    <t>BIANCA CRISTIANE SOARES SANTOS TERENCIO (U)</t>
  </si>
  <si>
    <t>24/09/2025 10:00:40</t>
  </si>
  <si>
    <t>9132</t>
  </si>
  <si>
    <t>anco Digio ? Todos os Produtos ? Todos os Prazos ? Conv?nio INSS ? Todas as Tabelas</t>
  </si>
  <si>
    <t>22/09 A 30/09</t>
  </si>
  <si>
    <t>Remetente - () Bom dia ! Gentileza parametrizar conforme solicitado. Banco Digio ? Todos os Produtos ? Todos os Prazos ? Convênio INSS ? Todas as Tabelas CODIGO DO CORRETOR: 9132 PERIODO: 22/09 A 30/09 TIPO DE FECHAMENTO: MENSAL META: 1.000,00 PERCENTUAL DE PREMIO: 0,20 PARAMETRO: anco Digio ? Todos os Produtos ? Todos os Prazos ? Convênio INSS ? Todas as Tabelas ;</t>
  </si>
  <si>
    <t>PARAMAETRIZAR CAMPANHA BANCO PAN - ID 15503</t>
  </si>
  <si>
    <t>24/09/2025 09:56:34</t>
  </si>
  <si>
    <t>15503</t>
  </si>
  <si>
    <t>toda a produ??o de CONVENIOS PUBLICOS</t>
  </si>
  <si>
    <t>0,40%</t>
  </si>
  <si>
    <t>Remetente - () Bom dia! CODIGO DO CORRETOR: 15503 PERIODO: 01/09 A 30/09 TIPO DE FECHAMENTO: MENSAL META: SEM META PERCENTUAL DE PREMIO: 0,40% PARAMETRO: toda a produção de CONVENIOS PUBLICOS ;</t>
  </si>
  <si>
    <t>PARAMETRIZAR CAMPANHA - ID 6448 / 8737</t>
  </si>
  <si>
    <t>24/09/2025 09:10:23</t>
  </si>
  <si>
    <t>16/09/2025 09:42:36</t>
  </si>
  <si>
    <t>6448 / 8737</t>
  </si>
  <si>
    <t>760.000,00</t>
  </si>
  <si>
    <t>TODAS AS TABELAS E PRODUTOS. DESCONSIDERAR PORT, VIP, E GRUPO 001 P/ CALCULO DO B?NUS</t>
  </si>
  <si>
    <t>0,30%</t>
  </si>
  <si>
    <t>01/08 A 30/09</t>
  </si>
  <si>
    <t>Remetente - () Bom dia! A bonificação sera paga no codigo ID 6448 CODIGO DO CORRETOR: 6448 / 8737 PERIODO: 01/08 A 30/09 TIPO DE FECHAMENTO: TRIMESTRAL META: 760.000,00 PERCENTUAL DE PREMIO: 0,30% PARAMETRO: TODAS AS TABELAS E PRODUTOS. DESCONSIDERAR PORT, VIP, E GRUPO 001 P/ CALCULO DO BÔNUS ; Remetente - ()  Boa tarde! PARAMETRO: TODAS AS TABELAS E PRODUTOS DE TODOS OS BANCO ( DESCONSIDERAR PORT, VIP, E GRUPO 001 P/ CALCULO DO BÔNUS ); Remetente - ()  Josi, boa tarde. Campanha parametrizada. codigo 8807 ; Remetente - () Prezados, bom dia! Favor desativar campanha. ;</t>
  </si>
  <si>
    <t>CAMPANHA FACTA I 14034</t>
  </si>
  <si>
    <t>BARBARA VIRGINIA RAIMUNDI DE SIQUEIRA (U)</t>
  </si>
  <si>
    <t>23/09/2025 14:35:53</t>
  </si>
  <si>
    <t>23/09/2025 14:33:20</t>
  </si>
  <si>
    <t>14034</t>
  </si>
  <si>
    <t>Remetente - () Prezados(a), boa tarde ! Gentileza parametrizar campanha conforme solicitado pela GC Larissa Sobral e diretor Danilo Ferreira. CODIGO DO CORRETOR: 14034 PERIODO: 01/09 À 30/09 TIPO DE FECHAMENTO: MENSAL META: SEM META PERCENTUAL DE PREMIO: 0,50% PARAMETRO: CONFORME REGRAS FACTA ; Remetente - () considerar o código  13819 (Leandro José) para essa campanha. ;</t>
  </si>
  <si>
    <t>23/09/2025 14:33:10</t>
  </si>
  <si>
    <t>Remetente - () Prezados(a), boa tarde ! Gentileza parametrizar campanha conforme solicitado pela GC Larissa Sobral e diretor Danilo Ferreira. CODIGO DO CORRETOR: 14034 PERIODO: 01/09 À 30/09 TIPO DE FECHAMENTO: MENSAL META: SEM META PERCENTUAL DE PREMIO: 0,50% PARAMETRO: CONFORME REGRAS FACTA ;</t>
  </si>
  <si>
    <t>CAMPANHA FACTA I 13440</t>
  </si>
  <si>
    <t>23/09/2025 14:29:41</t>
  </si>
  <si>
    <t>13440</t>
  </si>
  <si>
    <t>0,75%</t>
  </si>
  <si>
    <t>Remetente - () Prezados(a), boa tarde ! Gentileza parametrizar conforme solicitado pela GC Larissa Sobral e e acordado pelo Danilo Ferreira. CODIGO DO CORRETOR: 13440 PERIODO: 01/09 À 30/09 TIPO DE FECHAMENTO: MENSAL META: SEM META PERCENTUAL DE PREMIO: 0,75% PARAMETRO: CONFORME REGRAS FACTA ;</t>
  </si>
  <si>
    <t>CAMPANHA SETEMBRO I COD 15692 I DAYCOVAL</t>
  </si>
  <si>
    <t>23/09/2025 10:19:13</t>
  </si>
  <si>
    <t>15692</t>
  </si>
  <si>
    <t>EM CIMA DA PRODU??O TOTAL</t>
  </si>
  <si>
    <t>0,70</t>
  </si>
  <si>
    <t>Remetente - () Bom dia! Gentileza parametrizar conforme solicitado. CODIGO DO CORRETOR: 15692 PERIODO: 01/09 A 30/09 TIPO DE FECHAMENTO: MENSAL META: SEM META PERCENTUAL DE PREMIO: 0,70 PARAMETRO: EM CIMA DA PRODUÇÃO TOTAL ;</t>
  </si>
  <si>
    <t>CAMPANHA SETEMBRO I COD 14011 I VCTEX</t>
  </si>
  <si>
    <t>23/09/2025 10:01:49</t>
  </si>
  <si>
    <t>14011</t>
  </si>
  <si>
    <t>TUDO O QUE PRODUZIR NA TABELA EXP</t>
  </si>
  <si>
    <t>1,0</t>
  </si>
  <si>
    <t>Remetente - () Bom dia! Gentileza parametrizar conforme solicitado. TUDO O QUE PRODUZIR NA TABELA EXP -FGTS CODIGO DO CORRETOR: 14011 PERIODO: 01/09 A 30/09 TIPO DE FECHAMENTO: MENSAL META: SEM META PERCENTUAL DE PREMIO: 1,0 PARAMETRO: TUDO O QUE PRODUZIR NA TABELA EXP ;</t>
  </si>
  <si>
    <t>CAMPANHA BANCO VCTEX l CÓDIGO 18307 l GC LAIS PASCOAL</t>
  </si>
  <si>
    <t>FABIULA RODRIGUES ARAUJO ZANONI (U)</t>
  </si>
  <si>
    <t>23/09/2025 09:54:18</t>
  </si>
  <si>
    <t>18/09/2025 11:45:08</t>
  </si>
  <si>
    <t>18307</t>
  </si>
  <si>
    <t>1,00</t>
  </si>
  <si>
    <t>PRODU??O BANCO VCTEX</t>
  </si>
  <si>
    <t>Remetente - () Suporte, bom dia! Gentileza cadastrar campanha solicitada pela Lais e de acordo do Danilo, planilha em anexo. CODIGO DO CORRETOR: 18307 PERIODO: 01/09/2025 a 30/09/2025 TIPO DE FECHAMENTO: MENSAL META: 1,00 PERCENTUAL DE PREMIO: 1,00% PARAMETRO: PRODUÇÃO BANCO VCTEX ; Remetente - () Novo arquivo enviado: CAMPANHAVCTEXFILIPEVS_2025_09_18_11_45_08.xlsx; Remetente - () Novo arquivo enviado: CAMPANHAVCTEXFILIPEVS_2025_09_18_11_45_08_2025_09_23_09_54_18.xlsx; Remetente - ()  Suporte, bom dia! Segue planilha atualizada para campanha.;</t>
  </si>
  <si>
    <t>CAMPANHA SETEMBRO I BANCO FACTA I MULTILOJA I 18297/18312/18343</t>
  </si>
  <si>
    <t>23/09/2025 09:47:41</t>
  </si>
  <si>
    <t>18297/18312/18343</t>
  </si>
  <si>
    <t>0,75</t>
  </si>
  <si>
    <t>19/9 A 30/09</t>
  </si>
  <si>
    <t>Remetente - () Bom dia ! Gentileza parametrizar conforme solicitado. parametrizar as pagamentos para a empresa - G &amp; D SOLUCOES DIGITAIS LTDA. cod 18297. CODIGO DO CORRETOR: 18297/18312/18343 PERIODO: 19/9 A 30/09 TIPO DE FECHAMENTO: MENSAL META: 20.000,00 PERCENTUAL DE PREMIO: 0,75 PARAMETRO: CONFORME REGRAS FACTA ;</t>
  </si>
  <si>
    <t>CAMPANHA BANCO FACTA l CÓDIGO 18356 l GC LARISSA SOBRAL</t>
  </si>
  <si>
    <t>23/09/2025 09:43:39</t>
  </si>
  <si>
    <t>18356</t>
  </si>
  <si>
    <t>NAS TABELAS QUE ? NOS REPASSADO O BONUS</t>
  </si>
  <si>
    <t>Remetente - () Suporte, bom dia! Gentileza cadastrar campanha solicitada pela Larissa e de acordo do Danilo, segue planilha em anexo. CODIGO DO CORRETOR: 18356 PERIODO: 01/09/2025 a 30/09/2025 TIPO DE FECHAMENTO: MENSAL META: SEM META PERCENTUAL DE PREMIO: 0,50% PARAMETRO: NAS TABELAS QUE É NOS REPASSADO O BONUS ; Remetente - () Novo arquivo enviado: BONUSFACTAPATRICIA(1)_2025_09_23_09_43_39.xlsx;</t>
  </si>
  <si>
    <t>CAMPANHA BANCO BMG l CÓDIGO 16130 l GC CHRISTIANE NIELSEN</t>
  </si>
  <si>
    <t>22/09/2025 17:29:54</t>
  </si>
  <si>
    <t>16130</t>
  </si>
  <si>
    <t>0,01</t>
  </si>
  <si>
    <t>PRODU??O TOTAL NOVO CONV?NIO INSS</t>
  </si>
  <si>
    <t>0,20%</t>
  </si>
  <si>
    <t>19/09/2025 A 30/09/2025</t>
  </si>
  <si>
    <t>Remetente - () Suporte, boa tarde! Gentileza cadastrar campanha campanha solicitada pela Cris e de acordo do André. CODIGO DO CORRETOR: 16130 PERIODO: 19/09/2025 A 30/09/2025 TIPO DE FECHAMENTO: MENSAL META: 0,01 PERCENTUAL DE PREMIO: 0,20% PARAMETRO: PRODUÇÃO TOTAL NOVO CONVÊNIO INSS ;</t>
  </si>
  <si>
    <t>CAMPANHA BANCO MASTER l CÓDIGO 6905 l GC ICARO FRANÇA</t>
  </si>
  <si>
    <t>22/09/2025 17:02:52</t>
  </si>
  <si>
    <t>?A campanha ? exclusiva para o produto M FACIL E CREDCESTA, no banco MASTER e conv?nio?prefeitura de UBERABA, IPSERV E CODAU em todas as tabelas e prazos.</t>
  </si>
  <si>
    <t>1,23%</t>
  </si>
  <si>
    <t>Remetente - () Suporte, boa tarde! Gentileza cadastrar campanha solicitada pelo Icaro e de acordo do Danilo, segue planilha em anexo. CODIGO DO CORRETOR: 6905 PERIODO: 01/09/2025 a 30/09/2025 TIPO DE FECHAMENTO: MENSAL META: 0,01 PERCENTUAL DE PREMIO: 1,23% PARAMETRO:  A campanha é exclusiva para o produto M FACIL E CREDCESTA, no banco MASTER e convênio prefeitura de UBERABA, IPSERV E CODAU em todas as tabelas e prazos. ; Remetente - () Novo arquivo enviado: PLANILHACAMPANHALUIZGUSTAVO6905SUBMASTER(2)(1)(1)_2025_09_22_17_02_52.xlsx;</t>
  </si>
  <si>
    <t>CAMPANHA l CÓDIGO 14011 l GC LARISSA SOBRAL</t>
  </si>
  <si>
    <t>22/09/2025 16:56:58</t>
  </si>
  <si>
    <t>DIVERSOS</t>
  </si>
  <si>
    <t>Remetente - () Suporte, boa tarde! Gentileza cadastrar campanhas solicitadas pela Larissa e de acordo do Danilo, segue planilha em anexo. CODIGO DO CORRETOR: 14011 PERIODO: 01/09/2025 a 30/09/2025 TIPO DE FECHAMENTO: MENSAL META: DIVERSOS PERCENTUAL DE PREMIO: DIVERSOS PARAMETRO: DIVERSOS ; Remetente - () Novo arquivo enviado: BONUSFACTAFLAVIO(2)_2025_09_22_16_56_58.xlsx;</t>
  </si>
  <si>
    <t>CAMPANHA BANCO FACTA l CÓDIGO 16578 l GC LARISSA SOBRAL</t>
  </si>
  <si>
    <t>22/09/2025 16:04:56</t>
  </si>
  <si>
    <t>16578</t>
  </si>
  <si>
    <t>Remetente - () Suporte, boa tarde! Gentileza cadastrar campanha solicitada pela Larissa e de acordo do Danilo, segue planilha em anexo. CODIGO DO CORRETOR: 16578 PERIODO: 01/09/2025 a 30/09/2025 TIPO DE FECHAMENTO: MENSAL META: SEM META PERCENTUAL DE PREMIO: 0,30% PARAMETRO: NAS TABELAS QUE É NOS REPASSADO O BONUS ; Remetente - () Novo arquivo enviado: BONUSFACTAGABRIELA_2025_09_22_16_04_56.xlsx;</t>
  </si>
  <si>
    <t>CAMPANHA BANCO PRESENÇA l CÓDIGO 16977 l GC FERNANDA OTONI</t>
  </si>
  <si>
    <t>22/09/2025 15:49:41</t>
  </si>
  <si>
    <t>16977</t>
  </si>
  <si>
    <t>EM CIMA DE TODAS AS TABELAS DE NOVO E FGTS</t>
  </si>
  <si>
    <t>0,80%</t>
  </si>
  <si>
    <t>Remetente - () Suporte, boa tarde! Gentileza cadastrar campanha solicitada pela Fernanda e de acordo do Danilo, segue planilha em anexo. CODIGO DO CORRETOR: 16977 PERIODO: 01/09/2025 a 30/09/2025 TIPO DE FECHAMENTO: MENSAL META: SEM META PERCENTUAL DE PREMIO: 0,80% PARAMETRO: EM CIMA DE TODAS AS TABELAS DE NOVO E FGTS ; Remetente - () Novo arquivo enviado: BONUSCAMPANHAMESSETEMBROPRESENCA_2025_09_22_15_49_41.xlsx;</t>
  </si>
  <si>
    <t>CAMPANHA AMIGOZ l CÓDIGO 16977 l GC FERNANDA OTONI</t>
  </si>
  <si>
    <t>22/09/2025 15:45:23</t>
  </si>
  <si>
    <t>3,50%</t>
  </si>
  <si>
    <t>Remetente - () Suporte, boa tarde! Gentileza cadastrar campanha solicitada pela Fernanda e de acordo do Danilo, segue planilha em anexo. CODIGO DO CORRETOR: 16977 PERIODO: 01/09/2025 a 30/09/2025 TIPO DE FECHAMENTO: MENSAL META: SEM META PERCENTUAL DE PREMIO: 3,50% PARAMETRO: AMIGOZ - 3.5 % EM CIMA DE TODAS AS TABELAS RMC E RCC INSS ; Remetente - () Novo arquivo enviado: CAMPANHABONUSAMIGOZSETEMBROERICKVIEIRA_2025_09_22_15_45_23.xlsx;</t>
  </si>
  <si>
    <t>CAMPANHA BANCO FACTA l CÓDIGO 16892 l GC THAIS MELO</t>
  </si>
  <si>
    <t>22/09/2025 15:38:18</t>
  </si>
  <si>
    <t>16892</t>
  </si>
  <si>
    <t>( Conforme parametro?facta?)</t>
  </si>
  <si>
    <t>0,30</t>
  </si>
  <si>
    <t>MENSA</t>
  </si>
  <si>
    <t>Remetente - () Suporte, boa tarde! Gentileza cadastrar campanha solicitada pela Thais e de acordo do Danilo, segue planilha em anexo. CODIGO DO CORRETOR: 16892 PERIODO: 01/09/2025 a 30/09/2025 TIPO DE FECHAMENTO: MENSA META: 1,00 PERCENTUAL DE PREMIO: 0,30 PARAMETRO: ( Conforme parametro facta ) ; Remetente - () Novo arquivo enviado: PLANILHADEBONUS-FACTASILVA_2025_09_22_15_38_18.xlsx;</t>
  </si>
  <si>
    <t>CAMPANHA FACTA MULTILOJA I 17865 GC SUSANA</t>
  </si>
  <si>
    <t>22/09/2025 14:43:25</t>
  </si>
  <si>
    <t>17865/17904/18026/18139</t>
  </si>
  <si>
    <t>Remetente - () Prezados(a), boa tarde ! Gentileza parametrizar campanha sob a produção de todos os códigos abaixo e realizar o crédito diretamente no código 17865. 17865 17904 18026 18139 CODIGO DO CORRETOR: 17865/17904/18026/18139 PERIODO: 01/09 À 30/09 TIPO DE FECHAMENTO: MENSAL META: SEM META PERCENTUAL DE PREMIO: 0,75% PARAMETRO: CONFORME REGRAS FACTA ;</t>
  </si>
  <si>
    <t>CAMPANHA BANCO PAN l CÓDIGO 11995 l GC WELLINGTON MELO</t>
  </si>
  <si>
    <t>22/09/2025 14:11:04</t>
  </si>
  <si>
    <t>11995</t>
  </si>
  <si>
    <t>Banco PAN ? Todos os Produtos ? Todos os Prazos ? Conv?nio INSS ? Todas as Tabelas</t>
  </si>
  <si>
    <t>Remetente - () Suporte, boa tarde! Gentileza cadastrar campanha solicitada pelo Wellingnton e de acordo do André, segue planilha em anexo. CODIGO DO CORRETOR: 11995 PERIODO: 19/09/2025 A 30/09/2025 TIPO DE FECHAMENTO: MENSAL META: 1.000,00 PERCENTUAL DE PREMIO: 0,20% PARAMETRO: Banco PAN ? Todos os Produtos ? Todos os Prazos ? Convênio INSS ? Todas as Tabelas ; Remetente - () Novo arquivo enviado: CampanhaPAN-11995_2025_09_22_14_11_04.xlsx;</t>
  </si>
  <si>
    <t>PARAMETRIZAR CAMPANHA - ID 10293</t>
  </si>
  <si>
    <t>22/09/2025 13:04:08</t>
  </si>
  <si>
    <t>10293</t>
  </si>
  <si>
    <t>BMG - INSS - Cart?o e Cart?o Beneficio - Todas as tabelas de Cart?o com Saque</t>
  </si>
  <si>
    <t>Remetente - () Boa tarde! CODIGO DO CORRETOR: 10293 PERIODO: 22/09 A 30/09 TIPO DE FECHAMENTO: MENSAL META: 1.000,00 PERCENTUAL DE PREMIO: 0,50 PARAMETRO: BMG - INSS - Cartão e Cartão Beneficio - Todas as tabelas de Cartão com Saque ;</t>
  </si>
  <si>
    <t>CAMPANHA BANCO FACTA I 13617</t>
  </si>
  <si>
    <t>22/09/2025 12:46:06</t>
  </si>
  <si>
    <t>13617</t>
  </si>
  <si>
    <t>Remetente - () Prezados(a), boa tarde ! Gentileza parametrizar conforme abaixo (solicitação realizada pelo André Medeiros: 01/09 à 14/09 0,75% CONFORME REGRAS FACTA 15/09 à 30/09 1,00% CONFORME REGRAS FACTA CODIGO DO CORRETOR: 13617 PERIODO: 01/09 À 30/09 TIPO DE FECHAMENTO: MENSAL META: SEM META PERCENTUAL DE PREMIO: DIVERSOS PARAMETRO: CONFORME REGRAS FACTA ;</t>
  </si>
  <si>
    <t>CAMPANHA BANCO MASTER I 17352</t>
  </si>
  <si>
    <t>22/09/2025 12:41:00</t>
  </si>
  <si>
    <t>17352</t>
  </si>
  <si>
    <t>R$ 20.000,00</t>
  </si>
  <si>
    <t>PRODU??O GERAL BANCO MASTER</t>
  </si>
  <si>
    <t>1.80%</t>
  </si>
  <si>
    <t>Remetente - () Prezados(a), boa tarde ! Gentileza parametrizar conforme solicitado pelo diretor André Medeiros. CODIGO DO CORRETOR: 17352 PERIODO: 01/09 À 30/09 TIPO DE FECHAMENTO: MENSAL META: R$ 20.000,00 PERCENTUAL DE PREMIO: 1.80% PARAMETRO: PRODUÇÃO GERAL BANCO MASTER ;</t>
  </si>
  <si>
    <t>PARAMETRIZAR CAMPANHA - ID: 12269</t>
  </si>
  <si>
    <t>LUCAS GUIMARAES EVARISTO (U)</t>
  </si>
  <si>
    <t>22/09/2025 12:06:28</t>
  </si>
  <si>
    <t>12269</t>
  </si>
  <si>
    <t>PAN - INSS - SOMENTE CONTRATO NOVO</t>
  </si>
  <si>
    <t>22/09/2025</t>
  </si>
  <si>
    <t>Remetente - () Prezados, bom dia! Favor parametrizar campanha. CODIGO DO CORRETOR: 12269 PERIODO: 22/09/2025 TIPO DE FECHAMENTO: MENSAL META: 1.000,00 PERCENTUAL DE PREMIO: 0,20 PARAMETRO: PAN - INSS - SOMENTE CONTRATO NOVO ;</t>
  </si>
  <si>
    <t>PARAMETRIZAR CAMPANHA - ID: 16239</t>
  </si>
  <si>
    <t>22/09/2025 11:05:15</t>
  </si>
  <si>
    <t>22/09/2025 11:04:37</t>
  </si>
  <si>
    <t>conforme descri??o</t>
  </si>
  <si>
    <t>CONFORME DESCRI??O</t>
  </si>
  <si>
    <t>15/09/2025 a 30/09/2025</t>
  </si>
  <si>
    <t>Remetente - () Bom dia! Favor parametrizar campanha conforme descrição abaixo. BANCO: PRESENÇA BANK - META: 1.000,00 INSS NOVO (COM SEGURO) - BONUS DE 0,50% FGTS (COM SEGURO) - BONUS DE 0,25% CONGINADO PRIVADO (COM SEGURO) - BONUS DE 0,50% SIAPE NOVO (COM SEGURO) - BONUS DE 0,25% SIAPE CARTÃO (COM SEGURO) - BONUS DE 0,50% CONVÊNIOS PÚBLICOS NOVO (COM SEGURO)-BONUS DE 0,50% CONVÊNIOS PÚBLICOS CARTÃO (COM SEGURO)-BONUS DE 0,50% BANCO PRESENÇA BANK EMPRÉSTIMO SIAPE E PÚBLICO (COM SEGURO) - META DE R$ 5.000.000,00 A 6.999.999,99 - BONUS 0,12% META DE 7.000.000,00 ACIMA - BONUS DE 0,25% FGTS (COM SEGURO) - META: 2.000.000,00 A 3.999.999,99 - BONUS DE 0,12% ACIMA DE 4.000.000,00 - BONUS DE 0,25% CARTÃO SIAPE (COM SEGURO)- META 3.000.000,00 A 4.999.999,99 - BONUS DE 0,50% META: 5.000.000,00 A 6.999.999,99 - BONUS DE 0,50% ACIMA DE 7.000,000,00 - BONUS DE 1 % CARTÃO CONVÊNIOS PÚBLICOS (COM SEGURO) -META 3.000.000,00 A 4.999.999,99 - BONUS DE 0,50% META: 5.000.000,00 A 6.999.999,99 - BONUS DE 0,50% ACIMA DE 7.000,000,00 - BONUS DE 1 % CODIGO DO CORRETOR: 16239 PERIODO: 15/09/2025 a 30/09/2025 TIPO DE FECHAMENTO: MENSAL META: conforme descrição PERCENTUAL DE PREMIO: CONFORME DESCRIÇÃO PARAMETRO: CONFORME DESCRIÇÃO ; Remetente - () Novo arquivo enviado: CAMPANHA_FLAMEX_PRESEN?A(2)_2025_09_22_11_05_16.xlsx; Remetente - ()  ;</t>
  </si>
  <si>
    <t>22/09/2025 11:04:11</t>
  </si>
  <si>
    <t>Remetente - () Bom dia! Favor parametrizar campanha conforme descrição abaixo. BANCO: PRESENÇA BANK - META: 1.000,00 INSS NOVO (COM SEGURO) - BONUS DE 0,50% FGTS (COM SEGURO) - BONUS DE 0,25% CONGINADO PRIVADO (COM SEGURO) - BONUS DE 0,50% SIAPE NOVO (COM SEGURO) - BONUS DE 0,25% SIAPE CARTÃO (COM SEGURO) - BONUS DE 0,50% CONVÊNIOS PÚBLICOS NOVO (COM SEGURO)-BONUS DE 0,50% CONVÊNIOS PÚBLICOS CARTÃO (COM SEGURO)-BONUS DE 0,50% BANCO PRESENÇA BANK EMPRÉSTIMO SIAPE E PÚBLICO (COM SEGURO) - META DE R$ 5.000.000,00 A 6.999.999,99 - BONUS 0,12% META DE 7.000.000,00 ACIMA - BONUS DE 0,25% FGTS (COM SEGURO) - META: 2.000.000,00 A 3.999.999,99 - BONUS DE 0,12% ACIMA DE 4.000.000,00 - BONUS DE 0,25% CARTÃO SIAPE (COM SEGURO)- META 3.000.000,00 A 4.999.999,99 - BONUS DE 0,50% META: 5.000.000,00 A 6.999.999,99 - BONUS DE 0,50% ACIMA DE 7.000,000,00 - BONUS DE 1 % CARTÃO CONVÊNIOS PÚBLICOS (COM SEGURO) -META 3.000.000,00 A 4.999.999,99 - BONUS DE 0,50% META: 5.000.000,00 A 6.999.999,99 - BONUS DE 0,50% ACIMA DE 7.000,000,00 - BONUS DE 1 % CODIGO DO CORRETOR: 16239 PERIODO: 15/09/2025 a 30/09/2025 TIPO DE FECHAMENTO: MENSAL META: conforme descrição PERCENTUAL DE PREMIO: CONFORME DESCRIÇÃO PARAMETRO: CONFORME DESCRIÇÃO ;</t>
  </si>
  <si>
    <t>22/09/2025 11:03:39</t>
  </si>
  <si>
    <t>CAMPANHA FACTA I 13166</t>
  </si>
  <si>
    <t>22/09/2025 11:01:04</t>
  </si>
  <si>
    <t>13166</t>
  </si>
  <si>
    <t>Remetente - () Prezados(a), bom dia ! Gentileza parametrizar conforme solicitado. CODIGO DO CORRETOR: 13166 PERIODO: 01/09 À 30/09 TIPO DE FECHAMENTO: MENSAL META: SEM META PERCENTUAL DE PREMIO: 0,40% PARAMETRO: CONFORME REGRAS FACTA ;</t>
  </si>
  <si>
    <t>CAMPANHA FACTA I 14427</t>
  </si>
  <si>
    <t>22/09/2025 10:59:56</t>
  </si>
  <si>
    <t>14427</t>
  </si>
  <si>
    <t>Remetente - () Prezados(a), bom dia ! Gentileza parametrizar conforme solicitado abaixo: 0,40% CONFORME REGRAS FACTA 0,20% FACTA - FGTS - NOVO -TODOS CODIGO DO CORRETOR: 14427 PERIODO: 01/09 À 30/09 TIPO DE FECHAMENTO: MENSAL META: SEM META PERCENTUAL DE PREMIO: DIVERSOS PARAMETRO: DIVERSOS ;</t>
  </si>
  <si>
    <t>CAMPANHA BANCO FACTA I 16654</t>
  </si>
  <si>
    <t>22/09/2025 10:58:13</t>
  </si>
  <si>
    <t>16654</t>
  </si>
  <si>
    <t>Remetente - () Gentileza parametrizar conforme solicitado: 0,40% FACTA - CONFORME REGRAS FACTA 0,20% FACTA - FGTS - NOVO -TODOS CODIGO DO CORRETOR: 16654 PERIODO: 01/09 À 30/09 TIPO DE FECHAMENTO: MENSAL META: SEM META PERCENTUAL DE PREMIO: DIVERSOS PARAMETRO: DIVERSOS ;</t>
  </si>
  <si>
    <t>PARAMETRIZAR CAMPANHA - ID: 17865</t>
  </si>
  <si>
    <t>22/09/2025 10:17:43</t>
  </si>
  <si>
    <t>presen?a bank - inss - todas as tabelas que possuem bonus</t>
  </si>
  <si>
    <t>11/09/2025 a 30/09/2025</t>
  </si>
  <si>
    <t>Remetente - () bom dia! Favor parametrizar campanha. CODIGO DO CORRETOR: 17865 PERIODO: 11/09/2025 a 30/09/2025 TIPO DE FECHAMENTO: MENSAL META: SEM META PERCENTUAL DE PREMIO: 0,50% PARAMETRO: presença bank - inss - todas as tabelas que possuem bonus ;</t>
  </si>
  <si>
    <t>CAMPANHA BANCO FACTA l CÓDIGO 17143 l GC THAIS MELO</t>
  </si>
  <si>
    <t>22/09/2025 10:02:14</t>
  </si>
  <si>
    <t>17143</t>
  </si>
  <si>
    <t>Remetente - () Suporte, bom dia! Gentileza cadastrar campanha solicitada pela Thais e de acordo do Danilo, segue planilha em anexo. CODIGO DO CORRETOR: 17143 PERIODO: 01/09/2025 a 30/09/2025 TIPO DE FECHAMENTO: MENSAL META: 1,00 PERCENTUAL DE PREMIO: 0,25 PARAMETRO: ( Conforme parametro facta ) ; Remetente - () Novo arquivo enviado: PLANILHADEBONUS-FACTA_2025_09_22_10_02_14.xlsx;</t>
  </si>
  <si>
    <t>PARAMETRIZAR CAMPANHA BANCO MERCANTIL - ID 17938</t>
  </si>
  <si>
    <t>22/09/2025 10:00:19</t>
  </si>
  <si>
    <t>17938</t>
  </si>
  <si>
    <t>01/09 a 31/12</t>
  </si>
  <si>
    <t>Remetente - () Boa tarde! Iremos considerar toda a produção de cartões RCC e RMC. CODIGO DO CORRETOR: 17938 PERIODO: 01/09 a 31/12 TIPO DE FECHAMENTO: MENSAL META: SEM META PERCENTUAL DE PREMIO: 0,20% PARAMETRO: DESCRIÇAO ; Remetente - ()   Josi, boa tarde. Campanha parametrizada. Meta 8531,8532,8533,8534 ; Remetente - ()  Bom dia! Por gentielza alterar o percentual da camapanha. PERCENTUAL DE PREMIO: 0,40% PERIODO: 01/09 a 31/12;</t>
  </si>
  <si>
    <t>CAMPANHA BANCO FACTA l CÓDIGO 15632 l GC THAIS MELO</t>
  </si>
  <si>
    <t>22/09/2025 09:57:58</t>
  </si>
  <si>
    <t>15632</t>
  </si>
  <si>
    <t>Remetente - () Suporte, bom dia! Gentileza cadastrar campanha solicitada pela Thais e de acordo do Danilo, segue planilha em anexo. CODIGO DO CORRETOR: 15632 PERIODO: 01/09/2025 a 30/09/2025 TIPO DE FECHAMENTO: MENSAL META: 1,00 PERCENTUAL DE PREMIO: 0,50 PARAMETRO: ( Conforme parametro facta ) ; Remetente - () Novo arquivo enviado: PLANILHADEBONUS-FACTAJUSUBj_2025_09_22_09_57_58.xlsx;</t>
  </si>
  <si>
    <t>CAMPANHA BANCO C6 l CÓDIGO 11820 l GC THAYS MELO</t>
  </si>
  <si>
    <t>22/09/2025 09:25:54</t>
  </si>
  <si>
    <t>Remetente - () Suporte, bom dia! Gentileza cadastrar campanha solicitada pela Thays e de acordo do Danilo, ressaltamos que a campanha e fechamento e enviada pelo Banco mensalmente. Segue planilha em anexo. CODIGO DO CORRETOR: 11820 PERIODO: 01/09/2025 a 30/09/2025 TIPO DE FECHAMENTO: MENSAL META: 1,00 PERCENTUAL DE PREMIO: DIVERSOS PARAMETRO: DIVERSOS ; Remetente - () Novo arquivo enviado: PLANILHADEBONUS-C6-TULIO_2025_09_22_09_25_54.xlsx;</t>
  </si>
  <si>
    <t>CAMPANHA BANCO MASTER l CÓDIGO 15216 l GC THAIS MELO</t>
  </si>
  <si>
    <t>22/09/2025 09:18:23</t>
  </si>
  <si>
    <t>15216</t>
  </si>
  <si>
    <t>TODA PRODU??O BANCO MASTER , DE ACORDO COM AS REGRAS DO BANCO</t>
  </si>
  <si>
    <t>Remetente - () Suporte, bom dia! Gentileza cadastrar campanha solicitada pela Thais e de acordo do Danilo, segue planilha em anexo. CODIGO DO CORRETOR: 15216 PERIODO: 01/09/2025 a 30/09/2025 TIPO DE FECHAMENTO: MENSAL META: 1,00 PERCENTUAL DE PREMIO: 1,50 PARAMETRO: TODA PRODUÇÃO BANCO MASTER , DE ACORDO COM AS REGRAS DO BANCO ; Remetente - () Novo arquivo enviado: PLANILHADEBONUS-TOTEMMASTER_2025_09_22_09_18_23.xlsx;</t>
  </si>
  <si>
    <t>CAMPANHA BANCO MERCANTIL l CÓDIGO 17740 l GC THAIS MELO</t>
  </si>
  <si>
    <t>22/09/2025 09:11:10</t>
  </si>
  <si>
    <t>17740</t>
  </si>
  <si>
    <t>B?nus pago referente a venda de cart?o RMC E RCC</t>
  </si>
  <si>
    <t>Remetente - () Suporte, bom dia! Gentileza cadastrar campanha solicitada pela Thais e de acordo do Danilo. Segue planilha em anexo. CODIGO DO CORRETOR: 17740 PERIODO: 01/09/2025 a 30/09/2025 TIPO DE FECHAMENTO: MENSAL META: 1,00 PERCENTUAL DE PREMIO: 0,70 PARAMETRO: Bônus pago referente a venda de cartão RMC E RCC ; Remetente - () Novo arquivo enviado: PLANILHADEBONUS-mercatiloliveira(1)_2025_09_22_09_11_10.xlsx;</t>
  </si>
  <si>
    <t>PARAMETRIZAR CAMPANHA BANCO ID 13782</t>
  </si>
  <si>
    <t>19/09/2025 16:35:27</t>
  </si>
  <si>
    <t>1,2%</t>
  </si>
  <si>
    <t>Remetente - () Boa tarde! CODIGO DO CORRETOR: 13782 PERIODO: 01/09 A 30/09 TIPO DE FECHAMENTO: MENSAL META: 10 MIL PERCENTUAL DE PREMIO: 1,2% PARAMETRO: EM TODOS OS PRODUTOS E TABELAS BANCO DAYCOVAL QUE COMTEMPLAM A CAMPANHA DE BONUS ;</t>
  </si>
  <si>
    <t>CAMPANHA BANCO VCTEX l CÓDIGO 16358 l FERNANDA OTONI</t>
  </si>
  <si>
    <t>19/09/2025 16:11:05</t>
  </si>
  <si>
    <t>16358</t>
  </si>
  <si>
    <t>400.000,00</t>
  </si>
  <si>
    <t>Remetente - () Suporte, boa tarde! Gentileza cadastrar campanha solicitada pela Fernanda e de acordo do Danilo, segue planilha em anexo. CODIGO DO CORRETOR: 16358 PERIODO: 01/09/2025 a 30/09/2025 TIPO DE FECHAMENTO: MENSAL META: 400.000,00 PERCENTUAL DE PREMIO: 0,25% PARAMETRO: PRODUCAO TOTAL ; Remetente - () Novo arquivo enviado: CAMPANHAMESSETEMBROVCTEX(2)_2025_09_19_16_11_05.xlsx;</t>
  </si>
  <si>
    <t>CAMPANHA FACTA l CÓDIGO 17051 l GC THAIS MELO</t>
  </si>
  <si>
    <t>19/09/2025 15:32:16</t>
  </si>
  <si>
    <t>17051</t>
  </si>
  <si>
    <t>Conforme parametro?facta?</t>
  </si>
  <si>
    <t>Remetente - () Suporte, boa tarde! Gentileza cadastrar campanha solicitada pela Thais e de acordo do Danilo, segue planilha em anexo. CODIGO DO CORRETOR: 17051 PERIODO: 01/09/2025 a 30/09/2025 TIPO DE FECHAMENTO: MENSAL META: 1,00 PERCENTUAL DE PREMIO: 0,25 PARAMETRO: Conforme parametro facta  ; Remetente - () Novo arquivo enviado: PLANILHADEBONUS-FACTAMICHELLE(1)_2025_09_19_15_32_16.xlsx;</t>
  </si>
  <si>
    <t>PARAMETRIZAR CAMPANHA BANCO - ID 7274</t>
  </si>
  <si>
    <t>19/09/2025 15:28:10</t>
  </si>
  <si>
    <t>7274</t>
  </si>
  <si>
    <t>PAN / INSS NOVO / TODAS AS TABELAS E PRAZOS</t>
  </si>
  <si>
    <t>18/09 A 30/09</t>
  </si>
  <si>
    <t>Remetente - () Boa tarde! CODIGO DO CORRETOR: 7274 PERIODO: 18/09 A 30/09 TIPO DE FECHAMENTO: MENSAL META: SEM META PERCENTUAL DE PREMIO: 0,20 PARAMETRO: PAN / INSS NOVO / TODAS AS TABELAS E PRAZOS ;</t>
  </si>
  <si>
    <t>PARAMETIRZAÇAO DE CAMPANHA - ID 17303</t>
  </si>
  <si>
    <t>19/09/2025 15:20:56</t>
  </si>
  <si>
    <t>17303</t>
  </si>
  <si>
    <t>1000</t>
  </si>
  <si>
    <t>Banco Quero Mais Cr?dito ? Todos os Produtos , com EXCE??O INSS ? Todos os Prazos ? Todos os conv?nios ? Todas as Tabelas</t>
  </si>
  <si>
    <t>1,9%</t>
  </si>
  <si>
    <t>Remetente - () Boa tarde! CODIGO DO CORRETOR: 17303 PERIODO: 01/09 A 30/09 TIPO DE FECHAMENTO: MENSAL META: 1000 PERCENTUAL DE PREMIO: 1,9% PARAMETRO: Banco Quero Mais Crédito ? Todos os Produtos , com EXCEÇÃO INSS ? Todos os Prazos ? Todos os convênios ? Todas as Tabelas ;</t>
  </si>
  <si>
    <t>19/09/2025 15:13:38</t>
  </si>
  <si>
    <t>14722</t>
  </si>
  <si>
    <t>10.000,00</t>
  </si>
  <si>
    <t>MERCANTIL ? PRODU??O DE FGTS</t>
  </si>
  <si>
    <t>Remetente - () Boa tarde@! CODIGO DO CORRETOR: 14722 PERIODO: 18/09 A 30/09 TIPO DE FECHAMENTO: MENSAL META: 10.000,00 PERCENTUAL DE PREMIO: 0,60% PARAMETRO: MERCANTIL ? PRODUÇÃO DE FGTS ;</t>
  </si>
  <si>
    <t>CAMPANHA BANCO FACTA l CÓDIGO 15516 l THAIS MELO</t>
  </si>
  <si>
    <t>19/09/2025 15:02:46</t>
  </si>
  <si>
    <t>15516</t>
  </si>
  <si>
    <t>Remetente - () Suporte, boa tarde! Gentileza cadastrar campanha solicitada pela Thais e de acordo do Danilo, segue planilha em anexo. CODIGO DO CORRETOR: 15516 PERIODO: 01/09/2025 a 30/09/2025 TIPO DE FECHAMENTO: MENSAL META: 1,00 PERCENTUAL DE PREMIO: 0,50 PARAMETRO: ( Conforme parametro facta ) ; Remetente - () Novo arquivo enviado: PLANILHADEBONUS-FACTASUBTAYLO_2025_09_19_15_02_46.xlsx;</t>
  </si>
  <si>
    <t>CAMPANHA BANCO FACTA l CÓDIGO 12732 l GC THAIS MELO</t>
  </si>
  <si>
    <t>19/09/2025 14:59:22</t>
  </si>
  <si>
    <t>12732</t>
  </si>
  <si>
    <t>Remetente - () Suporte, boa tarde! Gentileza cadastrar campanha solicitada pela Thais e de acordo do Danilo, segue planilha em anexo. CODIGO DO CORRETOR: 12732 PERIODO: 01/09/2025 a 30/09/2025 TIPO DE FECHAMENTO: MENSAL META: 1,00 PERCENTUAL DE PREMIO: 0,50 PARAMETRO: ( Conforme parametro facta ) ; Remetente - () Novo arquivo enviado: PLANILHADEBONUS-FACTAehe_2025_09_19_14_59_22.xlsx;</t>
  </si>
  <si>
    <t>CAMPANHA BANCO FACTA l CÓDIGO 11820 l GC THAIS MELO</t>
  </si>
  <si>
    <t>19/09/2025 14:53:25</t>
  </si>
  <si>
    <t>Conforme parametro?facta?)</t>
  </si>
  <si>
    <t>Remetente - () Suporte, boa tarde! Gentileza cadastrar campanha solicitada pela Thais e de acordo do Danilo, segue planilha em anexo. CODIGO DO CORRETOR: 11820 PERIODO: 01/09/2025 a 30/09/2025 TIPO DE FECHAMENTO: MENSAL META: 1,00 PERCENTUAL DE PREMIO: 0,75 PARAMETRO: Conforme parametro facta ) ; Remetente - () Novo arquivo enviado: PLANILHADEBONUS-FACTA_2025_09_19_14_53_25.xlsx;</t>
  </si>
  <si>
    <t>CAMPANHA BANCO FACTA l CÓDIGO 14034 l GC LARISSA SOBRAL</t>
  </si>
  <si>
    <t>19/09/2025 14:40:50</t>
  </si>
  <si>
    <t>Remetente - () Suporte, boa tarde! Gentileza cadastrar campanha enviada pela Larissa e de acordo do Danilo, segue planilha em anexo. CODIGO DO CORRETOR: 14034 PERIODO: 01/09/2025 a 30/09/2025 TIPO DE FECHAMENTO: MENSAL META: SEM META PERCENTUAL DE PREMIO: 0,50% PARAMETRO: NAS TABELAS QUE É NOS REPASSADO O BONUS ; Remetente - () Novo arquivo enviado: BONUSFACTACARLAFABIANA_2025_09_19_14_40_50.xlsx;</t>
  </si>
  <si>
    <t>CAMPANHA BANCO FACTA l CÓDIGO 15421 l GC LARISSA SOBRAL</t>
  </si>
  <si>
    <t>19/09/2025 14:31:38</t>
  </si>
  <si>
    <t>Remetente - () Suporte, boa tarde! Gentileza cadastrar campanha solicitada pela Larissa e de acordo do Danilo, segue planilha em anexo. CODIGO DO CORRETOR: 15421 PERIODO: 01/09/2025 a 30/09/2025 TIPO DE FECHAMENTO: MENSAL META: SEM META PERCENTUAL DE PREMIO: 0,30% PARAMETRO: NAS TABELAS QUE É NOS REPASSADO O BONUS ; Remetente - () Novo arquivo enviado: BONUSFACTAMIKELY(1)_2025_09_19_14_31_38.xlsx;</t>
  </si>
  <si>
    <t>CAMPANHA FACTA l CÓDIGO 15564 l GC LARISSA SOBRAL</t>
  </si>
  <si>
    <t>19/09/2025 14:16:19</t>
  </si>
  <si>
    <t>15564</t>
  </si>
  <si>
    <t>Remetente - () Suporte, boa tarde! Gentileza cadastrar campanha solicitada pela Larissa e de acordo do Danilo, segue planilha em anexo. CODIGO DO CORRETOR: 15564 PERIODO: 01/09/2025 a 30/09/2025 TIPO DE FECHAMENTO: MENSAL META: SEM META PERCENTUAL DE PREMIO: 0,50% PARAMETRO: NAS TABELAS QUE É NOS REPASSADO O BONUS ; Remetente - () Novo arquivo enviado: BONUSFACTAFERNANDA(1)_2025_09_19_14_16_19.xlsx;</t>
  </si>
  <si>
    <t>CAMPANHA BANCO FACTA l CÓDIGO 16783 l GC LARISSA SOBRAL</t>
  </si>
  <si>
    <t>19/09/2025 14:12:38</t>
  </si>
  <si>
    <t>16783</t>
  </si>
  <si>
    <t>Remetente - () Suporte, boa tarde! Gentileza parametrizar campanha solicitada pela Larissa e de acordo do Danilo, segue planilha em anexo. CODIGO DO CORRETOR: 16783 PERIODO: 01/09/2025 a 30/09/2025 TIPO DE FECHAMENTO: MENSAL META: SEM META PERCENTUAL DE PREMIO: 0,50% PARAMETRO: NAS TABELAS QUE É NOS REPASSADO O BONUS ; Remetente - () Novo arquivo enviado: BONUSFACTAANICHAVES_2025_09_19_14_12_38.xlsx;</t>
  </si>
  <si>
    <t>CAMPANHA BANCO FACTA l CÓDIGO 13932 l GC LARISSA SOBRAL</t>
  </si>
  <si>
    <t>19/09/2025 14:08:07</t>
  </si>
  <si>
    <t>13932</t>
  </si>
  <si>
    <t>Remetente - () Suporte, boa tarde! Gentileza cadastrar campanha enviada pela Larissa e de acordo do Danilo, segue planilha em anexo. CODIGO DO CORRETOR: 13932 PERIODO: 01/09/2025 a 30/09/2025 TIPO DE FECHAMENTO: MENSAL META: SEM META PERCENTUAL DE PREMIO: 0,50% PARAMETRO: NAS TABELAS QUE É NOS REPASSADO O BONUS ; Remetente - () Novo arquivo enviado: BONUSFACTAELIANA(2)_2025_09_19_14_08_07.xlsx;</t>
  </si>
  <si>
    <t>18247 (C HENRIQUE MILFONT) I BANCO PAN</t>
  </si>
  <si>
    <t>19/09/2025 12:53:32</t>
  </si>
  <si>
    <t>18/09/2025 17:29:40</t>
  </si>
  <si>
    <t>18247 (C HENRIQUE MILFONT)</t>
  </si>
  <si>
    <t>Remetente - () Prezados(a), boa tarde ! Suporte, gentileza parametrizar conforme solicitado abaixo: 18247 (C HENRIQUE MILFONT) 01.09 30.09 MENSAL SEM META 2,00% PAN CONVÊNIOS PÚBLICOS - TODOS OS PRODUTOS (EXCETO INSS, FGTS E SIAPE) 18247 (C HENRIQUE MILFONT) 01.09 30.09 MENSAL SEM META 0,50% PAN CASCATA - FGTS E RFN INSS 18247 (C HENRIQUE MILFONT) 01.09 30.09 MENSAL SEM META 0,50% PAN BÔNUS CARTÃO COM SAQUE 18247 (C HENRIQUE MILFONT) 01.09 30.09 MENSAL SEM META 0,50% PAN FIDELIZA - CLT E FGTS 18247 (C HENRIQUE MILFONT) 01.09 30.09 MENSAL SEM META 2,75% PAN SAQUE COMPLEMENTAR - TODOS OS PRODUTOS DE CARTÃO 18247 (C HENRIQUE MILFONT) 01.09 30.09 MENSAL SEM META 0,20% PAN PRODUÇÃO GERAL (EXCETO INSS) CODIGO DO CORRETOR: 18247 (C HENRIQUE MILFONT) PERIODO: 01/09 À 30/09 TIPO DE FECHAMENTO: MENSAL META: SEM META PERCENTUAL DE PREMIO: DIVERSOS PARAMETRO: DIVERSOS ; Remetente - ()  CONSIDERAR ESTE: 18247 (C HENRIQUE MILFONT) 01.09 30.09 MENSAL SEM META 2,00% PAN CONVÊNIOS PÚBLICOS - TODOS OS PRODUTOS (EXCETO INSS, FGTS E SIAPE) 18247 (C HENRIQUE MILFONT) 01.09 30.09 MENSAL SEM META 0,50% PAN CASCATA - FGTS E RFN INSS 18247 (C HENRIQUE MILFONT) 01.09 30.09 MENSAL SEM META 0,50% PAN BÔNUS CARTÃO COM SAQUE 18247 (C HENRIQUE MILFONT) 01.09 30.09 MENSAL SEM META 0,50% PAN FIDELIZA - CLT E FGTS 18247 (C HENRIQUE MILFONT) 01.09 30.09 MENSAL SEM META 2,75% PAN SAQUE COMPLEMENTAR - TODOS OS PRODUTOS DE CARTÃO 18247 (C HENRIQUE MILFONT) 01.09 30.09 MENSAL SEM META 0,20% PAN PRODUÇÃO GERAL ;</t>
  </si>
  <si>
    <t>CAMPANHA MEUCREDBANK I 13113</t>
  </si>
  <si>
    <t>19/09/2025 12:41:37</t>
  </si>
  <si>
    <t>13113</t>
  </si>
  <si>
    <t>Remetente - () Prezados(a), boa tarde ! Gentileza parametrizar campanha abaixo conforme solicitado pelo diretor Danilo FErreira. 0,70% TODA PRODUÇÃO INSS e cartoes EXCETO AS TABELAS - MEU CREDBANK - INSS - MEU CREDBANK - INSS - FP - NORMAL - TX 1,85MEU CREDBANK - INSS - MEU CREDBANK - INSS - FP - SEGURO - TX 1,85 1,20% TODA PRODUÇAO DE FGTS CODIGO DO CORRETOR: 13113 PERIODO: 01/09 À 30/09 TIPO DE FECHAMENTO: MENSAL META: SEM META PERCENTUAL DE PREMIO: DIVERSOS PARAMETRO: DIVERSOS ;</t>
  </si>
  <si>
    <t>CAMPANHA BANCO FACTA I 13113</t>
  </si>
  <si>
    <t>19/09/2025 12:39:35</t>
  </si>
  <si>
    <t>Remetente - () Prezados(a), boa tarde ! Gentileza parametrizar campanha conforme solicitado pelo diretor Danilo Ferreira. CODIGO DO CORRETOR: 13113 PERIODO: 01/09 À 30/09 TIPO DE FECHAMENTO: MENSAL META: SEM META PERCENTUAL DE PREMIO: 0,75% PARAMETRO: CONFORME REGRAS FACTA ;</t>
  </si>
  <si>
    <t>CAMPANHA BANCO DIGIO I 7734</t>
  </si>
  <si>
    <t>19/09/2025 11:13:06</t>
  </si>
  <si>
    <t>7734</t>
  </si>
  <si>
    <t>Remetente - () Prezados(a), bom dia ! Gentileza parametrizar conforme solicitado pelo diretor Vitor Melo: SUB - C.MARCIA - VIA CRED 7734 1/set 30/set MENSAL 0,50% DIGIO - TODAS AS OPERAÇÕES, TABELAS E PRAZOS SUB - C.MARCIA - VIA CRED 7734 1/set 30/set MENSAL 0,20% DIGIO - TODAS AS OPERAÇÕES, TABELAS E PRAZOS CODIGO DO CORRETOR: 7734 PERIODO: 01/09 À 30/09 TIPO DE FECHAMENTO: MENSAL META: SEM META PERCENTUAL DE PREMIO: DIVERSOS PARAMETRO: DIVERSOS ;</t>
  </si>
  <si>
    <t>CAMPANHA BANCO BMG I 16130 - LM PROMTOORA</t>
  </si>
  <si>
    <t>19/09/2025 10:04:29</t>
  </si>
  <si>
    <t>16130 - LM PROMTOORA</t>
  </si>
  <si>
    <t>Remetente - () Prezados(a), boa tarde ! Gentileza parametrizar campanha abaixo solicitada pelo diretor André Medeiros: 16130 - LM PROMTOORA BMG CDB TODOS 0,75% REMUNERAR TODOS OS PRODUTOS CONFORME O BANCO REMUNERA , COM EXCEÇÃO DAS OPERAÇOES DE INSS MARGEM LIVRE 16130 - LM PROMTOORA BMG NÃO INDICADO TODOS ( EXCETO FGTS 0,25% REMUNERAR TODOS OS PRODUTOS DE EMPRESTIMO CONFORME O BANCO REMUNERA , COM EXCEÇÃO DAS OPERAÇOES DE INSS MARGEM LIVRE 16130 - LM PROMTOORA BMG DESAFIO SIAPE NOVO E REFIN 0,65% REMUNERAR TODOS OS PRODUTOS CONFORME O BANCO REMUNERA 16130 - LM PROMTOORA BMG DESAFIO OUTROS CONVÊNIOS TODOS ( EXCETO FGTS, INSS, SIAPE) 1,25% REMUNERAR TODOS OS PRODUTOS CONFORME O BANCO REMUNERA 16130 - LM PROMTOORA BMG DESAFIO BONUS FGTS + TAC FGTS 2,75% TODOS ( SOMENTTE CONTRATOS NOVOS QUE TEM A TAC( QUE NÃO SÃO DE RESAQUE) 16130 - LM PROMTOORA BMG GARANTIDO FGTS 0,75% PRODUÇÃO GERAL BANCO CODIGO DO CORRETOR: 16130 - LM PROMTOORA PERIODO: 01/09 À 30/09 TIPO DE FECHAMENTO: MENSAL META: SEM META PERCENTUAL DE PREMIO: DIVERSOS PARAMETRO: DIVERSOS ;</t>
  </si>
  <si>
    <t>PARAMETRIZAR CAMPANHA - ID: 14496</t>
  </si>
  <si>
    <t>19/09/2025 09:55:55</t>
  </si>
  <si>
    <t>14496</t>
  </si>
  <si>
    <t>TODA A PRODU??O, EXCETO BANCO FACTA E DESCONSIDERAR TAMBEM OPERA??ES DE PROTABILIDADE E REFIN DE PORT</t>
  </si>
  <si>
    <t>Remetente - () Bom dia! Favor parametrizar campanha. CODIGO DO CORRETOR: 14496 PERIODO: 01/09/2025 a 30/09/2025 TIPO DE FECHAMENTO: MENSAL META: 50.000,00 PERCENTUAL DE PREMIO: 0,20% PARAMETRO: TODA A PRODUÇÃO, EXCETO BANCO FACTA E DESCONSIDERAR TAMBEM OPERAÇÕES DE PROTABILIDADE E REFIN DE PORT ;</t>
  </si>
  <si>
    <t>PARAMETRIZAR CAMPANHA - ID: 3489</t>
  </si>
  <si>
    <t>19/09/2025 09:34:43</t>
  </si>
  <si>
    <t>3489</t>
  </si>
  <si>
    <t>Remetente - () Bom dia! Favor parametrizar campanha conforme abaixo. banco facta - toda produção conforme regra, desconsiderar produtos clt - bonus de 0,50% BANCO DAYCOVAL - TABELAS ONDE RECEBEMOS BONUS - TODOS OS CONVENIOS - repassar 95% do bonuS QUE RECEBEMOS, PARCEIRO NA emp100 CODIGO DO CORRETOR: 3489 PERIODO: 01/09/2025 a 30/09/2025 TIPO DE FECHAMENTO: MENSAL META: SEM META PERCENTUAL DE PREMIO: CONFORME DESCRIÇÃO PARAMETRO: CONFORME DESCRIÇÃO ;</t>
  </si>
  <si>
    <t>PARAMETRIZAR CAMPANHA - ID 15908</t>
  </si>
  <si>
    <t>19/09/2025 09:30:42</t>
  </si>
  <si>
    <t>15908</t>
  </si>
  <si>
    <t>Remetente - () BOM DIA! CAMPANHA 1; BANCO VCTEX - META 1000 - BONIFICAÇÃO 1,00% - PARAMETRO SOBRE TODA PRODUÇÃO VCTEX CAMPANHA 2: BANCO FACTA - META 1000 - BONIFICAÇÃO 0,75 - PARAMETRO SOBRE TODA PRODUÇÃO FACTA CODIGO DO CORRETOR: 15908 PERIODO: 01/09 A 30/09 TIPO DE FECHAMENTO: MENSAL META: DESCRIÇAO PERCENTUAL DE PREMIO: DESCRIÇÃO PARAMETRO: DESCRIÇAO ;</t>
  </si>
  <si>
    <t>PARAMETRIZAR CAMPANHA - ID: 15503</t>
  </si>
  <si>
    <t>19/09/2025 09:26:47</t>
  </si>
  <si>
    <t>presen?a bank - toda produ??o - convenio inss</t>
  </si>
  <si>
    <t>Remetente - () bom dia! Favor parametrizar. CODIGO DO CORRETOR: 15503 PERIODO: 01/09/2025 a 30/09/2025 TIPO DE FECHAMENTO: MENSAL META: SEM META PERCENTUAL DE PREMIO: 0,75% PARAMETRO: presença bank - toda produção - convenio inss ;</t>
  </si>
  <si>
    <t>PARAMETRIZAR CAMPANHA - ID: 7274</t>
  </si>
  <si>
    <t>19/09/2025 09:22:34</t>
  </si>
  <si>
    <t>Remetente - () Prezados, bom dia! Favor parametrizar campanha conforme abaixo. BANCO C6 - TODA PRODUÇÃO - BONUS 0,20% MEUCREDBANK / INSS / TODAS TABELAS E PRAZOS COM SEGURO - BONUS 0,50% MEUCREDBANK / INSS / REFIN DE PORT BONUS DE 0,25% CODIGO DO CORRETOR: 7274 PERIODO: 01/09/2025 a 30/09/2025 TIPO DE FECHAMENTO: MENSAL META: SEM META PERCENTUAL DE PREMIO: CONFORME DESCRIÇÃO PARAMETRO: CONFORME DESCRIÇÃO ;</t>
  </si>
  <si>
    <t>PARAMETRIZAR CAMPANHA - ID: 14399</t>
  </si>
  <si>
    <t>19/09/2025 09:17:01</t>
  </si>
  <si>
    <t>14399</t>
  </si>
  <si>
    <t>Remetente - () Bom dia! Favor parametrizar campaha conforme abaixo. CASH CARD - TODA PRODUÇÃO DO CONVENIO PREFEITURA DE NATAL - 75% DE BONUS ( PARCEIRO NA EMP100, NESTE CASO VAMOS REPASSAR 75% DO BONUS QUE RCEBEMOS, SOMENTE NAS TABELAS QUE POSSUEM ESTE BONUS) CASH CARD - TODA PRODUÇÃO CONVENIO PREF DE NATAL - BONUS DE 0,30% CODIGO DO CORRETOR: 14399 PERIODO: 01/09/2025 a 30/09/2025 TIPO DE FECHAMENTO: MENSAL META: SEM META PERCENTUAL DE PREMIO: CONFORME DESCRIÇÃO PARAMETRO: CONFORME DESCRIÇÃO ;</t>
  </si>
  <si>
    <t>PARAMETRIZAR CAMPANHA - ID: 17303</t>
  </si>
  <si>
    <t>19/09/2025 09:12:38</t>
  </si>
  <si>
    <t>Remetente - () Bom dia! Favor parametrizar campanha conforme abaixo. Banco Amigoz ? Todos os Produtos ? Todos os Prazos ? Todos os convênios ? Todas as Tabelas - bonus 1,25% Banco Master ? Todos os Produtos ? Todos os Prazos ? Todos os convênios  ? Todas as Tabelas - bonus 2,00% Banco Quero Mais Crédito ? Todos os Produtos ? Todos os Prazos ? Todos os convênios ? Todas as Tabelas - bonus 1,90% BANCO CAPITAL CONSIG- RMC e RCC -  todas as tabelas e prazos desses produtos - bonus 1,50% BANCO CAPITAL CONSIG -  todas as tabelas, todos os prazos e todos os produtos - exceto cartoes - bonus 0,20% Daycoval ? Todos os Produtos ? Todos os Prazos ? Todos os convênios ? Todas as Tabelas - bonus 1,25% BMG - INSS - Cartão e Cartão Beneficio - Todas as tabelas de Cartão com Saque - bonus 0,50% BANCO PAN INSS / FGTS E REFIN ( DESCONSIDERAR TABELAS DE INVALIDEZ ) - bonus CASCATA 0,25% BANCO PAN - CONVÊNIOS PÚBLICOS TODAS AS TABELAS - bonus 1,75% BANCO PAN - SAQUE COMPLEMENTAR TODOS OS CONVÊNIOS bonus de 2,50% BANCO PAN - CARTÃO COM SAQUE - todos produtos - bonus 0,50% BANCO PAN - FGTS, CLT E INSS COM EXCEÇÃO DO NOVO - bonus FIDELIZA 0,25% banco facta - toda produção(conforme regra) - bonus 0,75% MEU CREDBANK - INSS - FP - SEGURO PLUS - TAXA 1,80 - TODOS OS PRAZOS MEU CREDBANK - INSS - FP - SEGURO - TX 1,80 -  TO - bonus 1,20% CODIGO DO CORRETOR: 17303 PERIODO: 01/09/2025 a 30/09/2025 TIPO DE FECHAMENTO: MENSAL META: SEM META PERCENTUAL DE PREMIO: CONFORME DESCRIÇÃO PARAMETRO: CONFORME DESCRIÇÃO ;</t>
  </si>
  <si>
    <t>14135 (DR COUTINHO) I BANCO C6</t>
  </si>
  <si>
    <t>18/09/2025 17:27:59</t>
  </si>
  <si>
    <t>14135 (DR COUTINHO)</t>
  </si>
  <si>
    <t>PRODU??O GERAL DO PRODUTO (PORTABILIDADE E REFIN/PORT)</t>
  </si>
  <si>
    <t>Remetente - () Prezados(a), boa tarde! Gentileza parametrizar campanha conforme solicitado pela GC Michaele e acordada pelo diretor André Medeiros. CODIGO DO CORRETOR: 14135 (DR COUTINHO) PERIODO: 01/09 À 30/09 TIPO DE FECHAMENTO: MENSAL META: SEM META PERCENTUAL DE PREMIO: 0,20% PARAMETRO: PRODUÇÃO GERAL DO PRODUTO (PORTABILIDADE E REFIN/PORT) ;</t>
  </si>
  <si>
    <t>17892 (LHB) I AMIGOZ</t>
  </si>
  <si>
    <t>18/09/2025 17:23:15</t>
  </si>
  <si>
    <t>17892</t>
  </si>
  <si>
    <t>PRODU??O GERAL BANCO</t>
  </si>
  <si>
    <t>3,70%</t>
  </si>
  <si>
    <t>Remetente - () Prezados(a), boa tarde! Suporte, gentileza parametrizar campanha conforme solicitado pela GC Michaelle e acordado pelo diretor André Medeiros. CODIGO DO CORRETOR: 17892 PERIODO: 01/09 À 30/09 TIPO DE FECHAMENTO: MENSAL META: SEM META PERCENTUAL DE PREMIO: 3,70% PARAMETRO: PRODUÇÃO GERAL BANCO ;</t>
  </si>
  <si>
    <t>18/09/2025 17:23:10</t>
  </si>
  <si>
    <t>18/09/2025 17:22:55</t>
  </si>
  <si>
    <t>CAMPANHA 12800 I TODOS OS BANCOS</t>
  </si>
  <si>
    <t>18/09/2025 17:11:44</t>
  </si>
  <si>
    <t>12800</t>
  </si>
  <si>
    <t>PRODU??O DE TODOS OS BANCOS (PRODU??O C?DIGO 12800)</t>
  </si>
  <si>
    <t>Remetente - () Prezados(a), boa tarde ! Suporte, gentileza parametrizar campanha conforme solicitado pela GC Michaelle e acordado pelo diretor Danilo Ferreira. CODIGO DO CORRETOR: 12800 PERIODO: 01/09 À 30/09 TIPO DE FECHAMENTO: MENSAL META: SEM META PERCENTUAL DE PREMIO: 0,20% PARAMETRO: PRODUÇÃO DE TODOS OS BANCOS (PRODUÇÃO CÓDIGO 12800) ;</t>
  </si>
  <si>
    <t>12800 (ACB FONSECA) I BANDO FACTA</t>
  </si>
  <si>
    <t>18/09/2025 17:09:39</t>
  </si>
  <si>
    <t>12800 (ACB FONSECA)</t>
  </si>
  <si>
    <t>Remetente - () Prezados(a), boa tarde! Gentileza parametrizar campanha conforme solicitado pela GC Michaele e acordado pelo diretor André Medeiros. CODIGO DO CORRETOR: 12800 (ACB FONSECA) PERIODO: 01/09 À 30/09 TIPO DE FECHAMENTO: MENSAL META: SEM META PERCENTUAL DE PREMIO: 0,75% PARAMETRO: CONFORME REGRAS FACTA ;</t>
  </si>
  <si>
    <t>12986 (SUB IDEIA PROMOTORA) I VCTEX</t>
  </si>
  <si>
    <t>18/09/2025 15:59:03</t>
  </si>
  <si>
    <t>12986 (SUB IDEIA PROMOTORA)</t>
  </si>
  <si>
    <t>Remetente - () Prezados(a), boa tarde! Gentileza parametrizar conforme solicitado pela GC Michaelle e acordado pelo diretor André Medeiros. CODIGO DO CORRETOR: 12986 (SUB IDEIA PROMOTORA) PERIODO: 01/09 À 30/09 TIPO DE FECHAMENTO: MENSAL META: SEM META PERCENTUAL DE PREMIO: 0,20% PARAMETRO: PRODUÇÃO GERAL BANCO ;</t>
  </si>
  <si>
    <t>9566 (FB NEGÓCIOS) I BANCO BMG</t>
  </si>
  <si>
    <t>18/09/2025 15:55:49</t>
  </si>
  <si>
    <t>9566</t>
  </si>
  <si>
    <t>INSS - NOVO - 96X</t>
  </si>
  <si>
    <t>Remetente - () Prezados(a), boa tarde! Gentileza parametrizar conforme solicitado pela GC Michaelle e acordado pelo diretor André Medeiros. CODIGO DO CORRETOR: 9566 PERIODO: 01/09 À 30/09 TIPO DE FECHAMENTO: MENSAL META: SEM META PERCENTUAL DE PREMIO: 0,30% PARAMETRO: INSS - NOVO - 96X ;</t>
  </si>
  <si>
    <t>9566 (FB NEGÓCIOS) I BANCO C6</t>
  </si>
  <si>
    <t>18/09/2025 15:52:01</t>
  </si>
  <si>
    <t>PRODU??O GERAL BANCO (EXCETO CAR EQUITY E CLT)</t>
  </si>
  <si>
    <t>Remetente - () Prezados(a), boa tarde! Gentileza parametrizar campanha conforme solicitado pela GC Michaelle e acordado pelo diretor André Medeiros. CODIGO DO CORRETOR: 9566 PERIODO: 01/09 À 30/09 TIPO DE FECHAMENTO: MENSAL META: SEM META PERCENTUAL DE PREMIO: 0,20% PARAMETRO: PRODUÇÃO GERAL BANCO (EXCETO CAR EQUITY E CLT) ;</t>
  </si>
  <si>
    <t>PARAMETRIZAR CAMPANHA - PARCEIROS ID: 8968 E 18091</t>
  </si>
  <si>
    <t>18/09/2025 15:42:32</t>
  </si>
  <si>
    <t>Remetente - () Boa tarde! Favor parametrizar campanha abaixo para os codigos ID: 8968 e 1801. obs: é a mesma campanha porem para codigos diferentes. BANCO C6 - INSS - NOVO EXCETO TABELAS COM SEGURO - BONUS DE 0,20%. BANCO BMG - INSS - NOVO EXCETO TABELAS COM SEGURO - BONUS DE 0,25%. CODIGO DO CORRETOR: CONFORME DESCRIÇÃO PERIODO: 01/09/2025 a 30/09/2025 TIPO DE FECHAMENTO: MENSAL META: SEM META PERCENTUAL DE PREMIO: CONFORME DESCRIÇÃO PARAMETRO: CONFORME DESCRIÇÃO ;</t>
  </si>
  <si>
    <t>CAMPANHA BANCO QUERO + I 9566 (FB NEGÓCIOS)</t>
  </si>
  <si>
    <t>18/09/2025 15:26:12</t>
  </si>
  <si>
    <t>Remetente - () Prezados(a), boa tarde ! Gentileza parametrizar campanha conforme solicitado pela GC Michaele e autorizado pelo diretor André Medeiros. CODIGO DO CORRETOR: 9566 PERIODO: 01/09 À 30/09 TIPO DE FECHAMENTO: MENSAL META: SEM META PERCENTUAL DE PREMIO: 1,50% PARAMETRO: PRODUÇÃO GERAL BANCO ;</t>
  </si>
  <si>
    <t>CAMPANHA BANCO QUERO + I 17031 (NEXT LEVEL)</t>
  </si>
  <si>
    <t>18/09/2025 15:24:09</t>
  </si>
  <si>
    <t>Remetente - () Prezados(a), boa tarde! Gentileza parametrizar conforme solicitado pela GC Michaele e acordado pelo diretor André Medeiros. CODIGO DO CORRETOR: 17031 PERIODO: 01/09 À 30/09 TIPO DE FECHAMENTO: MENSAL META: SEM META PERCENTUAL DE PREMIO: 0,40% PARAMETRO: PRODUÇÃO GERAL BANCO ;</t>
  </si>
  <si>
    <t>CAMPANHA VCTEX I 12986 (SUB IDEIA SOLUÇÕES)</t>
  </si>
  <si>
    <t>18/09/2025 15:22:54</t>
  </si>
  <si>
    <t>12986</t>
  </si>
  <si>
    <t>Remetente - () Prezados(a), boa tarde ! Suporte, gentileza parametrizar campanha conforme solicitado pela GC Michaele e autorizado pelo diretor André Medeiros. CODIGO DO CORRETOR: 12986 PERIODO: 01/09 À 30/09 TIPO DE FECHAMENTO: MENSAL META: SEM META PERCENTUAL DE PREMIO: 0,20% PARAMETRO: PRODUÇÃO GERAL BANCO ;</t>
  </si>
  <si>
    <t>13470 CAMPANHA BANCO FACTA</t>
  </si>
  <si>
    <t>18/09/2025 15:20:55</t>
  </si>
  <si>
    <t>13470</t>
  </si>
  <si>
    <t>0,15%</t>
  </si>
  <si>
    <t>Remetente - () Prezados(a), boa tarde ! Gentileza parametrizar conforme solicitado pela GC Michaele e acordado pelo diretor André Medeiros. CODIGO DO CORRETOR: 13470 PERIODO: 01/09 À 30/09 TIPO DE FECHAMENTO: MENSAL META: SEM META PERCENTUAL DE PREMIO: 0,15% PARAMETRO: CONFORME REGRAS FACTA ;</t>
  </si>
  <si>
    <t>CAMPANHA BANCO C6 I 17188 (M R FERREIRA)</t>
  </si>
  <si>
    <t>18/09/2025 15:18:40</t>
  </si>
  <si>
    <t>17188</t>
  </si>
  <si>
    <t>Remetente - () Gentileza parametrizar campanha conforme solicitado pela GC Michaele e acordada pelo diretor André Medeiros. CODIGO DO CORRETOR: 17188 PERIODO: 01/09 À 30/09 TIPO DE FECHAMENTO: MENSAL META: SEM META PERCENTUAL DE PREMIO: 0,20% PARAMETRO: PRODUÇÃO GERAL BANCO ;</t>
  </si>
  <si>
    <t>CAMPANHA BANCO C6 13249 (SUB J.A.)</t>
  </si>
  <si>
    <t>18/09/2025 15:13:11</t>
  </si>
  <si>
    <t>13249</t>
  </si>
  <si>
    <t>PRODU??O GERAL</t>
  </si>
  <si>
    <t>Remetente - () Prezados(a), boa tarde! Gentileza parametrizar campanha conforme solicitado pela GC Michaele e acordado pelo diretor André Medeiros. 13249 (SUB J.A.) 01.09 30.09 MENSAL SEM META 0,20% C6 PRODUÇÃO GERAL BANCO CODIGO DO CORRETOR: 13249 PERIODO: 01/09 À 30/09 TIPO DE FECHAMENTO: MENSAL META: SEM META PERCENTUAL DE PREMIO: 0,20% PARAMETRO: PRODUÇÃO GERAL ; Remetente - () Novo arquivo enviado: 13249(SUBJ_2025_09_18_15_13_11.xlsx;</t>
  </si>
  <si>
    <t>PARAMETRIZAR CAMPANHA 13249 I J.A.</t>
  </si>
  <si>
    <t>18/09/2025 15:06:09</t>
  </si>
  <si>
    <t>Remetente - () Prezados(a), boa tarde ! Gentileza parametrizar campanha BANCO PAN conforme solicitado abaixo: 13249 (SUB J.A.) 01.09 30.09 MENSAL SEM META 2,00% PAN CONVÊNIOS PÚBLICOS - TODOS OS PRODUTOS (EXCETO INSS, FGTS E SIAPE) 13249 (SUB J.A.) 01.09 30.09 MENSAL SEM META 0,50% PAN CASCATA - FGTS E RFN INSS 13249 (SUB J.A.) 01.09 30.09 MENSAL SEM META 0,50% PAN BÔNUS CARTÃO COM SAQUE 13249 (SUB J.A.) 01.09 30.09 MENSAL SEM META 0,50% PAN FIDELIZA - CLT E FGTS 13249 (SUB J.A.) 01.09 30.09 MENSAL SEM META 2,75% PAN SAQUE COMPLEMENTAR - TODOS OS CONVÊNIOS (PRODUTOS DE CARTÃO) 13249 (SUB J.A.) 01.09 30.09 MENSAL SEM META 0,20% PAN TODOS OS PRODUTOS CONVÊNIOS/PRODUTOS (EXCETO INSS NOVO) OBS: Planilha em anexo. CODIGO DO CORRETOR: 13249 PERIODO: 01/09 À 30/09 TIPO DE FECHAMENTO: MENSAL META: SEM META PERCENTUAL DE PREMIO: DIVERSOS PARAMETRO: DIVERSOS ; Remetente - () Novo arquivo enviado: 13249(SUBJ_2025_09_18_15_06_09.xlsx;</t>
  </si>
  <si>
    <t>CAMPANHA BANCO DIGIO I 6922</t>
  </si>
  <si>
    <t>18/09/2025 14:20:43</t>
  </si>
  <si>
    <t>6922</t>
  </si>
  <si>
    <t>PRODU??O GERAL BANCO DIGIO</t>
  </si>
  <si>
    <t>Remetente - () Prezados(a), boa tarde ! Gentileza parametrizar campanha banco Digio conforme solicitado pela GR Silvana e autorizada pelo diretor Vitor Melo. CODIGO DO CORRETOR: 6922 PERIODO: 01/09 À 30/09 TIPO DE FECHAMENTO: MENSAL META: SEM META PERCENTUAL DE PREMIO: 0,50% PARAMETRO: PRODUÇÃO GERAL BANCO DIGIO ;</t>
  </si>
  <si>
    <t>PARAMETRIZAR CAMPANHA - ID 16754</t>
  </si>
  <si>
    <t>18/09/2025 13:26:04</t>
  </si>
  <si>
    <t>16754</t>
  </si>
  <si>
    <t>Remetente - () BOA TARDE! CAMPANHA 1: BANCO AMIGOZ - BONIFICAÇÃO 1% -PARAMETRO: Bonus pago em cima da produção do AMIGOZ todo os convenios( exceto os convenios: Prefeitura de Juiz de Fora, TJMG e Prefeitura de Recife.) CAMPANHA 2: BANCO DIGIO - BONIFICAÇÃO 0,15% - PARAMETRO: Bonus pago em cima da produção do Digio todos os convenios (Contratos novos) CODIGO DO CORRETOR: 16754 PERIODO: 01/09 A 30/09 TIPO DE FECHAMENTO: MENSAL META: SEM META PERCENTUAL DE PREMIO: DESCRIÇÃO PARAMETRO: DESCRIÇAO ;</t>
  </si>
  <si>
    <t>PARAMETRIZAR CAMPANHA - ID: 18355</t>
  </si>
  <si>
    <t>18/09/2025 12:33:46</t>
  </si>
  <si>
    <t>18355</t>
  </si>
  <si>
    <t>CONTRATO NOVO - INSS - BANCO BMG - EXCETO TABELAS QUE POSSUEM SEGURO</t>
  </si>
  <si>
    <t>0,35%</t>
  </si>
  <si>
    <t>Remetente - () Prezados, boa tarde! Favor parametrizar campanha. CODIGO DO CORRETOR: 18355 PERIODO: 01/09/2025 a 30/09/2025 TIPO DE FECHAMENTO: MENSAL META: SEM META PERCENTUAL DE PREMIO: 0,35% PARAMETRO: CONTRATO NOVO - INSS - BANCO BMG - EXCETO TABELAS QUE POSSUEM SEGURO ;</t>
  </si>
  <si>
    <t>PARAMETRIZAR CAMPANHA - ID: 13346</t>
  </si>
  <si>
    <t>18/09/2025 10:31:31</t>
  </si>
  <si>
    <t>13346</t>
  </si>
  <si>
    <t>Remetente - () Bom dia! Favor parametrizar campanha conforme abaixo. BANCO C6 - INSS - NOVO - BONUS DE 0,15% BANCO BMG - INSS NOVO - BONUS DE 0,20% CODIGO DO CORRETOR: 13346 PERIODO: 01/09/2025 a 30/09/2025 TIPO DE FECHAMENTO: MENSAL META: SEM META PERCENTUAL DE PREMIO: CONFORME DESCRIÇÃO PARAMETRO: CONFORME DESCRIÇÃO ;</t>
  </si>
  <si>
    <t>PARAMETRIZAR CAMPANHA - ID: 7694</t>
  </si>
  <si>
    <t>18/09/2025 10:18:37</t>
  </si>
  <si>
    <t>7694</t>
  </si>
  <si>
    <t>Remetente - () Bom dia! Favor parametrizar campanha conforme abaixo. BANCO DIGIO - BONUS DE 0,50% SOBRE TODA PRODUÇÃO BANCO FACTA - BONUS DE 0,50% SOBRE TODA PRODUÇÃO CODIGO DO CORRETOR: 7694 PERIODO: 01/09/2025 a 30/09/2025 TIPO DE FECHAMENTO: MENSAL META: SEM META PERCENTUAL DE PREMIO: CONFORME DESCRIÇÃO PARAMETRO: CONFORME DESCRIÇÃO ;</t>
  </si>
  <si>
    <t>PARAMETRIZAR CAMPANHA - ID: 2619</t>
  </si>
  <si>
    <t>18/09/2025 10:07:03</t>
  </si>
  <si>
    <t>2619</t>
  </si>
  <si>
    <t>TODA PRODU??O VCTEX</t>
  </si>
  <si>
    <t>Remetente - () Bom dia! Favor parametrizar campanha. CODIGO DO CORRETOR: 2619 PERIODO: 01/09/2025 a 30/09/2025 TIPO DE FECHAMENTO: MENSAL META: SEM META PERCENTUAL DE PREMIO: 1% PARAMETRO: TODA PRODUÇÃO VCTEX ;</t>
  </si>
  <si>
    <t>CAMPANHA SETEMBRO I 4511 /15867 I</t>
  </si>
  <si>
    <t>18/09/2025 10:03:23</t>
  </si>
  <si>
    <t>4511 /15867</t>
  </si>
  <si>
    <t>BONUS SOBRE TODA PRODU??O</t>
  </si>
  <si>
    <t>Remetente - () Bom dia ! Gentileza parametrizar conforme solicitado. BONUS SOBRE TODA PRODUÇÃO O crédito deverá ser lançado no codigo 4511. CODIGO DO CORRETOR: 4511 /15867 PERIODO: 01/09 A 30/09 TIPO DE FECHAMENTO: MENSAL META: SEM META PERCENTUAL DE PREMIO: 0,25 PARAMETRO: BONUS SOBRE TODA PRODUÇÃO ;</t>
  </si>
  <si>
    <t>CAMPANHA SETEMBRO I COD 10940 I BANCO FACTA</t>
  </si>
  <si>
    <t>18/09/2025 09:52:40</t>
  </si>
  <si>
    <t>10940</t>
  </si>
  <si>
    <t>120.000,00</t>
  </si>
  <si>
    <t>Remetente - () BOM DIA ! Gentileza parametrizar conforme solicitado CODIGO DO CORRETOR: 10940 PERIODO: 01/09 A 30/09 TIPO DE FECHAMENTO: MENSAL META: 120.000,00 PERCENTUAL DE PREMIO: 0,40% PARAMETRO: CONFORME REGRAS FACTA ;</t>
  </si>
  <si>
    <t>PARAMETRIZAR CAMPANHA - ID: 13295 / 13983</t>
  </si>
  <si>
    <t>18/09/2025 09:39:53</t>
  </si>
  <si>
    <t>13295 / 13983</t>
  </si>
  <si>
    <t>Remetente - () Bom dia! Favor parametrizar campanha conforme abaixo. Obs: As codigos sao do memso correto, porem o bonus deverá ser pago nso dados do codigo 13295 BANCO FACTA - TODA PRODUÇÃO - BONUS DE 0,50% BANCO DIGIO - TODA PRODUÇÃO - BONUS DE 0,50% CODIGO DO CORRETOR: 13295 / 13983 PERIODO: 01/09/2025 a 30/09/2025 TIPO DE FECHAMENTO: MENSAL META: SEM META PERCENTUAL DE PREMIO: CONFORME DESCRIÇÃO PARAMETRO: CONFORME DESCRIÇÃO ;</t>
  </si>
  <si>
    <t>CAMPANHA SETEMBRO I COD 16562 I BANCO DIGIO</t>
  </si>
  <si>
    <t>18/09/2025 09:36:50</t>
  </si>
  <si>
    <t>16562</t>
  </si>
  <si>
    <t>BONUS SOBRE A PRODU??O BANCO DIGIO- TODOS OS PRODUTOS E PRAZO NAS TABELAS QUE INCIDE O B?NUS</t>
  </si>
  <si>
    <t>0,40</t>
  </si>
  <si>
    <t>Remetente - () BOM DIA ! Gentileza parametrizar conforme solicitado. BONUS SOBRE A PRODUÇÃO BANCO DIGIO- TODOS OS PRODUTOS E PRAZO NAS TABELAS QUE INCIDE O BÔNUS CODIGO DO CORRETOR: 16562 PERIODO: 01/09 A 30/09 TIPO DE FECHAMENTO: MENSAL META: SEM META PERCENTUAL DE PREMIO: 0,40 PARAMETRO: BONUS SOBRE A PRODUÇÃO BANCO DIGIO- TODOS OS PRODUTOS E PRAZO NAS TABELAS QUE INCIDE O BÔNUS ;</t>
  </si>
  <si>
    <t>CAMPANHA SETEMBRO I COD 6848 I BANCO DIGIO</t>
  </si>
  <si>
    <t>18/09/2025 09:35:42</t>
  </si>
  <si>
    <t>6848</t>
  </si>
  <si>
    <t>Remetente - () Bom dia ! Gentileza parametrizar conforme solicitado. BONUS SOBRE A PRODUÇÃO BANCO DIGIO- TODOS OS PRODUTOS E PRAZO NAS TABELAS QUE INCIDE O BÔNUS CODIGO DO CORRETOR: 6848 PERIODO: 01/09 A 30/09 TIPO DE FECHAMENTO: MENSAL META: SEM META PERCENTUAL DE PREMIO: 0,50 PARAMETRO: BONUS SOBRE A PRODUÇÃO BANCO DIGIO- TODOS OS PRODUTOS E PRAZO NAS TABELAS QUE INCIDE O BÔNUS ;</t>
  </si>
  <si>
    <t>CAMPANHA SETEMBRO I COD 16363 I BANCO DIGIO</t>
  </si>
  <si>
    <t>18/09/2025 09:34:34</t>
  </si>
  <si>
    <t>16363</t>
  </si>
  <si>
    <t>Remetente - () BOM DIA ! Gentileza parametrizar conforme solicitado: BONUS SOBRE A PRODUÇÃO BANCO DIGIO- TODOS OS PRODUTOS E PRAZO NAS TABELAS QUE INCIDE O BÔNUS CODIGO DO CORRETOR: 16363 PERIODO: 01/09 A 30/09 TIPO DE FECHAMENTO: MENSAL META: SEM META PERCENTUAL DE PREMIO: 0,50 PARAMETRO: BONUS SOBRE A PRODUÇÃO BANCO DIGIO- TODOS OS PRODUTOS E PRAZO NAS TABELAS QUE INCIDE O BÔNUS ;</t>
  </si>
  <si>
    <t>CAMPANHA BANCO CASH CARD l CÓDIGO 18157 l GC DIEGO MOURA</t>
  </si>
  <si>
    <t>17/09/2025 17:09:02</t>
  </si>
  <si>
    <t>18157</t>
  </si>
  <si>
    <t>0,10</t>
  </si>
  <si>
    <t>CASH CARD - CONV?NIO PREFEITURA DE NATAL - TODAS AS TABELAS E PRAZOS</t>
  </si>
  <si>
    <t>Remetente - () Suporte, boa tarde! Gentileza cadastrar campanha solicitada pela Glauce e de acordo do André, segue planilha em anexo. CODIGO DO CORRETOR: 18157 PERIODO: 01/09/2025 a 30/09/2025 TIPO DE FECHAMENTO: MENSAL META: 0,10 PERCENTUAL DE PREMIO: 1,80% PARAMETRO: CASH CARD - CONVÊNIO PREFEITURA DE NATAL - TODAS AS TABELAS E PRAZOS ; Remetente - () Novo arquivo enviado: CampanhaRGGlauce_2025_09_17_17_09_02.xlsx;</t>
  </si>
  <si>
    <t>CAMPANHA BANCO FACTA l CÓDIGO 17277 l GC ROMAGNOSI SOTERO</t>
  </si>
  <si>
    <t>17/09/2025 17:05:05</t>
  </si>
  <si>
    <t>17277</t>
  </si>
  <si>
    <t>Remetente - () Suporte, boa tarde! Gentileza cadastrar campanha conforme solicitado pela Glauce e de acordo do André, segue planilha em anexo. CODIGO DO CORRETOR: 17277 PERIODO: 01/09/2025 a 30/09/2025 TIPO DE FECHAMENTO: MENSAL META: 1,00 PERCENTUAL DE PREMIO: DIVERSOS PARAMETRO: DIVERSOS ; Remetente - () Novo arquivo enviado: CampanhaRGGlauce_2025_09_17_17_05_05.xlsx;</t>
  </si>
  <si>
    <t>CAMPANHA BANCO C6 l CÓDIGO 16934 l GC VINICIUS LEONI</t>
  </si>
  <si>
    <t>17/09/2025 16:58:21</t>
  </si>
  <si>
    <t>16934</t>
  </si>
  <si>
    <t>Remetente - () Suporte, boa tarde! Gentileza cadastrar campanha solicitada pela Glauce e de acordo do André, segue planilha em anexo. CODIGO DO CORRETOR: 16934 PERIODO: 01/09/2025 a 30/09/2025 TIPO DE FECHAMENTO: MENSAL META: 1.000,00 PERCENTUAL DE PREMIO: 0,20% PARAMETRO: BANCO C6 TODOS OS PRODUTOS E PRAZOS ; Remetente - () Novo arquivo enviado: CampanhaRGGlauce_2025_09_17_16_58_21.xlsx;</t>
  </si>
  <si>
    <t>CAMPANHA BANCO FACTA l CÓDIGO 17055 l VINICIUS LEONI</t>
  </si>
  <si>
    <t>17/09/2025 16:55:59</t>
  </si>
  <si>
    <t>17055</t>
  </si>
  <si>
    <t>BANCO FACTA TODOS OS PRODUTOS E PRAZOS</t>
  </si>
  <si>
    <t>Remetente - () Suporte, boa tarde! Gentileza cadastrar campanha solicitada pela Glauce e de acordo do André, segue planilha em anexo. CODIGO DO CORRETOR: 17055 PERIODO: 01/09/2025 a 30/09/2025 TIPO DE FECHAMENTO: MENSAL META: 1.000,00 PERCENTUAL DE PREMIO: 0,50% PARAMETRO: BANCO FACTA TODOS OS PRODUTOS E PRAZOS ; Remetente - () Novo arquivo enviado: CampanhaRGGlauce_2025_09_17_16_55_59.xlsx;</t>
  </si>
  <si>
    <t>CAMPANHA BANCO FACTA l CÓDIGO 14826 l GC VINICIUS LEONI</t>
  </si>
  <si>
    <t>17/09/2025 16:52:15</t>
  </si>
  <si>
    <t>14826</t>
  </si>
  <si>
    <t>BANCO FACTA TODOS OS PRODUTOS E PRAZOS, COM EXCE??O CLT</t>
  </si>
  <si>
    <t>Remetente - () Suporte, boa tarde! Gentileza cadastrar campanha solicitada pela Glauce e de acordo do André, segue planilha em anexo. CODIGO DO CORRETOR: 14826 PERIODO: 01/09/2025 a 30/09/2025 TIPO DE FECHAMENTO: MENSAL META: 1.000,00 PERCENTUAL DE PREMIO: 0,75% PARAMETRO: BANCO FACTA TODOS OS PRODUTOS E PRAZOS, COM EXCEÇÃO CLT ; Remetente - () Novo arquivo enviado: CampanhaRGGlauce_2025_09_17_16_52_15.xlsx;</t>
  </si>
  <si>
    <t>CAMPANHA BANCO FACTA l CÓDIGO 16236 l GC MARINEIDE LIMA</t>
  </si>
  <si>
    <t>17/09/2025 16:49:38</t>
  </si>
  <si>
    <t>16236</t>
  </si>
  <si>
    <t>FACTA -TODAS AS OPERA??ES COM EXCE??O CLT</t>
  </si>
  <si>
    <t>Remetente - () Suporte, boa tarde! Gentileza cadastrar campanha solicitada pela Glauce e de acordo do André, segue planilha em anexo. CODIGO DO CORRETOR: 16236 PERIODO: 01/09/2025 a 30/09/2025 TIPO DE FECHAMENTO: MENSAL META: 1.000,00 PERCENTUAL DE PREMIO: 0,50% PARAMETRO: FACTA -TODAS AS OPERAÇÕES COM EXCEÇÃO CLT ; Remetente - () Novo arquivo enviado: CampanhaRGGlauce_2025_09_17_16_49_38.xlsx;</t>
  </si>
  <si>
    <t>CAMPANHA l CÓDIGO 16291 l GC WELLINGTON MELO</t>
  </si>
  <si>
    <t>17/09/2025 16:47:21</t>
  </si>
  <si>
    <t>16291</t>
  </si>
  <si>
    <t>Remetente - () Prezados, boa tarde! Suporte, gentileza cadastrar campanha solicitada pela Glauce e de acordo do André, segue planilha em anexo. CODIGO DO CORRETOR: 16291 PERIODO: 01/09/2025 a 30/09/2025 TIPO DE FECHAMENTO: MENSAL META: DIVERSOS PERCENTUAL DE PREMIO: DIVERSOS PARAMETRO: DIVERSOS ; Remetente - () Novo arquivo enviado: CampanhaRGGlauce_2025_09_17_16_47_21.xlsx;</t>
  </si>
  <si>
    <t>CAMPANHA BANCO MEU CRED BANK l CÓDIGO 16129 l GC WELLINGTON MELO</t>
  </si>
  <si>
    <t>17/09/2025 16:43:57</t>
  </si>
  <si>
    <t>16129</t>
  </si>
  <si>
    <t>Remetente - () Suporte, boa tarde! Gentileza cadastrar campanha solicitada pela Glauce e de acordo do André, segue planilha em anexo. CODIGO DO CORRETOR: 16129 PERIODO: 01/09/2025 a 30/09/2025 TIPO DE FECHAMENTO: MENSAL META: 1.000,00 PERCENTUAL DE PREMIO: 1,00% PARAMETRO: MEU CREDBANK INSS - TODAS AS TABELAS - MARGEM LIVRE ; Remetente - () Novo arquivo enviado: CampanhaRGGlauce_2025_09_17_16_43_57.xlsx;</t>
  </si>
  <si>
    <t>PARAMETRIZAR CAMPANHA - ID: 5481 / 5482</t>
  </si>
  <si>
    <t>17/09/2025 16:16:22</t>
  </si>
  <si>
    <t>5481 / 5482</t>
  </si>
  <si>
    <t>Remetente - () Prezados, boa tarde! Favor parametrizar campanha. OBS: Vamos considerar a proução dos dois codigos 5482 (INDICADOR) E 5481 ( INDICADA), porem o bonus deverá ser pago na conta do ID: 5482 (indicador) CODIGO DO CORRETOR: 5481 / 5482 PERIODO: 01/09/2025 a 30/09/2025 TIPO DE FECHAMENTO: MENSAL META: SEM META PERCENTUAL DE PREMIO: 0,30% PARAMETRO: TODA PRODUÇÃO ;</t>
  </si>
  <si>
    <t>CAMPANHA BANCO MASTER l CÓDIGO 13749 l GC VINICIUS LEONI</t>
  </si>
  <si>
    <t>17/09/2025 15:53:55</t>
  </si>
  <si>
    <t>13749</t>
  </si>
  <si>
    <t>Remetente - () Suporte, boa tarde! Gentileza cadastrar campanha solicitada pela Glauce e de acordo do André. Segue planilha em anexo. CODIGO DO CORRETOR: 13749 PERIODO: 01/09/2025 a 30/09/2025 TIPO DE FECHAMENTO: MENSAL META: 1.000,00 PERCENTUAL DE PREMIO: 1,50% PARAMETRO: BANCO MASTER TODOS OS PRODUTOS E PRAZOS ; Remetente - () Novo arquivo enviado: CampanhaRGGlauce_2025_09_17_15_53_55.xlsx;</t>
  </si>
  <si>
    <t>CAMPANHA BANCO MEU CRED BANK l CÓDIGO 13569 l GC VINICIUS LEONI</t>
  </si>
  <si>
    <t>17/09/2025 15:51:02</t>
  </si>
  <si>
    <t>13569</t>
  </si>
  <si>
    <t>Remetente - () Suporte, boa tarde! Gentileza cadastrar campanha solicitada pela Glauce e de acordo do André. Planilha em anexo. CODIGO DO CORRETOR: 13569 PERIODO: 01/09/2025 a 30/09/2025 TIPO DE FECHAMENTO: MENSAL META: 1.000,00 PERCENTUAL DE PREMIO: DIVERSOS PARAMETRO: DIVERSOS ; Remetente - () Novo arquivo enviado: CampanhaRGGlauce_2025_09_17_15_51_02.xlsx;</t>
  </si>
  <si>
    <t>PARAMETRIZAR CAMPANHA - ID: 6675</t>
  </si>
  <si>
    <t>17/09/2025 15:48:49</t>
  </si>
  <si>
    <t>6675</t>
  </si>
  <si>
    <t>Remetente - () Boa tarde! Favor parametrizar campanha copnforme abaixo. considerar somente operações - ?FACTA INSS FACTA - INSS - DIGITAL NOVO GOLD MAX NORMAL (60186) Novo 96 E 84 CODIGO DO CORRETOR: 6675 PERIODO: 01/09/2025 a 30/09/2025 TIPO DE FECHAMENTO: MENSAL META: SEM META PERCENTUAL DE PREMIO: 0,25% PARAMETRO: CONFORME DESCRIÇÃO ;</t>
  </si>
  <si>
    <t>CAMPANHA BANCO FACTA l CÓDIGO 18184 lGC MARINEIDE LIMA</t>
  </si>
  <si>
    <t>17/09/2025 15:43:52</t>
  </si>
  <si>
    <t>18184</t>
  </si>
  <si>
    <t>Banco Facta ? Todos os Produtos ? Todos os Prazos ? Todos os conv?nios Menos CLT ? Todas as Tabelas</t>
  </si>
  <si>
    <t>Remetente - () Suporte, boa tarde! Gentileza cadastrar campanha solicitada pela Glauce e de acordo do André. Segue planilha em anexo. CODIGO DO CORRETOR: 18184 PERIODO: 01/09/2025 a 30/09/2025 TIPO DE FECHAMENTO: MENSAL META: 0,10 PERCENTUAL DE PREMIO: 0,50% PARAMETRO: Banco Facta ? Todos os Produtos ? Todos os Prazos ? Todos os convênios Menos CLT ? Todas as Tabelas ; Remetente - () Novo arquivo enviado: CampanhaRGGlauce_2025_09_17_15_43_52.xlsx;</t>
  </si>
  <si>
    <t>PARAMETRIZAR CAMPANHA - ID: 5311 / 13912 / 15025 / 8656</t>
  </si>
  <si>
    <t>17/09/2025 15:42:19</t>
  </si>
  <si>
    <t>0,10%</t>
  </si>
  <si>
    <t>Remetente - () Prezados, boa tarde! Favor parametrizar campanha. Obs: os codigos sao do mesmo parceiro e a meta deverá ser creditada nos dados bancarios do codigo ID: 5311. CODIGO DO CORRETOR: 5311 / 13912 / 15025 / 8656 PERIODO: 01/09/2025 a 30/09/2025 TIPO DE FECHAMENTO: MENSAL META: 500.000,00 PERCENTUAL DE PREMIO: 0,10% PARAMETRO: TODA PRODUÇÃO ;</t>
  </si>
  <si>
    <t>CAMPANHA BANCO C6 l CÓDIGO 15049 l GC WELLINGTON MELO</t>
  </si>
  <si>
    <t>17/09/2025 15:41:24</t>
  </si>
  <si>
    <t>15049</t>
  </si>
  <si>
    <t>BANCO C6 BRUTO DO REFIN DE PORTABILIDADE</t>
  </si>
  <si>
    <t>Remetente - () Suporte, boa tarde! Gentileza cadastrar campanha solicitada pelo Glauce e de acordo do André. Segue planilha em anexo. CODIGO DO CORRETOR: 15049 PERIODO: 01/09/2025 a 30/09/2025 TIPO DE FECHAMENTO: MENSAL META: 0,10 PERCENTUAL DE PREMIO: 0,50% PARAMETRO: BANCO C6 BRUTO DO REFIN DE PORTABILIDADE ; Remetente - () Novo arquivo enviado: CampanhaRGGlauce_2025_09_17_15_41_24.xlsx;</t>
  </si>
  <si>
    <t>CAMPANHA BANCO FACTA l CÓDIGO 18085 l GC WELLINGTON MELO</t>
  </si>
  <si>
    <t>17/09/2025 15:35:54</t>
  </si>
  <si>
    <t>18085</t>
  </si>
  <si>
    <t>1000,00</t>
  </si>
  <si>
    <t>Remetente - () Suporte, boa tarde! Gentileza cadastrar campanha solicitada pela Glauce e de acordo do André. Planilha em anexo. CODIGO DO CORRETOR: 18085 PERIODO: 01/09/2025 a 30/09/2025 TIPO DE FECHAMENTO: MENSAL META: 1000,00 PERCENTUAL DE PREMIO: 0,75% PARAMETRO: Banco Facta ? Todos os Produtos ? Todos os Prazos ? Todos os convênios Menos CLT ? Todas as Tabelas ; Remetente - () Novo arquivo enviado: CampanhaRGGlauce_2025_09_17_15_35_54.xlsx;</t>
  </si>
  <si>
    <t>CAMPANHA l CÓDIGO 18196 l GC WELLINGTON MELO</t>
  </si>
  <si>
    <t>17/09/2025 15:33:26</t>
  </si>
  <si>
    <t>18196</t>
  </si>
  <si>
    <t>Remetente - () Suporte, boa tarde! Gentileza cadastrar campanha solicitada pela Glauce e de acordo do André. Segue planilha em anexo. CODIGO DO CORRETOR: 18196 PERIODO: 01/09/2025 a 30/09/2025 TIPO DE FECHAMENTO: MENSAL META: 1000,00 PERCENTUAL DE PREMIO: DIVERSOS PARAMETRO: DIVERSOS ; Remetente - () Novo arquivo enviado: CampanhaRGGlauce_2025_09_17_15_33_26.xlsx;</t>
  </si>
  <si>
    <t>PARAMETRIZAR CAMPANHA - ID: 3446</t>
  </si>
  <si>
    <t>17/09/2025 15:30:04</t>
  </si>
  <si>
    <t>3446</t>
  </si>
  <si>
    <t>BANCO MERCANTIL - GOV MINAS - TODA PRODU??O</t>
  </si>
  <si>
    <t>Remetente - () Boa tarde! Favor parametrizar campanha CODIGO DO CORRETOR: 3446 PERIODO: 01/09/2025 a 30/09/2025 TIPO DE FECHAMENTO: MENSAL META: SEM META PERCENTUAL DE PREMIO: 0,70% PARAMETRO: BANCO MERCANTIL - GOV MINAS - TODA PRODUÇÃO ;</t>
  </si>
  <si>
    <t>CAMPANHA BANCO AMIGOZ l CÓDIGO 16418 l GC WELLINGTON MELO</t>
  </si>
  <si>
    <t>17/09/2025 15:24:06</t>
  </si>
  <si>
    <t>16418</t>
  </si>
  <si>
    <t>Banco Amigoz ? Todos os Produtos ? Todos os Prazos ? Todos os conv?nios ? Todas as Tabelas</t>
  </si>
  <si>
    <t>Remetente - () Suporte boa tarde! Gentileza cadastrar campanha solicitada pela Glauce e de acordo com André. Segue planilha em anexo. CODIGO DO CORRETOR: 16418 PERIODO: 01/09/2025 a 30/09/2025 TIPO DE FECHAMENTO: MENSAL META: 1000,00 PERCENTUAL DE PREMIO: 3,50% PARAMETRO: Banco Amigoz ? Todos os Produtos ? Todos os Prazos ? Todos os convênios ? Todas as Tabelas ; Remetente - () Novo arquivo enviado: CampanhaRGGlauce_2025_09_17_15_24_06.xlsx;</t>
  </si>
  <si>
    <t>PARAMETRIZAR CAMPANHA - ID 3557</t>
  </si>
  <si>
    <t>17/09/2025 14:28:54</t>
  </si>
  <si>
    <t>3557</t>
  </si>
  <si>
    <t>Toda a produ??o FGTS MERCANTIL</t>
  </si>
  <si>
    <t>Remetente - () Boa tarde! CODIGO DO CORRETOR: 3557 PERIODO: 01/09 A 30/09 TIPO DE FECHAMENTO: MENSAL META: SEM META PERCENTUAL DE PREMIO: 0,10% PARAMETRO: Toda a produção FGTS MERCANTIL ;</t>
  </si>
  <si>
    <t>PARAMETRIZAR CAMPANHA - ID: 13113</t>
  </si>
  <si>
    <t>Fechado</t>
  </si>
  <si>
    <t>19/09/2025 08:57:41</t>
  </si>
  <si>
    <t>Remetente - () Prezados, bom dia! Favor parametrizar campanha conforme abaixo. BANCO CREDBANK - TODA PRODUÇÃO INSS e cartoes EXCETO AS TABELAS - MEU CREDBANK - INSS - MEU CREDBANK - INSS - FP - NORMAL - TX 1,85MEU CREDBANK - INSS - MEU CREDBANK - INSS - FP - SEGURO - TX 1,85 - BONUS DE 0,70%. BANCO CREDBANK - TODA PRODUÇÃO DE FGTS - BONUS DE 1,20% BANCO FACTA - TODA PRODUÇÃO CONFORME REGRA - BONUS 0,75%. CODIGO DO CORRETOR: 13113 PERIODO: 01/09/2025 a 30/09/2025 TIPO DE FECHAMENTO: MENSAL META: SEM META PERCENTUAL DE PREMIO: CONFORME DESCRIÇÃO PARAMETRO: CONFORME DESCRIÇÃO ; Remetente - ()  FAVOR DESCONSIDERAR; Remetente - () Chamado encerrado.;</t>
  </si>
  <si>
    <t>CAMPANHA l CÓDIGO 11994 l GC LUCYANA MEDEIROS</t>
  </si>
  <si>
    <t>17/09/2025 15:18:49</t>
  </si>
  <si>
    <t>11994</t>
  </si>
  <si>
    <t>Remetente - () Suporte, boa tarde! Gentileza cadastrar campanha conforme solicitado pela Glauce e de acordo do André. Segue planilha em anexo. CODIGO DO CORRETOR: 11994 PERIODO: 01/09/2025 a 30/09/2025 TIPO DE FECHAMENTO: MENSA META: 1000,00 PERCENTUAL DE PREMIO: DIVERSOS PARAMETRO: DIVERSOS ; Remetente - () Novo arquivo enviado: CampanhaRGGlauce_2025_09_17_15_18_49.xlsx; Remetente - ()  Fabi, boa tarde. Campanha parametrizada. codigo8809 8819 8825  ;</t>
  </si>
  <si>
    <t>CAMPANHA BANCO MERCANTIL l CODIGO 18118 l GC LUCYANA MEDEIROS</t>
  </si>
  <si>
    <t>17/09/2025 15:14:27</t>
  </si>
  <si>
    <t>18118</t>
  </si>
  <si>
    <t>BANCO MERCANTIL - TODAS AS TABELAS, COM EXCE??O DO CP RESOLVE -INSS CREDITO PESSOAL</t>
  </si>
  <si>
    <t>Remetente - () Suporte, boa tarde! Gentileza cadastrar campanha solicitada pela Glauce e de acordo com André. Segue planilha em anexo. CODIGO DO CORRETOR: 18118 PERIODO: 01/09/2025 a 30/09/2025 TIPO DE FECHAMENTO: MENSAL META: 1000,00 PERCENTUAL DE PREMIO: 0,20% PARAMETRO: BANCO MERCANTIL - TODAS AS TABELAS, COM EXCEÇÃO DO CP RESOLVE -INSS CREDITO PESSOAL ; Remetente - () Novo arquivo enviado: CampanhaRGGlauce_2025_09_17_15_14_27.xlsx; Remetente - ()    Fabi, boa tarde. Campanha parametrizada. codigo 8826 ;</t>
  </si>
  <si>
    <t>17/09/2025 15:13:22</t>
  </si>
  <si>
    <t>1452</t>
  </si>
  <si>
    <t>300 K</t>
  </si>
  <si>
    <t>A ?produ??o de todos os bancos e tabelas ser? levada em considera??o para pagamento de b?nus e atingimento DA META</t>
  </si>
  <si>
    <t>0.10%</t>
  </si>
  <si>
    <t>Remetente - () Boa tarde! CODIGO DO CORRETOR: 1452 PERIODO: 01/09 A 30/09 TIPO DE FECHAMENTO: MENSAL META: 300 K PERCENTUAL DE PREMIO: 0.10% PARAMETRO: A  produção de todos os bancos e tabelas será levada em consideração para pagamento de bônus e atingimento DA META ; Remetente - ()    Josi, boa tarde. Campanha parametrizada. codigo 8827 ; Remetente - () ; Remetente - ()  segue ;</t>
  </si>
  <si>
    <t>CAMPANHA l CÓDIGO 17515 l GC ROMAGNOSI SOTERO</t>
  </si>
  <si>
    <t>17/09/2025 15:11:12</t>
  </si>
  <si>
    <t>17515</t>
  </si>
  <si>
    <t>DIVESOS</t>
  </si>
  <si>
    <t>MENS</t>
  </si>
  <si>
    <t>Remetente - () Suporte, boa tarde! Gentileza cadastrar campanha solicitada pela Glauce e de acordo com André. Segue planilha em anexo. CODIGO DO CORRETOR: 17515 PERIODO: 01/09/2025 a 30/09/2025 TIPO DE FECHAMENTO: MENS META: DIVERSOS PERCENTUAL DE PREMIO: DIVESOS PARAMETRO: DIVERSOS ; Remetente - () Novo arquivo enviado: CampanhaRGGlauce_2025_09_17_15_11_12.xlsx; Remetente - ()  Fabi, boa tarde. Campanha parametrizada. codigo 8820 8810  ;</t>
  </si>
  <si>
    <t>PARAMETRIZAR CAMPANHA BANCO - id 12378</t>
  </si>
  <si>
    <t>17/09/2025 15:06:43</t>
  </si>
  <si>
    <t>12378</t>
  </si>
  <si>
    <t>R$ 200.000</t>
  </si>
  <si>
    <t>Remetente - () Boa tarde! CODIGO DO CORRETOR: 12378 PERIODO: 01/09 A 30/09 TIPO DE FECHAMENTO: MENSAL META: R$ 200.000 PERCENTUAL DE PREMIO: 0,70% PARAMETRO: TODA A PRODUÇÃO AMIGOZ ; Remetente - ()    Josi, boa tarde. Campanha parametrizada. codigo 8828 ;</t>
  </si>
  <si>
    <t>CAMPANHA BANCO FACTA l CÓDIGO 17461 l DIEGO MOURA</t>
  </si>
  <si>
    <t>17/09/2025 15:04:08</t>
  </si>
  <si>
    <t>17461</t>
  </si>
  <si>
    <t>TODAS AS OPERA??ES CONFORME FACTA - COM EXCE??O CLT</t>
  </si>
  <si>
    <t>Remetente - () Suporte, boa tarde! Gentileza cadastrar campanha conforme solicitado pela Glauce e de acordo do André. Segue planilha em anexo. CODIGO DO CORRETOR: 17461 PERIODO: 01/09/2025 a 30/09/2025 TIPO DE FECHAMENTO: MENSAL META: 0,10 PERCENTUAL DE PREMIO: 0,75% PARAMETRO: TODAS AS OPERAÇÕES CONFORME FACTA - COM EXCEÇÃO CLT ; Remetente - () Novo arquivo enviado: CampanhaRGGlauce_2025_09_17_15_04_08.xlsx; Remetente - ()    Fabi, boa tarde. Campanha parametrizada. codigo 8811 ;</t>
  </si>
  <si>
    <t>CAMPANHA BANCO DAYCOVAL l CÓDIGO 7734 l GC DIEGO MOURA</t>
  </si>
  <si>
    <t>17/09/2025 15:00:15</t>
  </si>
  <si>
    <t>DAYCOVAL - 50% DO B?NUS QUE A CREDFRANCO RECEBER DO BANCO</t>
  </si>
  <si>
    <t>Remetente - () Suporte, boa tarde! Gentileza cadastrar campanha conforme solicitado pela Glauce e de acordo do André. Segue planilha em anexo. CODIGO DO CORRETOR: 7734 PERIODO: 01/09/2025 a 30/09/2025 TIPO DE FECHAMENTO: MENSAL META: 0,10 PERCENTUAL DE PREMIO: 0,50% PARAMETRO: DAYCOVAL - 50% DO BÔNUS QUE A CREDFRANCO RECEBER DO BANCO ; Remetente - () Novo arquivo enviado: CampanhaRGGlauce_2025_09_17_15_00_15.xlsx; Remetente - ()    Fabi, boa tarde. Campanha parametrizada. codigo 8829 ;</t>
  </si>
  <si>
    <t>CAMPANHA BANCO CASH CARD l CÓDIGO 7149 l GC DIEGO MOURA</t>
  </si>
  <si>
    <t>17/09/2025 14:56:29</t>
  </si>
  <si>
    <t>7149</t>
  </si>
  <si>
    <t>CASH CARD - TODAS AS TABELAS DO CONVENIO PREF DE NATAL - TODOS OS PRAZOS .</t>
  </si>
  <si>
    <t>Remetente - () Suporte, boa tarde! Gentileza cadastrar campanha solicitada pela Glauce e com de acordo do André. Segue planilha em anexo. CODIGO DO CORRETOR: 7149 PERIODO: 01/09/2025 a 30/09/2025 TIPO DE FECHAMENTO: MENSAL META: 0,10 PERCENTUAL DE PREMIO: 1,80% PARAMETRO: CASH CARD - TODAS AS TABELAS DO CONVENIO PREF DE NATAL - TODOS OS PRAZOS . ; Remetente - () Novo arquivo enviado: CampanhaRGGlauce_2025_09_17_14_56_29.xlsx; Remetente - ()    Fabi, boa tarde. Campanha parametrizada. codigo 8831 ;</t>
  </si>
  <si>
    <t>CAMPANHA l CÓDIGO 13220 l GC DIEGO MOURA</t>
  </si>
  <si>
    <t>17/09/2025 14:49:51</t>
  </si>
  <si>
    <t>13220</t>
  </si>
  <si>
    <t>Remetente - () Suporte, boa tarde! Gentileza cadastrar campanha conforme solicitado pela Glauce e de acordo do André. CODIGO DO CORRETOR: 13220 PERIODO: 01/09/2025 a 30/09/2025 TIPO DE FECHAMENTO: MENSAL META: 0,10 PERCENTUAL DE PREMIO: DIVERSOS PARAMETRO: DIVERSOS ; Remetente - () Novo arquivo enviado: CampanhaRGGlauce_2025_09_17_14_49_51.xlsx; Remetente - ()    Lucas, boa tarde. Campanha parametrizada. codigo8812 8832 8821 8333  ;</t>
  </si>
  <si>
    <t>PARAMETRIZAR CAMPANHA - ID 7046</t>
  </si>
  <si>
    <t>17/09/2025 14:41:23</t>
  </si>
  <si>
    <t>7046</t>
  </si>
  <si>
    <t>conforme parametro facta</t>
  </si>
  <si>
    <t>Remetente - () Boa tarde! CODIGO DO CORRETOR: 7046 PERIODO: 01/09 A 30/09 TIPO DE FECHAMENTO: MENSAL META: SEM META PERCENTUAL DE PREMIO: 0,50% PARAMETRO: conforme parametro facta ; Remetente - ()    Josi, boa tarde. Campanha parametrizada. codigo 8813 ;</t>
  </si>
  <si>
    <t>CAMPANHA BANCO FACTA l CÓDIGO 13617 l DIEGO MOURA</t>
  </si>
  <si>
    <t>17/09/2025 14:35:40</t>
  </si>
  <si>
    <t>FACTA - TODAS AS OPERA??ES- TODAS AS TABELAS E PRAZOS CONFORME REPASSE BONUS DO BANCO</t>
  </si>
  <si>
    <t>Remetente - () Suporte, boa tarde! Gentileza cadastrar campanha conforme abaixo e planilha em anexo. CODIGO DO CORRETOR: 13617 PERIODO: 01/09/2025 a 30/09/2025 TIPO DE FECHAMENTO: MENSAL META: 0,10 PERCENTUAL DE PREMIO: 0,75% PARAMETRO: FACTA - TODAS AS OPERAÇÕES- TODAS AS TABELAS E PRAZOS CONFORME REPASSE BONUS DO BANCO ; Remetente - () Novo arquivo enviado: CampanhaRGGlauce_2025_09_17_14_35_40.xlsx; Remetente - ()    Fabi, boa tarde. Campanha parametrizada. codigo 8814 ;</t>
  </si>
  <si>
    <t>PARAMETRIZAR CAMPANHA - ID 15216</t>
  </si>
  <si>
    <t>17/09/2025 14:20:44</t>
  </si>
  <si>
    <t>Remetente - () bOA TARDE! CODIGO DO CORRETOR: 15216 PERIODO: 01/09 A 30/09 TIPO DE FECHAMENTO: MENSAL META: SEM META PERCENTUAL DE PREMIO: 0,70% PARAMETRO: Bônus pago referente a venda de cartão RMC E RCC ; Remetente - ()  Em tempo ,  Banco mercantil; Remetente - ()  Em tempo,  O codigo corret é CODIGO DO CORRETOR: 13061; Remetente - ()    Josi, boa tarde. Campanha parametrizada. codigo 8835 ;</t>
  </si>
  <si>
    <t>PARAMETRIZAÇÃO DE CAMPANHA - ID 1532</t>
  </si>
  <si>
    <t>17/09/2025 14:18:56</t>
  </si>
  <si>
    <t>1532</t>
  </si>
  <si>
    <t>Remetente - () bOA TARDE! CODIGO DO CORRETOR: 1532 PERIODO: 01/09 A 30/09 TIPO DE FECHAMENTO: MENSAL META: SEM META PERCENTUAL DE PREMIO: 0,50 PARAMETRO: ( Conforme parametro facta ) ; Remetente - ()    Lucas, boa tarde. Campanha parametrizada. codigo 8815 ;</t>
  </si>
  <si>
    <t>PARAMETRIZAR CAMPANHA - ID: 1532</t>
  </si>
  <si>
    <t>17/09/2025 14:18:21</t>
  </si>
  <si>
    <t>toda produ??o conforme facta</t>
  </si>
  <si>
    <t>Remetente - () Boa tarde! Fav or parametrizar campanha CODIGO DO CORRETOR: 1532 PERIODO: 01/09/2025 a 30/09/2025 TIPO DE FECHAMENTO: MENSAL META: SEM META PERCENTUAL DE PREMIO: 0,50% PARAMETRO: toda produção conforme facta ; Remetente - ()  Lucas boa tarde. Chamado com o mesmo parametro  1774155 ;</t>
  </si>
  <si>
    <t>PARAMETRIZAR CAMPANHA ID 2838</t>
  </si>
  <si>
    <t>17/09/2025 14:15:29</t>
  </si>
  <si>
    <t>2838</t>
  </si>
  <si>
    <t>TODA PRODU??O LOTUS</t>
  </si>
  <si>
    <t>Remetente - () Boa tarde! CODIGO DO CORRETOR: 2838 PERIODO: 01/09 A 30/09 TIPO DE FECHAMENTO: MENSAL META: SEM META PERCENTUAL DE PREMIO: 1,00% PARAMETRO: TODA PRODUÇÃO LOTUS ; Remetente - ()   Josi, bom dia Campanha parametrizada. codigo 8836  ;</t>
  </si>
  <si>
    <t>17/09/2025 14:08:23</t>
  </si>
  <si>
    <t>1818</t>
  </si>
  <si>
    <t>500000</t>
  </si>
  <si>
    <t>TODA A PRODU??O, DESCONSIDERANDO QUALQUER TABELA VIP NO PAGAMENTO.</t>
  </si>
  <si>
    <t>Remetente - () Boa tarde! CODIGO DO CORRETOR: 1818 PERIODO: 01/09 A 30/09 TIPO DE FECHAMENTO: MENSAL META: 500000 PERCENTUAL DE PREMIO: 0,20% PARAMETRO: TODA A PRODUÇÃO, DESCONSIDERANDO QUALQUER TABELA VIP NO PAGAMENTO. ; Remetente - ()    Josi, bom dia Campanha parametrizada. codigo 8837  ;</t>
  </si>
  <si>
    <t>PARAMETRIZAR CAMPANHA - ID: 695</t>
  </si>
  <si>
    <t>17/09/2025 11:14:20</t>
  </si>
  <si>
    <t>695</t>
  </si>
  <si>
    <t>Remetente - () Prezados, bom dia! Favor parametrizar campanha. considerar somente contrato novo banco PAN, para os convenios abaixo. (CBMMG ; DEFENSORIA MG IPREM IPSEMG IPSM MARINHA PMMG PREFEITURA DE BELO HORIZONTE SEPLAG SIAPE TJ MINAS GERAIS CODIGO DO CORRETOR: 695 PERIODO: 01/09/2025 a 30/09/2025 TIPO DE FECHAMENTO: MENSAL META: SEM META PERCENTUAL DE PREMIO: 0,20% PARAMETRO: CONFORME DESCRIÇÃO ; Remetente - ()    Lucas, bom dia Campanha parametrizada. codigo 8838 O convenio TJ MG não possui produto NOVO;</t>
  </si>
  <si>
    <t>PARAMETRIZAR CAMPANHA- ID 10367 / 13346</t>
  </si>
  <si>
    <t>17/09/2025 09:39:04</t>
  </si>
  <si>
    <t>13346 / 10367</t>
  </si>
  <si>
    <t>BANCO C6 - INSS NOVO/ TODOS OS PRAZOS</t>
  </si>
  <si>
    <t>Remetente - () Bom dia! Serão duas campanhas mesmos parametros. CODIGO DO CORRETOR: 13346 / 10367 PERIODO: 01/09 A 30/09 TIPO DE FECHAMENTO: MENSAL META: 0,10 PERCENTUAL DE PREMIO: 0,20% PARAMETRO: BANCO C6 - INSS NOVO/ TODOS OS PRAZOS ; Remetente - ()    Josi, boa tarde. Campanha parametrizada. codigo 8822 ;</t>
  </si>
  <si>
    <t>PARAMETRIZAR - ID 13694</t>
  </si>
  <si>
    <t>17/09/2025 09:20:06</t>
  </si>
  <si>
    <t>13694</t>
  </si>
  <si>
    <t>100.000,00</t>
  </si>
  <si>
    <t>Remetente - () Bom dia! CAMPANHA 1 - BANCO FACTA - META 100 K - BONIFICAÇAO 0,50% -PARAMETRO: Considerar toda produção para atingimento da meta , porém a bonificação será paga sobre a produção do produto NOVO /INSS/PRAZO 84 E 96 / BANCO FACTA CAMPANHA 2 - BANCO PAN - META 100 K - BONIFICAÇÃO 0,50 - PARAMETRO: Considerar toda produção para atingimento da meta , porém a bonificação será paga sobre a produção do produto NOVO /INSS/PRAZO 84 E 96 / PAN CODIGO DO CORRETOR: 13694 PERIODO: 01/09 A 30/09 TIPO DE FECHAMENTO: MENSAL META: 100.000,00 PERCENTUAL DE PREMIO: DESCRIÇÃO PARAMETRO: DESCRIÇAO ; Remetente - ()    Josi, boa tarde. Campanha parametrizada. codigo 8816 ;</t>
  </si>
  <si>
    <t>PARAMETRIZAR CAMPANHA - ID 16481 - FACTA</t>
  </si>
  <si>
    <t>17/09/2025 09:16:49</t>
  </si>
  <si>
    <t>16481</t>
  </si>
  <si>
    <t>150.000,00</t>
  </si>
  <si>
    <t>Considerar toda produ??o para atingimento da meta , por?m a bonifica??o ser? paga sobre a produ??o do produto NOVO / INSS FACTA</t>
  </si>
  <si>
    <t>Remetente - () Bom dia! CODIGO DO CORRETOR: 16481 PERIODO: 01/09 A 30/09 TIPO DE FECHAMENTO: MENSAL META: 150.000,00 PERCENTUAL DE PREMIO: 0,50 PARAMETRO: Considerar toda produção para atingimento da meta , porém a bonificação será paga sobre a produção do produto NOVO / INSS FACTA ; Remetente - ()    Josi, boa tarde. Campanha parametrizada. codigo 8817 ;</t>
  </si>
  <si>
    <t>PARAMETRIZAR CAMPANHA - ID 14399</t>
  </si>
  <si>
    <t>17/09/2025 09:03:25</t>
  </si>
  <si>
    <t>BANCO DIGIO- TODOS OS PRODUTOS , TABELAS E PRAZOS .</t>
  </si>
  <si>
    <t>16/09 A 30/09</t>
  </si>
  <si>
    <t>Remetente - () Bom dia! CODIGO DO CORRETOR: 14399 PERIODO: 16/09 A 30/09 TIPO DE FECHAMENTO: MENSAL META: SEM META PERCENTUAL DE PREMIO: 0,75% PARAMETRO: BANCO DIGIO- TODOS OS PRODUTOS , TABELAS E PRAZOS . ; Remetente - ()    Josi, bom dia Campanha parametrizada. codigo 8839 ;</t>
  </si>
  <si>
    <t>PARAMETRIZAR CAMPANHA - ID: 14202</t>
  </si>
  <si>
    <t>16/09/2025 17:20:32</t>
  </si>
  <si>
    <t>14202</t>
  </si>
  <si>
    <t>C6 - INSS - CONTRATO NOVO</t>
  </si>
  <si>
    <t>Remetente - () Prezados, boa tarde! Favor parametrizar campanha. CODIGO DO CORRETOR: 14202 PERIODO: 01/09/2025 a 30/09/2025 TIPO DE FECHAMENTO: MENSAL META: SEM META PERCENTUAL DE PREMIO: 0,20% PARAMETRO: C6 - INSS - CONTRATO NOVO ; Remetente - ()    Lucas, boa tarde. Campanha parametrizada. codigo 8823 ;</t>
  </si>
  <si>
    <t>PARAMETRIZAR CAMPANHA - ID: 12610</t>
  </si>
  <si>
    <t>16/09/2025 17:18:29</t>
  </si>
  <si>
    <t>12610</t>
  </si>
  <si>
    <t>Remetente - () Boa tarde! Favor parametrizar campanha conforme abaixo BANCO C6 - todas as tabelas , convenios e prazos BANCO BMG  - todas as tabelas , convenios e prazos CREFAZ - todas as tabelas , convenios e prazos FACTA - todas as tabelas , convenios e prazos CONFORME REGRA CODIGO DO CORRETOR: 12610 PERIODO: 01/09/2025 a 30/09/2025 TIPO DE FECHAMENTO: MENSAL META: 100.000,00 PERCENTUAL DE PREMIO: CONFORME DESCRIÇÃO PARAMETRO: CONFORME DESCRIÇÃO ; Remetente - () Bom dia! Em tempo, BANCO C6 - todas as tabelas , convenios e prazos - BONUS 0,30% BANCO BMG  - todas as tabelas , convenios e prazos - BONUS 0,30% CREFAZ - todas as tabelas , convenios e prazos - BONUS DE 0,20% FACTA - todas as tabelas , convenios e prazos CONFORME REGRA  - BONUS 0,30% ; Remetente - ()   Lucas, bom dia Campanha parametrizada. codigos:  8824 8840 8841 8818  ;</t>
  </si>
  <si>
    <t>PARAMETRIZAR CAMPANHA - ID: 17927</t>
  </si>
  <si>
    <t>16/09/2025 17:08:57</t>
  </si>
  <si>
    <t>17927</t>
  </si>
  <si>
    <t>toda produ??o, exceto opera?es de portabilidade</t>
  </si>
  <si>
    <t>Remetente - () Boa tarde! Favor parametrizar campanha CODIGO DO CORRETOR: 17927 PERIODO: 01/09/2025 a 30/09/2025 TIPO DE FECHAMENTO: MENSAL META: 200.000,00 PERCENTUAL DE PREMIO: 0,15% PARAMETRO: toda produção, exceto operações de portabilidade ; Remetente - ()   Lucas, bom dia. Campanha parametrizada. codigo 8741;</t>
  </si>
  <si>
    <t>PARAMETRIZAR CAMPANHA - ID: 16176</t>
  </si>
  <si>
    <t>16/09/2025 17:07:09</t>
  </si>
  <si>
    <t>16176</t>
  </si>
  <si>
    <t>Remetente - () Boa tarde! Favor parametrizar campanha. CODIGO DO CORRETOR: 16176 PERIODO: 01/09/2025 a 30/09/2025 TIPO DE FECHAMENTO: MENSAL META: SEM META PERCENTUAL DE PREMIO: 0,20% PARAMETRO: C6 - INSS - CONTRATO NOVO ; Remetente - ()   Lucas, bom dia. Campanha parametrizada. codigo 8751;</t>
  </si>
  <si>
    <t>PARAMETRIZAR CAMPANHA - ID: 11545</t>
  </si>
  <si>
    <t>16/09/2025 17:04:52</t>
  </si>
  <si>
    <t>11545</t>
  </si>
  <si>
    <t>FACTA - INSS - NOVO</t>
  </si>
  <si>
    <t>Remetente - () Boa tarde! Favor parametrizar campanha. CODIGO DO CORRETOR: 11545 PERIODO: 01/09/2025 a 30/09/2025 TIPO DE FECHAMENTO: MENSAL META: SEM META PERCENTUAL DE PREMIO: 0,75% PARAMETRO: FACTA - INSS - NOVO ; Remetente - ()   Lucas, bom dia. Campanha parametrizada. codigo 8752;</t>
  </si>
  <si>
    <t>PARAMETRIZAR CAMPANHA - CREDBANK</t>
  </si>
  <si>
    <t>16/09/2025 17:02:30</t>
  </si>
  <si>
    <t>CREDBANK - INSS - TODAS TABELAS COM SEGURO</t>
  </si>
  <si>
    <t>Remetente - () Boa tarde! Favor parametrizar campanha para os codigos abaixo. 15095 15710 16845 CODIGO DO CORRETOR: CONFORME DESCRIÇÃO PERIODO: 01/09/2025 a 30/09/2025 TIPO DE FECHAMENTO: MENSAL META: 1.000,00 PERCENTUAL DE PREMIO: 0,50 PARAMETRO: CREDBANK - INSS - TODAS TABELAS COM SEGURO ; Remetente - ()   Lucas, bom dia. Campanha parametrizada. codigo 8728; Remetente - ()  eM TEMPO  8728 8729 8730  ;</t>
  </si>
  <si>
    <t>PARAMETRIZAR CAMPANHA - CASH CARD</t>
  </si>
  <si>
    <t>16/09/2025 16:58:13</t>
  </si>
  <si>
    <t>CASH CARD - TODA PRODU??O DO CONVENIO PREF DE NATAL</t>
  </si>
  <si>
    <t>Remetente - () Boa tarde! Favor parametrizar campanhas para os codigos abaixo. 11670 15767 11824 6300 17569 5890 12180 11840 11867 11669 15767 18170 CODIGO DO CORRETOR: CONFORME DESCRIÇÃO PERIODO: 01/09/2025 a 30/09/2025 TIPO DE FECHAMENTO: MENSAL META: SEM META PERCENTUAL DE PREMIO: 1% PARAMETRO: CASH CARD - TODA PRODUÇÃO DO CONVENIO PREF DE NATAL ; Remetente - ()   Lucas, bom dia. Campanha parametrizada. codigo 8732 8733 8734 8735 8736 8737 11840- INATIVO  8738 8038 8739 8740  ;</t>
  </si>
  <si>
    <t>PARAMETRIZAR CAMPANHA - ID: 3280</t>
  </si>
  <si>
    <t>16/09/2025 16:49:48</t>
  </si>
  <si>
    <t>3280</t>
  </si>
  <si>
    <t>Remetente - () Boa tarde! Favor parametrizar campanha. CODIGO DO CORRETOR: 3280 PERIODO: 01/09/2025 a 30/09/2025 TIPO DE FECHAMENTO: MENSAL META: 150.000,00 PERCENTUAL DE PREMIO: 0,20% PARAMETRO: C6 - INSS - CONTRATO NOVO ; Remetente - ()  Em tempo, considerar tambem  BANCO PAN - INSS - NOVO BANCO  FACTA - INSS NOVO DAYCOVAL - GOVERNO DE PERNAMBUCO CONSIDERAR A PRODUÇÃO DOS CODIGOS 3280 E 16562, POREM O BNUS SERÁ PAGO NA CONTA DO CODIGO 3280; Remetente - ()   Lucas, bom dia. Campanha parametrizada. codigo 8753;</t>
  </si>
  <si>
    <t>CAMPANHA SETEMBRO I COD 14452 I DAYCOVAL</t>
  </si>
  <si>
    <t>16/09/2025 16:48:41</t>
  </si>
  <si>
    <t>Remetente - () Bom dia ! Gentileza parametrizar conforme solicitado. EM TODOS OS PRODUTOS E TABELAS BANCO DAYCOVAL QUE COMTEMPLAM A CAMPANHA DE BONUS CODIGO DO CORRETOR: 14452 PERIODO: 01/09 a 30/09 TIPO DE FECHAMENTO: MENSAL META: 10 MIL PERCENTUAL DE PREMIO: 0,70 PARAMETRO: EM TODOS OS PRODUTOS E TABELAS BANCO DAYCOVAL QUE COMTEMPLAM A CAMPANHA DE BONUS ; Remetente - ()   Banca, bom dia. Campanha parametrizada. codigo 8754;</t>
  </si>
  <si>
    <t>16/09/2025 16:45:20</t>
  </si>
  <si>
    <t>4353</t>
  </si>
  <si>
    <t>Remetente - () Boa tarde! Favor parametrizar campanha conforme abaixo. BANCO FACTA - TODAS AS TABELAS QUE POSSUEM BONUS - REPASSAR 75% DO BONUS QUE RECEBEMOS, PARCEIRO ESTA NA EMP100. CREDBANK - TODAS OPERAÇÕES INSS QUE POSSUEM SEGURO - BONUS 0,50% CODIGO DO CORRETOR: 4353 PERIODO: 01/09/2025 a 30/09/2025 TIPO DE FECHAMENTO: MENSAL META: 1.000,00 PERCENTUAL DE PREMIO: CONFORME DESCRIÇÃO PARAMETRO: CONFORME DESCRIÇÃO ; Remetente - ()   Lucas, bom dia. Campanha parametrizada. codigo 8788 8755 8756  ;</t>
  </si>
  <si>
    <t>PARAMETRIZAR CAMPANHA - ID: 11859</t>
  </si>
  <si>
    <t>16/09/2025 16:41:12</t>
  </si>
  <si>
    <t>11859</t>
  </si>
  <si>
    <t>CASH CART - CARTAO BENEFICIO - PREF DE NATAL E GOV DE ALAGOAS</t>
  </si>
  <si>
    <t>Remetente - () Boa tarde! Favor parametrizar campanha. CODIGO DO CORRETOR: 11859 PERIODO: 01/09/2025 a 30/09/2025 TIPO DE FECHAMENTO: MENSAL META: 1.000,00 PERCENTUAL DE PREMIO: 0,20% PARAMETRO: CASH CART - CARTAO BENEFICIO - PREF DE NATAL E GOV DE ALAGOAS ; Remetente - ()   Lucas, bom dia. Campanha parametrizada. 8757 ;</t>
  </si>
  <si>
    <t>PARAMETRIZAR CAMPANHA - ID: 18016 ( bonus devera ser pago ao ID: 17303)</t>
  </si>
  <si>
    <t>16/09/2025 16:37:48</t>
  </si>
  <si>
    <t>18016</t>
  </si>
  <si>
    <t>Remetente - () Boa tarde! Favor parametrizar campanha conforme abaixo. OBS: CONFORME ALINHADO, ESTE BONUS DEVERÁ SER REPASSADO AO CORRETOR ID: 17303. BANCO AMIGOZ - TODOS OS PRODUTOS - BONUS DE 4% BANCO CAPITLA CONSIG - TODA PRODUÇÃO DE CARTAO RMC E RCC - BONUS DE 1,70% CODIGO DO CORRETOR: 18016 PERIODO: 01/09/2025 a 30/09/2025 TIPO DE FECHAMENTO: MENSAL META: 1.000,00 PERCENTUAL DE PREMIO: CONFORME DESCRIÇÃO PARAMETRO: CONFORME DESCRIÇÃO ; Remetente - ()   Lucas, boa tarde. Campanha parametrizada. codigo 8758 8759  ;</t>
  </si>
  <si>
    <t>PARAMETRIZAR CAMPANHA - ID: 10293</t>
  </si>
  <si>
    <t>16/09/2025 16:33:42</t>
  </si>
  <si>
    <t>CAPITAL CONSIG - TODA PRODU??O</t>
  </si>
  <si>
    <t>Remetente - () Bopa tarde! Favor parametrizar campanha. CODIGO DO CORRETOR: 10293 PERIODO: 01/09/2025 a 30/09/2025 TIPO DE FECHAMENTO: MENSAL META: 1.000,00 PERCENTUAL DE PREMIO: 0,20% PARAMETRO: CAPITAL CONSIG - TODA PRODUÇÃO ; Remetente - ()    Lucas, boa tarde. Campanha parametrizada. codigo 8760 ;</t>
  </si>
  <si>
    <t>PARAMETRIZAR CAMPANHA - ID: 14986</t>
  </si>
  <si>
    <t>16/09/2025 16:28:09</t>
  </si>
  <si>
    <t>14986</t>
  </si>
  <si>
    <t>banco c6 - novo - inss - prazo maximo</t>
  </si>
  <si>
    <t>Remetente - () boa tarde! Favor parametrizar campanha. CODIGO DO CORRETOR: 14986 PERIODO: 01/09/2025 a 30/09/2025 TIPO DE FECHAMENTO: MENSAL META: 100.000,00 PERCENTUAL DE PREMIO: 0,20% PARAMETRO: banco c6 - novo - inss - prazo maximo ; Remetente - ()    Lucas, boa tarde. Campanha parametrizada. codigo 8761  ;</t>
  </si>
  <si>
    <t>PARAMETRIZAR CAMPANHA - ID: 4112</t>
  </si>
  <si>
    <t>16/09/2025 16:21:48</t>
  </si>
  <si>
    <t>4112</t>
  </si>
  <si>
    <t>BANCO DIGIO - GOV DE PERNAMBUCO E PREF DE RECIFE - NOVO E REFIN</t>
  </si>
  <si>
    <t>Remetente - () Boa tarde! Favor parametrizar campanha. CODIGO DO CORRETOR: 4112 PERIODO: 01/09/2025 a 30/09/2025 TIPO DE FECHAMENTO: MENSAL META: SEM META PERCENTUAL DE PREMIO: 0,10% PARAMETRO: BANCO DIGIO - GOV DE PERNAMBUCO E PREF DE RECIFE - NOVO E REFIN ; Remetente - ()    Lucas, boa tarde. Campanha parametrizada. codigo 8762  ;</t>
  </si>
  <si>
    <t>PARAMETRIZAR CAMPANHA - ID: 6230</t>
  </si>
  <si>
    <t>16/09/2025 16:16:21</t>
  </si>
  <si>
    <t>BANCO CASH CARD - TODAS OPERA??ES CONVENIOO PREFEITURA DE NATAL</t>
  </si>
  <si>
    <t>Remetente - () Prezados, boa tarde! Favor parametrizar campannha para os codigos abaixo. Obs: A parametrização é a mesma porem sao corretores diferentes. ID: 12524 6092 6109 CODIGO DO CORRETOR: CONFORME DESCRIÇÃO PERIODO: 01/09/2025 a 30/09/2025 TIPO DE FECHAMENTO: MENSAL META: SEM META PERCENTUAL DE PREMIO: 1% PARAMETRO: BANCO CASH CARD - TODAS OPERAÇÕES CONVENIOO PREFEITURA DE NATAL ; Remetente - ()     Lucas, boa tarde. Campanha parametrizada. codigo  8742 8743 8744  ;</t>
  </si>
  <si>
    <t>PARAMETRIZAR CAMPANHA - ID 17274</t>
  </si>
  <si>
    <t>16/09/2025 16:13:32</t>
  </si>
  <si>
    <t>17271</t>
  </si>
  <si>
    <t>Remetente - () CAMPANHA 1 - BANCO FACTA - SEM META - BONIFICAÇÃO 0,75 - FACTA / INSS / TODAS TABELAS E PRAZOS ( CONFORME PARAMETRO DO BANCO ) CAMPANHA 2 - BANCO BMG -SEM META- BONIFICAÇÃO 1,00% - PARAMETRO: BMG / CARTÃO E CARTÃO BENEFICIO / INSS E SIAPE CAMPANHA 3 - MEU CASH CARD - SEM META - BANIFICAÇÃO 1,80% - PARAMETRO TODAS AS TABELAS DO CONVENIO PREF DE NATAL - TODOS OS PRAZOS . CODIGO DO CORRETOR: 17271 PERIODO: 01/09 A 30/09 TIPO DE FECHAMENTO: MENSAL META: DESCRIÇAO PERCENTUAL DE PREMIO: DESCRIÇÃO PARAMETRO: DESCRIÇAO ; Remetente - ()    Josi, boa tarde. Campanha parametrizada. codigo 8748 8749 8750  ;</t>
  </si>
  <si>
    <t>PARAMETRIZAR CAMPANHA - ID: 10442</t>
  </si>
  <si>
    <t>16/09/2025 16:11:02</t>
  </si>
  <si>
    <t>10442</t>
  </si>
  <si>
    <t>CASH CARD - TODOS OS PRODUTOS - PREF NATAL</t>
  </si>
  <si>
    <t>Remetente - () BOA TARDE! Favor parametrizar campanha. CODIGO DO CORRETOR: 10442 PERIODO: 01/09/2025 a 30/09/2025 TIPO DE FECHAMENTO: MENSAL META: SEM META PERCENTUAL DE PREMIO: 1% PARAMETRO: CASH CARD - TODOS OS PRODUTOS - PREF NATAL ; Remetente - ()    Lucas, boa tarde. Campanha parametrizada. codigo 8763 ;</t>
  </si>
  <si>
    <t>PARAMETRIZAR CAMPANHA - ID: 6242</t>
  </si>
  <si>
    <t>16/09/2025 16:08:59</t>
  </si>
  <si>
    <t>6242</t>
  </si>
  <si>
    <t>BANCO CASH CARD - TODA OPERA??O DO CONVENIO PREF DE NATAL</t>
  </si>
  <si>
    <t>1,20%</t>
  </si>
  <si>
    <t>Remetente - () Boa tarde! Favor parametrizar campanha. CODIGO DO CORRETOR: 6242 PERIODO: 01/09/2025 a 30/09/2025 TIPO DE FECHAMENTO: MENSAL META: SEM META PERCENTUAL DE PREMIO: 1,20% PARAMETRO: BANCO CASH CARD - TODA OPERAÇÃO DO CONVENIO PREF DE NATAL ; Remetente - ()    Lucas, boa tarde. Campanha parametrizada. codigo 8764 ;</t>
  </si>
  <si>
    <t>PARAMETRIZAR CAMPANHA - ID: 16532</t>
  </si>
  <si>
    <t>16/09/2025 16:06:28</t>
  </si>
  <si>
    <t>16532</t>
  </si>
  <si>
    <t>TODA PRODU??O, BANCO AMIGOZ</t>
  </si>
  <si>
    <t>3%</t>
  </si>
  <si>
    <t>Remetente - () Prezados, boa tarde! Favor parametrizar campanha. CODIGO DO CORRETOR: 16532 PERIODO: 01/09/2025 a 30/09/2025 TIPO DE FECHAMENTO: MENSAL META: SEM META PERCENTUAL DE PREMIO: 3% PARAMETRO: TODA PRODUÇÃO, BANCO AMIGOZ ; Remetente - ()    Lucas, boa tarde. Campanha parametrizada. codigo 8765 ;</t>
  </si>
  <si>
    <t>PARAMETRIZAR CAMPANHA - ID: 10975</t>
  </si>
  <si>
    <t>16/09/2025 16:02:56</t>
  </si>
  <si>
    <t>10975</t>
  </si>
  <si>
    <t>TODA PRODU??O AMIGOZ</t>
  </si>
  <si>
    <t>Remetente - () Boa tarde! Favor parametrizar campanha. CODIGO DO CORRETOR: 10975 PERIODO: 01/09/2025 a 30/09/2025 TIPO DE FECHAMENTO: MENSAL META: SEM META PERCENTUAL DE PREMIO: 3% PARAMETRO: TODA PRODUÇÃO AMIGOZ ; Remetente - ()    Lucas, boa tarde. Campanha parametrizada. codigo 8766 ;</t>
  </si>
  <si>
    <t>PARAMETRIZAR CAMPANHA - ID: 14876</t>
  </si>
  <si>
    <t>16/09/2025 15:39:42</t>
  </si>
  <si>
    <t>14876</t>
  </si>
  <si>
    <t>Remetente - () Prezados, boa tarde! Favor parametrizar campanha conforme abaixo. BANCO AKI CAPITAL - CARTAO RMC E CARTAO RCC - TODOS OS CONVENIOS - BONUS DE 1,80% - SEM META BANCO AKI CAPITAL - TODAS AS OPERAÇÕES, EXCETO CARTAO RMC E CARTAO RCC - BONUS DE 0,50% - SEM META BANCO FACTA - TODA PRODUÇÃO ( CONFORME REGRA - BONUS DE 0,75% - SEM META CODIGO DO CORRETOR: 14876 PERIODO: 01/09/2025 a 30/09/2025 TIPO DE FECHAMENTO: MENSAL META: SEM META PERCENTUAL DE PREMIO: CONFORME DESCRIÇÃO PARAMETRO: CONFORME DESCRIÇÃO ; Remetente - ()    Lucas, boa tarde. Campanha parametrizada. codigo 8745 8746 8747  ;</t>
  </si>
  <si>
    <t>PARAMETRIZAR CAMPANHA ID 14722</t>
  </si>
  <si>
    <t>16/09/2025 13:45:59</t>
  </si>
  <si>
    <t>Remetente - () BOA TARDE! cAMPANHA 1: BANCO BMG - SEM META - BONIFICAÇÃO 0,50- PARAMETRO: BMG ? CARTÃO RMC E RCC ? DE ACORDO COM O FECHAMENTO DO BANCO. CAMPANHA 2: BANCO BMG - SEM META - BONIFICAÇÃO 0,20% - PARAMETRO: BMG ? EMPRESTIMO NOVO ? DE ACORDO COM O FECHAMENTO DO BANCO. CODIGO DO CORRETOR: 14722 PERIODO: 01/09 A 30/09 TIPO DE FECHAMENTO: MENSAL META: DESCRIÇAO PERCENTUAL DE PREMIO: DESCRIÇÃO PARAMETRO: DESCRIÇAO ; Remetente - ()    Josi, boa tarde. Campanha parametrizada. codigo 8768 ; Remetente - ()  tem tempo  codigo meta 8768 e 8769 ;</t>
  </si>
  <si>
    <t>PARAMETRIZAR CAMPANAHA - 15825/ 15468</t>
  </si>
  <si>
    <t>16/09/2025 10:42:11</t>
  </si>
  <si>
    <t>500.000,00 SENDO?150.000,00 DE BMG - CONV?NIOS?P?BLICOS?</t>
  </si>
  <si>
    <t>TODOS OS BANCOS E CONVENIOS</t>
  </si>
  <si>
    <t>Remetente - () Bom dia! A bonificação sera paga no codigo 15468 CODIGO DO CORRETOR: 15825/ 15468 PERIODO: 01/09 A 30/09 TIPO DE FECHAMENTO: MENSAL META: 500.000,00 SENDO 150.000,00 DE BMG - CONVÊNIOS PÚBLICOS  PERCENTUAL DE PREMIO: 0,30 PARAMETRO: TODOS OS BANCOS E CONVENIOS ; Remetente - ()    Josi, boa tarde. Campanha parametrizada. codigo 8786 8787  ;</t>
  </si>
  <si>
    <t>CAMPANHA SETEMBRO I COD 17875 I BANCO FACTA</t>
  </si>
  <si>
    <t>16/09/2025 09:33:38</t>
  </si>
  <si>
    <t>17875</t>
  </si>
  <si>
    <t>R$ 10.000,00</t>
  </si>
  <si>
    <t>Remetente - () Bom dia ! Gentileza parametrizar conforme solicitado. CODIGO DO CORRETOR: 17875 PERIODO: 01/09 A 30/09 TIPO DE FECHAMENTO: MENSAL META: R$ 10.000,00 PERCENTUAL DE PREMIO: 0,20 PARAMETRO: CONFORME REGRAS FACTA ; Remetente - ()    Bianca, boa tarde. Campanha parametrizada. codigo 8780 ;</t>
  </si>
  <si>
    <t>CAMPANHA SETEMBRO I COD 17023 I BANCO FACTA</t>
  </si>
  <si>
    <t>16/09/2025 09:31:50</t>
  </si>
  <si>
    <t>17023</t>
  </si>
  <si>
    <t>Remetente - () Bom dia ! Gentileza parametrizar conforme solicitado. CODIGO DO CORRETOR: 17023 PERIODO: 01/09 A 30/09 TIPO DE FECHAMENTO: MENSAL META: 1.000,00 PERCENTUAL DE PREMIO: 0,20 PARAMETRO: CONFORME REGRAS FACTA ; Remetente - ()    Bianca, boa tarde. Campanha parametrizada. codigo 8781 ;</t>
  </si>
  <si>
    <t>CAMPANHA SETEMBRO I COD 7677 I BANCO FACTA</t>
  </si>
  <si>
    <t>16/09/2025 09:30:25</t>
  </si>
  <si>
    <t>7677</t>
  </si>
  <si>
    <t>Remetente - () Bom dia ! Gentileza parametrizar conforme solicitado. CODIGO DO CORRETOR: 7677 PERIODO: 01/09 A 30/09 TIPO DE FECHAMENTO: MENSAL META: R$ 1.000,00 PERCENTUAL DE PREMIO: 0,20% PARAMETRO: CONFORME REGRAS FACTA ; Remetente - ()    Bianca, boa tarde. Campanha parametrizada. codigo 8782 ;</t>
  </si>
  <si>
    <t>PARAMETRIZAR CAMPANHA - ID 11489 / 17182</t>
  </si>
  <si>
    <t>16/09/2025 09:21:06</t>
  </si>
  <si>
    <t>ID 11489 / 17182</t>
  </si>
  <si>
    <t>BANCO DAYCOVAL ? GOV AM NOVO 120 MESES</t>
  </si>
  <si>
    <t>Remetente - () Bom dia! sera 01 campanha para cada codigo no mesmo parametro. CODIGO DO CORRETOR: ID 11489 / 17182 PERIODO: 01/09 A 30/09 TIPO DE FECHAMENTO: MENSAL META: 10.000,00 PERCENTUAL DE PREMIO: 0,40% PARAMETRO: BANCO DAYCOVAL ? GOV AM NOVO 120 MESES ; Remetente - ()  Josi, bom dia. Solicitação dupllicada  atraves do chamado  1772252  ;</t>
  </si>
  <si>
    <t>PARAMETRIZAR CAMPANHA BANCO FACTA - ID 14496</t>
  </si>
  <si>
    <t>15/09/2025 17:45:34</t>
  </si>
  <si>
    <t>100 MIL</t>
  </si>
  <si>
    <t>Remetente - () Boa tarde! CODIGO DO CORRETOR: 14496 PERIODO: 01/09 A 30/09 TIPO DE FECHAMENTO: MENSAL META: 100 MIL PERCENTUAL DE PREMIO: 0,50 PARAMETRO: Conforme regra Facta para bonificação ; Remetente - ()    Josi, boa tarde. Campanha parametrizada. codigo 8783  ;</t>
  </si>
  <si>
    <t>CAMPANHA SETEMBRO I COD 13749 I MEU CREDBANK</t>
  </si>
  <si>
    <t>15/09/2025 17:44:24</t>
  </si>
  <si>
    <t>MEU CREDBANK ? CLT ? TODOS OS PRAZOS ? CONTRATO NOVO ? TODAS AS TABELAS</t>
  </si>
  <si>
    <t>Remetente - () Boa tarde ! Gentileza parametrizar conforme solicitado. CODIGO DO CORRETOR: 13749 PERIODO: 01/09 A 30/09 TIPO DE FECHAMENTO: MENSAL META: SEM META PERCENTUAL DE PREMIO: 0,50% PARAMETRO: MEU CREDBANK ? CLT ? TODOS OS PRAZOS ? CONTRATO NOVO ? TODAS AS TABELAS ; Remetente - ()    Bianca, boa tarde. Campanha parametrizada. codigo 8805 ;</t>
  </si>
  <si>
    <t>PARAMETRIZAR CAMPANHA - ID: 16407</t>
  </si>
  <si>
    <t>15/09/2025 15:54:18</t>
  </si>
  <si>
    <t>16407</t>
  </si>
  <si>
    <t>CREFAZ - CR?DITO PESSOAL ENERGIA - TODOS - TODOS</t>
  </si>
  <si>
    <t>Remetente - () Boa tarde! Favor parametrizar campanha. CODIGO DO CORRETOR: 16407 PERIODO: 01/09/2025 a 30/09/2025 TIPO DE FECHAMENTO: MENSAL META: SEM META PERCENTUAL DE PREMIO: 0,20% PARAMETRO: CREFAZ - CRÉDITO PESSOAL ENERGIA - TODOS - TODOS ; Remetente - ()    Lucas, boa tarde. Campanha parametrizada. codigo 8804 ;</t>
  </si>
  <si>
    <t>PARAMETRIZAR CAMPANHA - ID: 6458</t>
  </si>
  <si>
    <t>15/09/2025 15:52:58</t>
  </si>
  <si>
    <t>6458</t>
  </si>
  <si>
    <t>DIGIO - INSS - PORTABILIDADE E REFIN DE PORT- TODOS</t>
  </si>
  <si>
    <t>Remetente - () Prezados, boa tarde! Favor parametrizar campanha. CODIGO DO CORRETOR: 6458 PERIODO: 01/09/2025 a 30/09/2025 TIPO DE FECHAMENTO: MENSAL META: SEM META PERCENTUAL DE PREMIO: 0,20% PARAMETRO: DIGIO - INSS - PORTABILIDADE E REFIN DE PORT- TODOS ; Remetente - ()    Lucas, boa tarde. Campanha parametrizada. codigo 8803 ;</t>
  </si>
  <si>
    <t>PARAMETRIZAR CAMPANHA - ID: 7157</t>
  </si>
  <si>
    <t>15/09/2025 15:51:15</t>
  </si>
  <si>
    <t>7157</t>
  </si>
  <si>
    <t>Remetente - () Boa tarde! Favor parametrizar CODIGO DO CORRETOR: 7157 PERIODO: 01/09/2025 a 30/09/2025 TIPO DE FECHAMENTO: MENSAL META: 1.000,00 PERCENTUAL DE PREMIO: 0,10% PARAMETRO: PAN - INSS - NOVO - TODOS ; Remetente - ()    Lucas, boa tarde. Campanha parametrizada. codigo 8802 ;</t>
  </si>
  <si>
    <t>PARAMETRIZAR CAMPANHA - ID: 17396</t>
  </si>
  <si>
    <t>15/09/2025 15:49:55</t>
  </si>
  <si>
    <t>17396</t>
  </si>
  <si>
    <t>BANCO DIGIO - SOMENTE PORTABILIDADE E REFIN DE PORT - CONVENIO INSS</t>
  </si>
  <si>
    <t>Remetente - () Boa tarde! Favor parametrizar. CODIGO DO CORRETOR: 17396 PERIODO: 01/09/2025 a 30/09/2025 TIPO DE FECHAMENTO: MENSAL META: SEM META PERCENTUAL DE PREMIO: 0,20% PARAMETRO: BANCO DIGIO - SOMENTE PORTABILIDADE E REFIN DE PORT - CONVENIO INSS ; Remetente - ()    Lucas, boa tarde. Campanha parametrizada. codigo 801 ; Remetente - ()  Em tempo meta8801  ;</t>
  </si>
  <si>
    <t>PARAMETRIZAR CAMPANHA 18351 QUERO MAIS</t>
  </si>
  <si>
    <t>SUELEN DA SILVA (U)</t>
  </si>
  <si>
    <t>15/09/2025 15:49:37</t>
  </si>
  <si>
    <t>18351</t>
  </si>
  <si>
    <t>SOMENTE SOBRE CONVENIO SIAPE</t>
  </si>
  <si>
    <t>Remetente - () POR GENTILEZA PARAMETRIZAR A CAMPANHA. CODIGO DO CORRETOR: 18351 PERIODO: 01/09/2025 A 30/09/2025 TIPO DE FECHAMENTO: MENSAL META: SEM META PERCENTUAL DE PREMIO: 0,20% PARAMETRO: SOMENTE SOBRE CONVENIO SIAPE ; Remetente - ()    Suelen , boa tarde. Campanha parametrizada. codigo 8800 ;</t>
  </si>
  <si>
    <t>PARAMETRIZAR CAMPANHA - ID: 16235</t>
  </si>
  <si>
    <t>15/09/2025 15:48:19</t>
  </si>
  <si>
    <t>16235</t>
  </si>
  <si>
    <t>Remetente - () BOA TARDE! Favor parametrizar CODIGO DO CORRETOR: 16235 PERIODO: 01/09/2025 a 30/09/2025 TIPO DE FECHAMENTO: MENSAL META: 1.000,00 PERCENTUAL DE PREMIO: 0,20% PARAMETRO: CREFAZ - CRÉDITO PESSOAL ENERGIA - TODOS - TODOS ; Remetente - ()    Lucas, boa tarde. Campanha parametrizada. codigo 8799 ;</t>
  </si>
  <si>
    <t>PARAMETRIZAR CAMPANHA - ID: 16024</t>
  </si>
  <si>
    <t>15/09/2025 15:47:02</t>
  </si>
  <si>
    <t>16024</t>
  </si>
  <si>
    <t>Remetente - () Boa tarde! Favor parametrizar campanha conforme abaixo. BANCO: LOTUS - FGTS - NOVO - META: 10.000,00 - BONUS 0,40%. BANCO: MEUCREDBANK - FGTS - NOVO - META: 10.000,00 - BONUS 0,20%. CODIGO DO CORRETOR: 16024 PERIODO: 01/09/2025 a 30/09/2025 TIPO DE FECHAMENTO: MENSAL META: 10.000,00 PERCENTUAL DE PREMIO: CONFORME DESCRIÇÃO PARAMETRO: CONFORME DESCRIÇÃO ; Remetente - ()    Lucas, boa tarde. Campanha parametrizada. codigo 8798 8797  ;</t>
  </si>
  <si>
    <t>PARAMETRIZAR CAMPANHA - ID: 11850</t>
  </si>
  <si>
    <t>15/09/2025 15:41:58</t>
  </si>
  <si>
    <t>11850</t>
  </si>
  <si>
    <t>TODA PRODU??O CREFAZ - CR?DITO PESSOAL ENERGIA</t>
  </si>
  <si>
    <t>Remetente - () Boa tarde! Favor parametrizar. CODIGO DO CORRETOR: 11850 PERIODO: 01/09/2025 a 30/09/2025 TIPO DE FECHAMENTO: MENSAL META: 50.000,00 PERCENTUAL DE PREMIO: 0,20% PARAMETRO: TODA PRODUÇÃO CREFAZ - CRÉDITO PESSOAL ENERGIA ; Remetente - ()    Lucas, boa tarde. Campanha parametrizada. codigo 8796  ;</t>
  </si>
  <si>
    <t>PARAMETRIZAR CAMPANHA - ID 1964</t>
  </si>
  <si>
    <t>15/09/2025 15:17:05</t>
  </si>
  <si>
    <t>1964</t>
  </si>
  <si>
    <t>120 MIL</t>
  </si>
  <si>
    <t>TODOS OS BANCOS, PRODUTOS E CONVENIOS</t>
  </si>
  <si>
    <t>01/09 A 31/12</t>
  </si>
  <si>
    <t>Remetente - () Boa tarde! CODIGO DO CORRETOR: 1964 PERIODO: 01/09 A 31/12 TIPO DE FECHAMENTO: MENSAL META: 120 MIL PERCENTUAL DE PREMIO: 0,40 PARAMETRO: TODOS OS BANCOS, PRODUTOS E CONVENIOS ; Remetente - ()    Josi, boa tarde. Campanha parametrizada. codigo 8795 ;</t>
  </si>
  <si>
    <t>PARAMETRIZAR CAMPANHA ID 17182 / 11489</t>
  </si>
  <si>
    <t>15/09/2025 15:10:30</t>
  </si>
  <si>
    <t>17182 / 11489</t>
  </si>
  <si>
    <t>GOVERNO AM E PREFEITURA DE MANAUS NOVO 120 MESES</t>
  </si>
  <si>
    <t>Remetente - () Boa tarde! CODIGO DO CORRETOR: 17182 / 11489 PERIODO: 01/09 A 30/09 TIPO DE FECHAMENTO: MENSAL META: 10 MIL PERCENTUAL DE PREMIO: 0,40% PARAMETRO: GOVERNO AM E PREFEITURA DE MANAUS NOVO 120 MESES ; Remetente - ()  Bom dia! PARAMETRO: GOVERNO AM E PREFEITURA DE MANAUS NOVO 120 MESES ( Banco Daycoval ). ; Remetente - ()  Por gentileza considerar uma campanha para cada codigo.; Remetente - ()    Josi, boa tarde. Campanha parametrizada. codigo 8794 8808  ;</t>
  </si>
  <si>
    <t>PARAMETRIZAR CAMPANHA ID 14170 - BANCO AMIGOZ</t>
  </si>
  <si>
    <t>15/09/2025 15:07:01</t>
  </si>
  <si>
    <t>14170</t>
  </si>
  <si>
    <t>TODA PRODUCAO DO BANCO AMIGOZ</t>
  </si>
  <si>
    <t>0,90%</t>
  </si>
  <si>
    <t>Remetente - () Boa tarde! CODIGO DO CORRETOR: 14170 PERIODO: 01/09 A 30/09 TIPO DE FECHAMENTO: MENSAL META: SEM META PERCENTUAL DE PREMIO: 0,90% PARAMETRO: TODA PRODUCAO DO BANCO AMIGOZ ; Remetente - ()  Josi, boa tarde. Campanha parametrizada. codigo 8793 ;</t>
  </si>
  <si>
    <t>PARAMETRIZAR CAMPANHA - ID: 15121</t>
  </si>
  <si>
    <t>15/09/2025 14:39:34</t>
  </si>
  <si>
    <t>15121</t>
  </si>
  <si>
    <t>Remetente - () Prezados, boa tarde! Favor parametrizar campanha conforme abaixo. considerar toda produção do bancos C6,facta e cashcard para atingimento da meta, porema bonificação será somente sobre os produtos abaixo. BANCO C6BANK , Produtos : NOVO ,CARTÃO (RMC e RCC ) , FGTS E CLT. TODOS OS CONVÊNIOS E PRAZOS. ( Dentro da métrica de bonificação do banco) BANCO CASH CARD, Produtos: CARTÃO(RCC). CONVÊNIO PREF DE CARIACICA, TODOS OS PRAZOS ( Dentro da métrica de bonificação do banco) BANCO FACTA , Produtos : NOVO ,CARTÃO (RMC e RCC) , FGTS E CLT ( considerando tabelas do banco que se enquadram a campanha) CODIGO DO CORRETOR: 15121 PERIODO: 01/09/2025 a 30/09/2025 TIPO DE FECHAMENTO: MENSAL META: 150.000,00 PERCENTUAL DE PREMIO: 0,30% PARAMETRO: CONFORME DESCRIÇÃO ; Remetente - ()  Lucas, bom dia. Nao tem como cosniderar conforme bonificacao no banco para C6- Casch card e Facta . Portanto foi considerado producao ototal considerado  os produtos e convenios citados. ; Remetente - ()   Lucas, bom dia. Campanha parametrizada. codigo 8792;</t>
  </si>
  <si>
    <t>PARAMETRIZAR CAMPANHA - meu credbank</t>
  </si>
  <si>
    <t>15/09/2025 14:30:36</t>
  </si>
  <si>
    <t>REFIN DE PORTABILIDADE - INSS - MEU CREDBANK</t>
  </si>
  <si>
    <t>Remetente - () Boa tarde! Favor parametrizar campanhas para os codigos ID: 9286 1929 7769 12153 7481 6048 16793 17324 8819 12295 CODIGO DO CORRETOR: CONFORME DESCRIÇÃO PERIODO: 01/09/2025 a 30/09/2025 TIPO DE FECHAMENTO: MENSAL META: 1.000,00 PERCENTUAL DE PREMIO: 0,10% PARAMETRO: REFIN DE PORTABILIDADE - INSS - MEU CREDBANK ; Remetente - ()   Lucas, bom dia. Campanha parametrizada. codigo : 8770 8771 8772 8773 8774 8775 8776 8777 8778 8779  ;</t>
  </si>
  <si>
    <t>PARAMETRIZAR CAMPANHA - ID: 14394</t>
  </si>
  <si>
    <t>15/09/2025 14:22:15</t>
  </si>
  <si>
    <t>14394</t>
  </si>
  <si>
    <t>Remetente - () Boa tarde! Favor parametrizar campanha conforme abaixo. Considerar toda produção para atingimento da meta , porém a bonificação será somente sobre os produtos NOVO , REFINANCIAMENTO ,CARTÃO (RMC e RCC ) e FGTS . BANCOS : BMG/PAN/C6 e FACTA , TODOS CONVÊNIOS. CODIGO DO CORRETOR: 14394 PERIODO: 01/09/2025 a 30/09/2025 TIPO DE FECHAMENTO: MENSAL META: 50.000,00 PERCENTUAL DE PREMIO: 0,30% PARAMETRO: CONFORME DESCRIÇÃO ; Remetente - ()   Lucas, bom dia. Campanha parametrizada. codigo 8791;</t>
  </si>
  <si>
    <t>PARAMETRIZAR CAMPANHA - ID: 12385</t>
  </si>
  <si>
    <t>15/09/2025 14:11:41</t>
  </si>
  <si>
    <t>12385</t>
  </si>
  <si>
    <t>Remetente - () Boa tarde! Favor parametrizar campanha conforme abaixo. BANCO QUERO MAIS - INSS - CARTAO E CARTAO BENEFICIO - BONUS DE 1% - SEM META BANCO FACTA - INSS - TODOS OS PRODUTOS CONFORME REGRA - BONUS DE 0,50% - SEM META CODIGO DO CORRETOR: 12385 PERIODO: 01/09/2025 a 30/09/2025 TIPO DE FECHAMENTO: MENSAL META: SEM META PERCENTUAL DE PREMIO: CONFORME DESCRIÇÃO PARAMETRO: CONFORME DESCRIÇÃO ; Remetente - ()   Lucas, bom dia. Campanha parametrizada. codigo 8790 8789  ;</t>
  </si>
  <si>
    <t>PARAMETRIZAR CAMPANHA - ID: 10461</t>
  </si>
  <si>
    <t>15/09/2025 14:09:06</t>
  </si>
  <si>
    <t>10461</t>
  </si>
  <si>
    <t>BANCO QUERO MAIS CREDITO - INSS - CART?O RMC e CB</t>
  </si>
  <si>
    <t>Remetente - () boa tarde! Favor parametrizar campanha CODIGO DO CORRETOR: 10461 PERIODO: 01/09/2025 a 30/09/2025 TIPO DE FECHAMENTO: MENSAL META: SEM META PERCENTUAL DE PREMIO: 1% PARAMETRO: BANCO QUERO MAIS CREDITO - INSS - CARTÃO RMC e CB ; Remetente - ()  Lucas, bom dia. Campanha parametrizada. codigo 8788 ;</t>
  </si>
  <si>
    <t>PARAMETRIZAR CAMPANHA - ID: 8687</t>
  </si>
  <si>
    <t>15/09/2025 14:07:43</t>
  </si>
  <si>
    <t>8687</t>
  </si>
  <si>
    <t>FACTA INSS - TODOS PRODUTOS CONFORME REGRA</t>
  </si>
  <si>
    <t>Remetente - () Boa tarde! Favor parametrizar campanha. CODIGO DO CORRETOR: 8687 PERIODO: 01/09/2025 a 30/09/2025 TIPO DE FECHAMENTO: MENSAL META: SEM META PERCENTUAL DE PREMIO: 0,10% PARAMETRO: FACTA INSS - TODOS PRODUTOS CONFORME REGRA ; Remetente - ()   Lucas, bom dia. Campanha parametrizada. codigo 8784;</t>
  </si>
  <si>
    <t>PARAMETRIZAR CAMPANHA - ID: 2240</t>
  </si>
  <si>
    <t>15/09/2025 14:02:41</t>
  </si>
  <si>
    <t>2240</t>
  </si>
  <si>
    <t>TODA PRODU??O BANCO FACTA CONFORME REGRA</t>
  </si>
  <si>
    <t>Remetente - () Boa tarde! Favor parametrizar campanha. CODIGO DO CORRETOR: 2240 PERIODO: 01/09/2025 a 30/09/2025 TIPO DE FECHAMENTO: MENSAL META: 1.000,00 PERCENTUAL DE PREMIO: 0,75% PARAMETRO: TODA PRODUÇÃO BANCO FACTA CONFORME REGRA ; Remetente - ()   Lucas, bom dia. Campanha parametrizada. codigo 8785;</t>
  </si>
  <si>
    <t>PARAMETRIZAR CAMPANHA - ID: 16958</t>
  </si>
  <si>
    <t>15/09/2025 14:01:07</t>
  </si>
  <si>
    <t>16958</t>
  </si>
  <si>
    <t>CONSIDERAR TODA PRODU??O FACTA, CONFORME REGRA.</t>
  </si>
  <si>
    <t>Remetente - () Boa tarde! Favor parametrizar regra. CODIGO DO CORRETOR: 16958 PERIODO: 01/09/2025 a 30/09/2025 TIPO DE FECHAMENTO: MENSAL META: 1.000,00 PERCENTUAL DE PREMIO: 0,75% PARAMETRO: CONSIDERAR TODA PRODUÇÃO FACTA, CONFORME REGRA. ; Remetente - ()  Lucas, bom dia, Campanha ja parametrizada,  atraves do chamado  1769185 onde foi alteradao para 0,75  ;</t>
  </si>
  <si>
    <t>PARAMETRIZAR CAMPANHA - ID: 14129</t>
  </si>
  <si>
    <t>15/09/2025 13:57:59</t>
  </si>
  <si>
    <t>14129</t>
  </si>
  <si>
    <t>Remetente - () Boa tarde! Favor parametrizar campanha conforme abaixo. BANCO CREDBANK - BONUS DE 0,30%, CONSIDERAR SOMENTE REFIN DE PORTABILIDADE - CONVENIO INSS BANCO DIGIO - BONUS DE 0,50% - CONSIDERAR SOMENTE REFIN DE PORTABILIDADE - CONVENIO INSS CODIGO DO CORRETOR: 14129 PERIODO: 01/09/2025 a 30/09/2025 TIPO DE FECHAMENTO: MENSAL META: 1.000,00 PERCENTUAL DE PREMIO: CONFORME DESCRIÇÃO PARAMETRO: CONFORME DESCRIÇÃO ; Remetente - ()  Lucas, bom dia. Campanha parametrizada  meta 8703  ; Remetente - ()   Lucas, bom dia. Campanha parametrizada  8703 8704  ;</t>
  </si>
  <si>
    <t>PARAMETRIZAR CAMPANHA - ID 5055 / 14961 / 15513</t>
  </si>
  <si>
    <t>15/09/2025 12:35:16</t>
  </si>
  <si>
    <t>5055 14961 15513</t>
  </si>
  <si>
    <t>C6 PRODU??O GERAL</t>
  </si>
  <si>
    <t>Remetente - () Boa tarde! CODIGO DO CORRETOR: 5055 14961 15513 PERIODO: 01/09 A 30/09 TIPO DE FECHAMENTO: MENSAL META: 1000 PERCENTUAL DE PREMIO: 0,20% PARAMETRO: C6 PRODUÇÃO GERAL ; Remetente - ()  Bom dia! Gentileza considerar uma campanha para cada codigo.; Remetente - ()   Josi , bom dia. Campanha parametrizada  8705 8706 8707  ;</t>
  </si>
  <si>
    <t>PARAMETRIZAR CAMPANHA - ID: 14071</t>
  </si>
  <si>
    <t>15/09/2025 11:18:20</t>
  </si>
  <si>
    <t>14071</t>
  </si>
  <si>
    <t>TODA PRODU??O BANCO DAYCOVAL</t>
  </si>
  <si>
    <t>Remetente - () Bom dia! Favo parametrizar campanha CODIGO DO CORRETOR: 14071 PERIODO: 01/09/2025 a 30/09/2025 TIPO DE FECHAMENTO: MENSAL META: 10.000,00 PERCENTUAL DE PREMIO: 0,20% PARAMETRO: TODA PRODUÇÃO BANCO DAYCOVAL ; Remetente - ()   Lucas, bom dia. Campanha parametrizada meta 8708;</t>
  </si>
  <si>
    <t>PARAMETRIZAR CAMPANHA - ID: 17622</t>
  </si>
  <si>
    <t>15/09/2025 11:05:48</t>
  </si>
  <si>
    <t>17622</t>
  </si>
  <si>
    <t>toda produ??o do presen?a bank</t>
  </si>
  <si>
    <t>Remetente - () bOM DIA! Favor parametrizar campanha. CODIGO DO CORRETOR: 17622 PERIODO: 01/09/2025 a 30/09/2025 TIPO DE FECHAMENTO: MENSAL META: SEM META PERCENTUAL DE PREMIO: 0,50% PARAMETRO: toda produção do presença bank ; Remetente - ()   Lucas, bom dia. Campanha parametrizada 8709;</t>
  </si>
  <si>
    <t>CAMPANHA SETEMBRO I COD 18358 I BANCO FACTA</t>
  </si>
  <si>
    <t>15/09/2025 10:59:20</t>
  </si>
  <si>
    <t>18358</t>
  </si>
  <si>
    <t>Remetente - () Bom dia! Gentileza parametrizar conforme solicitado. CODIGO DO CORRETOR: 18358 PERIODO: 01/09 A 30/09 TIPO DE FECHAMENTO: MENSAL META: SEM META PERCENTUAL DE PREMIO: 0,75 PARAMETRO: CONFORME REGRAS FACTA ; Remetente - ()   Bianca, bom dia. Campanha parametrizada  meta 8710  ;</t>
  </si>
  <si>
    <t>15/09/2025 10:51:30</t>
  </si>
  <si>
    <t>BANCO DAYCOVAL -</t>
  </si>
  <si>
    <t>0,13%</t>
  </si>
  <si>
    <t>Remetente - () Bom dia! Favor parametrizar campanha, considerar somente contrato novo, banco Daycoval, para os convenios abaixo. (BOMBEIROS ; EXERCITO ; IPREMU ; IPSEMG ; IPSM ; PMMG ; PREFEITURA DE BELO HORIZONTE PREFEITURA DE BETIM PREFEITURA DE CONTAGEM PREFEITURA DE GOV VALADARES PREFEITURA DE JUIZ DE FORA PREFEITURA DE RIB DAS NEVES PREFEITURA DE SETE LAGOAS PREFEITURA DE UBERABA SEPLAG SIAPE CODIGO DO CORRETOR: 695 PERIODO: 01/09/2025 a 30/09/2025 TIPO DE FECHAMENTO: MENSAL META: SEM META PERCENTUAL DE PREMIO: 0,13% PARAMETRO: BANCO DAYCOVAL - ; Remetente - ()   Lucas, bom dia. Campanha parametrizada  meta 8711  ;</t>
  </si>
  <si>
    <t>PARAMETRIZAR CAMPANHA - ID: 8447</t>
  </si>
  <si>
    <t>15/09/2025 10:28:16</t>
  </si>
  <si>
    <t>8447</t>
  </si>
  <si>
    <t>CREDBANK- INSS NOVO - 96 e 84X</t>
  </si>
  <si>
    <t>Remetente - () Prezados, bom dia! Favor parametrizar campanha. CODIGO DO CORRETOR: 8447 PERIODO: 01/09/2025 a 30/09/2025 TIPO DE FECHAMENTO: MENSAL META: SEM META PERCENTUAL DE PREMIO: 0,50% PARAMETRO: CREDBANK- INSS NOVO - 96 e 84X ; Remetente - ()   Lucas, bom dia. Campanha parametrizada meta 8711;</t>
  </si>
  <si>
    <t>PARAMETRIZAR CAMPANHA - ID: 10815</t>
  </si>
  <si>
    <t>15/09/2025 10:23:52</t>
  </si>
  <si>
    <t>10815</t>
  </si>
  <si>
    <t>Remetente - () Bom dia! Favor parametrizar campanha conforme abaixo. BANCO AMIGOZ - TODA PRODUÇÃO - BONUS 3% BANCO MEUCREDBANK - INSS NOVO 96 E 84X - BONUS 0,30% CODIGO DO CORRETOR: 10815 PERIODO: 01/09/2025 a 30/09/2025 TIPO DE FECHAMENTO: MENSAL META: SEM META PERCENTUAL DE PREMIO: CONFORME DESCRIÇÃO PARAMETRO: CONFORME DESCRIÇÃO ; Remetente - ()   Lucas, bom dia. Campanha parametrizada  meta 8713 8714  ; Remetente - ()  ;</t>
  </si>
  <si>
    <t>PARAMETRIZAR CAMPANHA - ID: 12932</t>
  </si>
  <si>
    <t>15/09/2025 10:21:14</t>
  </si>
  <si>
    <t>12932</t>
  </si>
  <si>
    <t>Remetente - () Prezados, bom dia! Favor parametrizar campanha conforme abaixo. BANCO AMIGOZ - TODA PRODUÇÃO - BONUS 3,70% BANCO CREDBANK - INSS NOVO - 94 E 84X - BONUS 1% CODIGO DO CORRETOR: 12932 PERIODO: 01/09/2025 a 30/09/2025 TIPO DE FECHAMENTO: MENSAL META: SEM META PERCENTUAL DE PREMIO: CONFORME DESCRIÇÃO PARAMETRO: CONFORME DESCRIÇÃO ; Remetente - ()   Lucas, bom dia. Campanha parametrizada  meta 8715 e 8716;</t>
  </si>
  <si>
    <t>PARAMETRIZAR CAMPANHA - ID: 9067</t>
  </si>
  <si>
    <t>15/09/2025 10:06:32</t>
  </si>
  <si>
    <t>9067</t>
  </si>
  <si>
    <t>Remetente - () Bom dia! Favor parametrizar campanha abaixo. *BANCO DIGIO - CONTRATO NOVO - GOVERNO MS e IMPCG - PERIODO 01/09/2025 A 04/09/2025 - BONUS DE 0,60% *BANCO DIGIO - CONTRATO NOVO - GOVERNO MS e IMPCG - PERIODO 05/09/2025 A 30/09/2025 - BONUS DE 0,15% * BANCO DAYCOVAL - CONTRATO NOVO - TODOS OS CONVENIOS - BONUS DE 0,60% - PERIODO 01/09/2025 A 30/09/2025. CODIGO DO CORRETOR: 9067 PERIODO: CONFORME DESCRIÇÃO TIPO DE FECHAMENTO: MENSAL META: SEM META PERCENTUAL DE PREMIO: CONFORME DESCRIÇÃO PARAMETRO: CONFORME DESCRIÇÃO ; Remetente - ()   Lucas, bom dia. Campanha parametrizada  meta 8717 8718 8719  ;</t>
  </si>
  <si>
    <t>PARAMETRIZAR CAMPANHA - ID: 11293</t>
  </si>
  <si>
    <t>15/09/2025 10:01:10</t>
  </si>
  <si>
    <t>11293</t>
  </si>
  <si>
    <t>toda opera??o fgts banco lotus</t>
  </si>
  <si>
    <t>Remetente - () pREZADOS, BOM DIA! Favor parametrizar campanha. CODIGO DO CORRETOR: 11293 PERIODO: 01/09/2025 a 30/09/2025 TIPO DE FECHAMENTO: MENSAL META: SEM META PERCENTUAL DE PREMIO: 1% PARAMETRO: toda operação fgts banco lotus ; Remetente - ()   Lucas, bom dia. Campanha parametrizada  meta 8720; Remetente - ()  ;</t>
  </si>
  <si>
    <t>15/09/2025 09:47:36</t>
  </si>
  <si>
    <t>6340</t>
  </si>
  <si>
    <t>considerar somente refin de port inss - banco meu credbank</t>
  </si>
  <si>
    <t>01/09/2025 a 31/10/2025</t>
  </si>
  <si>
    <t>Remetente - () BOM DIA! Favor parametrizar campanha, considerar somente refin de portabilidade inss. obs: Campanha será valida para 2 meses porem com o fechamento mensal. CODIGO DO CORRETOR: 6340 PERIODO: 01/09/2025 a 31/10/2025 TIPO DE FECHAMENTO: MENSAL META: SEM META PERCENTUAL DE PREMIO: 0,70% PARAMETRO: considerar somente refin de port inss - banco meu credbank ; Remetente - ()   Lucas, bom dia. Campanha parametrizada  meta  8721 8722  ;</t>
  </si>
  <si>
    <t>PARAMETRIZAR CAMPANHA - ID: 17199/ 14016</t>
  </si>
  <si>
    <t>15/09/2025 09:36:00</t>
  </si>
  <si>
    <t>TODA PRODU??O DO BANCO FACTA</t>
  </si>
  <si>
    <t>Remetente - () Bom dia! Favo rparametrizar campanha. considerar tioda produção Facta conforme regra. O credito deverá ser pago nso dadosbancarios do codigo ID: 14016. CODIGO DO CORRETOR: 17199/ 14016 PERIODO: 01/09/2025 a 30/09/2025 TIPO DE FECHAMENTO: MENSAL META: SEM META PERCENTUAL DE PREMIO: 0,50% PARAMETRO: TODA PRODUÇÃO DO BANCO FACTA ; Remetente - ()   Lucas, bom dia. Campanha parametrizada  meta 8723;</t>
  </si>
  <si>
    <t>CAMPANHA BANCO DIGIO l CÓDIGO 6816 l GC MAURICIO SANTOS</t>
  </si>
  <si>
    <t>12/09/2025 17:45:22</t>
  </si>
  <si>
    <t>6816</t>
  </si>
  <si>
    <t>1,0%</t>
  </si>
  <si>
    <t>Remetente - () Suporte, boa tarde! Gentileza cadastrar campanha conforme abaixo e planilha em anexo. CODIGO DO CORRETOR: 6816 PERIODO: 01/09/2025 a 30/09/2025 TIPO DE FECHAMENTO: MENSAL META: 0,01 PERCENTUAL DE PREMIO: 1,0% PARAMETRO: TODA PRODUÇÃO BANCO DIGIO DE ACORDO COM A REGRA DA CAMPNAHA DO DIGIO ; Remetente - () Novo arquivo enviado: CAMPANHACLAUCIO6816DIGIO(1)_2025_09_12_17_45_22.xlsx; Remetente - ()   Fabi, bom dia. Campanha parametrizada  meta 8724 Obs: Não tem como considerar toda produção confomre campanha do banco,  portanto foi considerado toda produção ;</t>
  </si>
  <si>
    <t>CAMPANHA BANCO FACTA I 18290</t>
  </si>
  <si>
    <t>12/09/2025 09:56:55</t>
  </si>
  <si>
    <t>18290</t>
  </si>
  <si>
    <t>Remetente - () Prezados(a), bom dia ! Gentileza parametrizar campanha conforme solicitada pela GC Renata Gomes e acordada pelo diretor Danilo Ferreira. CODIGO DO CORRETOR: 18290 PERIODO: 01/09 À 30/09 TIPO DE FECHAMENTO: MENSAL META: SEM META PERCENTUAL DE PREMIO: 0,75% PARAMETRO: CONFORME REGRAS FACTA ; Remetente - ()  Barbara, boa tarde. Campanha parametrizada. meta 8682   ;</t>
  </si>
  <si>
    <t>CAMPANHA BANCO FACTA I 18120</t>
  </si>
  <si>
    <t>12/09/2025 09:28:04</t>
  </si>
  <si>
    <t>18120</t>
  </si>
  <si>
    <t>Remetente - () Prezados(a), bom dia! Gentileza parametrizar conforme solicitado pela GC Fernanda Otani e acordado pelo diretor Danilo Melo. CODIGO DO CORRETOR: 18120 PERIODO: 01/09 À 30/09 TIPO DE FECHAMENTO: MENSAL META: SEM META PERCENTUAL DE PREMIO: 0,75% PARAMETRO: CONFORME REGRAS FACTA ; Remetente - ()  Barbara, boa tarde. Campanha parametrizada. meta 8681  ;</t>
  </si>
  <si>
    <t>CAMPANHA C6 I 16872</t>
  </si>
  <si>
    <t>12/09/2025 09:20:13</t>
  </si>
  <si>
    <t>16872</t>
  </si>
  <si>
    <t>PRODU??O GERAL DO PRODUTO CLT</t>
  </si>
  <si>
    <t>Remetente - () Prezados(a), bom dia ! Gentileza parametrizar campanha conforme solicitado pelo GC Alex Silva e acordado pelo Diretor Danilo. CODIGO DO CORRETOR: 16872 PERIODO: 01/09 À 30/09 TIPO DE FECHAMENTO: MENSAL META: SEM META PERCENTUAL DE PREMIO: 0,30% PARAMETRO: PRODUÇÃO GERAL DO PRODUTO CLT ; Remetente - ()  Barbara, bom dia Campanha parametrizada. meta 8688;</t>
  </si>
  <si>
    <t>CAMPANHA BANCO FACTA I 16988</t>
  </si>
  <si>
    <t>12/09/2025 09:08:53</t>
  </si>
  <si>
    <t>16988</t>
  </si>
  <si>
    <t>Remetente - () Prezados(a), bom dia! Gentileza parametrizar campanha conforme solicitado pela GC Fernanda Otani e acordada pelo diretor Danilo Ferreira. CODIGO DO CORRETOR: 16988 PERIODO: 01/09 À 30/09 TIPO DE FECHAMENTO: MENSAL META: SEM META PERCENTUAL DE PREMIO: 0,75% PARAMETRO: CONFORME REGRAS FACTA ; Remetente - ()  Barbara, boa tarde. Campanha parametrizada. meta 8680  ;</t>
  </si>
  <si>
    <t>PARAMETRIZAR CAMPANHA AMIGOZ - ID 18231</t>
  </si>
  <si>
    <t>11/09/2025 16:48:35</t>
  </si>
  <si>
    <t>18231</t>
  </si>
  <si>
    <t>BANCO AMIGOZ - TODOS OS PRODUTOS/ TODOS OS PRAZOS</t>
  </si>
  <si>
    <t>3,50</t>
  </si>
  <si>
    <t>Remetente - () Boa tarde! CODIGO DO CORRETOR: 18231 PERIODO: 01/09 A 30/09 TIPO DE FECHAMENTO: MENSAL META: SEM META PERCENTUAL DE PREMIO: 3,50 PARAMETRO: BANCO AMIGOZ - TODOS OS PRODUTOS/ TODOS OS PRAZOS ; Remetente - ()  Josi, bom dia Campanha parametrizada. meta 8700;</t>
  </si>
  <si>
    <t>PARAMETRIZAR CAMPANHA BANCO FATA I 18198</t>
  </si>
  <si>
    <t>11/09/2025 15:58:21</t>
  </si>
  <si>
    <t>18198</t>
  </si>
  <si>
    <t>Remetente - () Prezados(a), boa tarde ! Gentileza parametrizar campanha banco FACTA conforme solicitado pelo diretor Danilo ferreira. CODIGO DO CORRETOR: 18198 PERIODO: 01/09 À 30/09 TIPO DE FECHAMENTO: MENSAL META: SEM META PERCENTUAL DE PREMIO: 0,35% PARAMETRO: CONFORME REGRAS FACTA ; Remetente - ()  Barbara, boa tarde. Campanha parametrizada. meta 8678 ;</t>
  </si>
  <si>
    <t>PARAMETRIZAR CAMPANHA BANCO FACTA I 11208</t>
  </si>
  <si>
    <t>11/09/2025 15:48:42</t>
  </si>
  <si>
    <t>11208</t>
  </si>
  <si>
    <t>Remetente - () Prezados(a), boa tarde ! Gentileza parametrizar campanha banco FACTA conforme solicitado pelo GC FErnando e acordado pelo diretor André Medeiros. CODIGO DO CORRETOR: 11208 PERIODO: 01/09 À 30/09 TIPO DE FECHAMENTO: MENSAL META: SEM META PERCENTUAL DE PREMIO: 0,50% PARAMETRO: CONFORME REGRAS FACTA ; Remetente - ()  Barbara, boa tarde. Campanha parametrizada. meta 8677;</t>
  </si>
  <si>
    <t>PARAMETRIZAR CAMPANHA BANCO FACTA 16358</t>
  </si>
  <si>
    <t>11/09/2025 15:28:20</t>
  </si>
  <si>
    <t>Remetente - () Prezados(a), boa tarde ! Gentileza parametrizar campanha conforme solicitado pela GC Fernanda Otani e acordada pelo diretor Danilo Melo. CODIGO DO CORRETOR: 16358 PERIODO: 01/09 À 30/09 TIPO DE FECHAMENTO: MENSAL META: SEM META PERCENTUAL DE PREMIO: 0,60% PARAMETRO: CONFORME REGRAS FACTA ; Remetente - ()  Barbara, boa tarde. Campanha parametrizada. meta 8675 ;</t>
  </si>
  <si>
    <t>PARAMETRIZAR CAMPANHA BANCO FACTA I 18064</t>
  </si>
  <si>
    <t>11/09/2025 15:26:24</t>
  </si>
  <si>
    <t>18064</t>
  </si>
  <si>
    <t>CONFORME REGRAS FACTA]</t>
  </si>
  <si>
    <t>Remetente - () Prezados(A), boa tarde ! Gentileza parametrizar campanha conforme solicitado pela GC Fernanda Otani e acordada pelo diretor Danilo Ferreira. CODIGO DO CORRETOR: 18064 PERIODO: 01/09 À 30/09 TIPO DE FECHAMENTO: MENSAL META: SEM META PERCENTUAL DE PREMIO: 0,50% PARAMETRO: CONFORME REGRAS FACTA] ; Remetente - ()  Barbara, boa tarde. Campanha parametrizada. meta 8674;</t>
  </si>
  <si>
    <t>CAMPANHA BANCO FACTA I 12378/ 16872</t>
  </si>
  <si>
    <t>11/09/2025 15:24:17</t>
  </si>
  <si>
    <t>Remetente - () Prezados(a), boa tarde ! Gentileza cadastrar campanha banco FACTA para os códigos (12378/16872) conforme solicitado pelo GC Alex Silva e acordado pelo diretor Danilo Ferreira. o crédito deverá ser realizado junto ao código 16872. CODIGO DO CORRETOR: 12378/ 16872 PERIODO: 01/09 À 30/09 TIPO DE FECHAMENTO: MENSAL META: SEM META PERCENTUAL DE PREMIO: 0,60% PARAMETRO: CONFORME REGRAS FACTA ; Remetente - ()  Barbara, boa tarde. Campanha parametrizada. meta 8673 ;</t>
  </si>
  <si>
    <t>CAMPANHA FACTA I 18151</t>
  </si>
  <si>
    <t>11/09/2025 15:20:05</t>
  </si>
  <si>
    <t>18151</t>
  </si>
  <si>
    <t>Remetente - () Prezados(a), boa tarde ! Gentileza parametrizar campanha FACTA conforme solicitado pela GC Fernanda Otani e acordada pelo Diretor Danilo Ferreira. CODIGO DO CORRETOR: 18151 PERIODO: 01/09 À 30/09 TIPO DE FECHAMENTO: MENSAL META: SEM META PERCENTUAL DE PREMIO: 0,50% PARAMETRO: CONFORME REGRAS FACTA ; Remetente - ()  Barbara, boa tarde. Campanha parametrizada. meta 8672 ;</t>
  </si>
  <si>
    <t>PARAMETRIZAR CAMPANHA BANCO FACTA-JAP APOIO ADMINISTRATIVO E PROSPEC-35.857.628/0001-92</t>
  </si>
  <si>
    <t>CAMILA KELEM NEPOMUCENO (U)</t>
  </si>
  <si>
    <t>10/09/2025 14:11:05</t>
  </si>
  <si>
    <t>18316</t>
  </si>
  <si>
    <t>CONFORME PARAMETRO DO BANCO</t>
  </si>
  <si>
    <t>mensal</t>
  </si>
  <si>
    <t>Remetente - () PARAMETRIZAR CAMPANHA BANCO FACTAJAP APOIO ADMINISTRATIVO E PROSPEC35.857.628/0001-92 CODIGO DO CORRETOR: 18316 PERIODO: 01/09/2025 A 30/09/2025 TIPO DE FECHAMENTO: mensal META: 50.000,00 PERCENTUAL DE PREMIO: 0,75 PARAMETRO: CONFORME PARAMETRO DO BANCO ; Remetente - ()  Camila, bom dia Campanha parametrizada. meta 8698;</t>
  </si>
  <si>
    <t>PARAMETRIZAR CAMPANHA PAN-51.768.856 THAIS DINNEBIER BARCELLOS BOYEN-51.768.856/0001-42</t>
  </si>
  <si>
    <t>10/09/2025 11:45:52</t>
  </si>
  <si>
    <t>14641</t>
  </si>
  <si>
    <t>PAN, NOVO, GOVERNO DO PR, PRAZO 96x</t>
  </si>
  <si>
    <t>Remetente - () PARAMETRIZAR CAMPANHA PAN51.768.856 THAIS DINNEBIER BARCELLOS BOYEN51.768.856/0001-42 CODIGO DO CORRETOR: 14641 PERIODO: 01/09/2025 A 30/09/2025 TIPO DE FECHAMENTO: mensal META: 10.000,00 PERCENTUAL DE PREMIO: 0,20% PARAMETRO: PAN, NOVO, GOVERNO DO PR, PRAZO 96x ; Remetente - ()  Camila, bom dia Campanha parametrizada.   meta 8689 ;</t>
  </si>
  <si>
    <t>CAMPANHA SETEMBRO I COD 16958 I BANCO FACTA</t>
  </si>
  <si>
    <t>10/09/2025 10:31:54</t>
  </si>
  <si>
    <t>Remetente - () BOM DIA ! GENTILEZA PARAMETRIZAR CONFORME SOLICITADO. CODIGO DO CORRETOR: 16958 PERIODO: 01/09 A 30/09 TIPO DE FECHAMENTO: MENSAL META: 1.000,00 PERCENTUAL DE PREMIO: 0,75 PARAMETRO: CONFORME REGRAS FACTA ; Remetente - ()  Bianca, boa tarde. Campanha parametrizada. meta 8671; Remetente - ()  ;</t>
  </si>
  <si>
    <t>CAMPANHA SETEMBRO I COD 17714 I BANCO MASTER</t>
  </si>
  <si>
    <t>10/09/2025 10:30:09</t>
  </si>
  <si>
    <t>17714</t>
  </si>
  <si>
    <t>PRODU??O BANCO MASTER (TODOS OS CONV?NIOS)</t>
  </si>
  <si>
    <t>0,45</t>
  </si>
  <si>
    <t>Remetente - () BOM DIA ! GENTILEZA PARAMETRIZAR CONFORME SOLICITADO. CODIGO DO CORRETOR: 17714 PERIODO: 01/09 A 30/09 TIPO DE FECHAMENTO: MENSAL META: 1.000,00 PERCENTUAL DE PREMIO: 0,45 PARAMETRO: PRODUÇÃO BANCO MASTER (TODOS OS CONVÊNIOS) ; Remetente - ()  Bianca, bom dia Campanha parametrizada. meta 8693;</t>
  </si>
  <si>
    <t>CAMPANHA SETEMBRO I COD 17253 I BANCO FACTA</t>
  </si>
  <si>
    <t>10/09/2025 10:27:25</t>
  </si>
  <si>
    <t>17253</t>
  </si>
  <si>
    <t>Remetente - () Bom dia ! Gentileza parametrizar conforme solicitado. CODIGO DO CORRETOR: 17253 PERIODO: 01/9 A 30/09 TIPO DE FECHAMENTO: MENSAL META: 1.000,00 PERCENTUAL DE PREMIO: 0,75 PARAMETRO: CONFORME REGRAS FACTA ; Remetente - ()  Bianca, boa tarde. Campanha parametrizada. meta 8670;</t>
  </si>
  <si>
    <t>CAMPANHA BANCO FACTA l CÓDIGO 13669 l GC HAROLDO PERATELLI</t>
  </si>
  <si>
    <t>10/09/2025 10:18:48</t>
  </si>
  <si>
    <t>13669</t>
  </si>
  <si>
    <t>EM CIMA DAS TABELAS QUE RECEBEMOS DO BANCO EXCETO CLT E FGTS LIGHT</t>
  </si>
  <si>
    <t>Remetente - () Suporte, bom dia! Gentileza cadastrar campanha conforme abaixo e planilha em anexo. CODIGO DO CORRETOR: 13669 PERIODO: 01/09/2025 a 30/09/2025 TIPO DE FECHAMENTO: MENSAL META: SEM META PERCENTUAL DE PREMIO: 0,30% PARAMETRO: EM CIMA DAS TABELAS QUE RECEBEMOS DO BANCO EXCETO CLT E FGTS LIGHT ; Remetente - () Novo arquivo enviado: BONUSFACTAJEFERSON13669-09-2025(1)_2025_09_10_10_18_48.xlsx; Remetente - ()  Fabi, bom dia Campanha parametrizada. meta 8699;</t>
  </si>
  <si>
    <t>CAMPANHA SETEMBRO I COD 11900 I BANCO DIGIO</t>
  </si>
  <si>
    <t>10/09/2025 10:08:17</t>
  </si>
  <si>
    <t>11900</t>
  </si>
  <si>
    <t>DIGIO, INSS, NOVO, PORTABILIDADE, REFIN DE PORT</t>
  </si>
  <si>
    <t>Remetente - () Bom dia ! Gentileza parametrizar conforme solicitado. CODIGO DO CORRETOR: 11900 PERIODO: 01/09 A 30/09 TIPO DE FECHAMENTO: MENSAL META: 100.000,00 PERCENTUAL DE PREMIO: 0,30 PARAMETRO: DIGIO, INSS, NOVO, PORTABILIDADE, REFIN DE PORT ; Remetente - ()  Bianca, bom dia Campanha parametrizada. meta 8690;</t>
  </si>
  <si>
    <t>CAMPANHA SETEMBRO I COD 13711 I BANCO FACTA</t>
  </si>
  <si>
    <t>10/09/2025 09:32:04</t>
  </si>
  <si>
    <t>13711</t>
  </si>
  <si>
    <t>Remetente - () Bom dia ! Gentileza parametrizar conforme solicitado. CODIGO DO CORRETOR: 13711 PERIODO: 01/09 A 30/09 TIPO DE FECHAMENTO: MENSAL META: SEM META PERCENTUAL DE PREMIO: 0,25 PARAMETRO: CONFORME REGRAS FACTA ; Remetente - ()  Bianca, boa tarde. Campanha parametrizada. meta 8669;</t>
  </si>
  <si>
    <t>CAMPANHA BANCO FACTA l CÓDIGO 17192</t>
  </si>
  <si>
    <t>09/09/2025 17:49:50</t>
  </si>
  <si>
    <t>17192</t>
  </si>
  <si>
    <t>EM CIMA DAS TABELAS QUE RECEBEMOS DO BANCO FACTA</t>
  </si>
  <si>
    <t>Remetente - () Suporte, boa tarde! Gentileza cadastrar campanha conforme abaixo e planilha em anexo. CODIGO DO CORRETOR: 17192 PERIODO: 01/09/2025 a 30/09/2025 TIPO DE FECHAMENTO: MENSAL META: 0,01 PERCENTUAL DE PREMIO: 0,30% PARAMETRO: EM CIMA DAS TABELAS QUE RECEBEMOS DO BANCO FACTA ; Remetente - () Novo arquivo enviado: BONUSFACTARECEBAMAIS17192-09-2025_2025_09_09_17_49_50.xlsx; Remetente - ()  Barbara, boa tarde. Campanha parametrizada. meta 8668 ;</t>
  </si>
  <si>
    <t>PARAMETRIZAR CAMPANHAS GRUPO DIRECT X I DANILO FERREIRA</t>
  </si>
  <si>
    <t>09/09/2025 17:49:40</t>
  </si>
  <si>
    <t>Remetente - () Boa tarde ! Gentileza parametrizar conforme solicitado. 14730 SUB - MAUADOIS SERVICO DE DIGITACAO LTDA 01/09/2025 30/09/2025 EMP 100 CÓDIGO GERAL 0,75% Tabelas conforme o regularmento DA FACTA 14729 SUB - CANTELLI SERVICO DE DIGITACAO LTDA 01/09/2025 30/09/2025 EMP 100 CÓDIGO GERAL 0,75% tabelas conforme o regularmento DA FACTA 14703 SUB -DIRECTX - TELEATENDIMENTO EIRELI 01/09/2025 30/09/2025 EMP 100 CÓDIGO GERAL 0,75% Tabelas conforme o regularmento DA FACTA 14702 SUB- AGUIAR SERVIÇO DE DIGITAÇÃO LTDA 01/09/2025 30/09/2025 EMP 100 CÓDIGO GERAL 0,75% Tabelas conforme o regularmento DA FACTA 14706 SUB- SESTINI SERVICO DE DIGITACAO LTDA 01/09/2025 30/09/2025 EMP 100 CÓDIGO GERAL 0,75% Tabelas conforme o regularmento DA FACTA 14704 SUB-DISCIPLINE SERVICO DE DIGITACAO 01/09/2025 30/09/2025 EMP 100 CÓDIGO GERAL 0,75% Tabelas conforme o regularmento DA FACTA 15282 SUB - NEXT CAPITAL LTDA 01/09/2025 30/09/2025 EMP 100 CÓDIGO GERAL 0,75% Tabelas conforme o regularmento DA FACTA CODIGO DO CORRETOR: DIVERSOS PERIODO: 01/09 A 30/09 TIPO DE FECHAMENTO: MENSAL META: SEM META PERCENTUAL DE PREMIO: 0,75 PARAMETRO: CONFORME REGRAS FACTA ; Remetente - () Novo arquivo enviado: CAMPANHAGRUPODIRECTXFACTABONUS(1)(1)(1)(1)(1)(1)(1)(1)(1)(1)(1)(2)(1)_2025_09_09_17_49_40.xlsx; Remetente - ()  Barbara, boa tarde. Campanha parametrizada. meta  8667 8666 8665 8664 8663 8662 8661  ;</t>
  </si>
  <si>
    <t>CAMPANHA BANCO MASTER l CÓDIGO 18144</t>
  </si>
  <si>
    <t>09/09/2025 17:34:23</t>
  </si>
  <si>
    <t>18144</t>
  </si>
  <si>
    <t>TODOS OS CONV?NIOS E PRODUTOS MFACIL; CREDCESTA (EXCETO PREFEITURA DE SALVADOR, PREFEITURA DE CAMA?ARI E GOVERNO DA BAHIA, CADASTRADOS NA REGRA VIP).</t>
  </si>
  <si>
    <t>Remetente - () Suporte, boa tarde! Gentileza cadastrar campanha conforme abaixo e planilha em anexo. CODIGO DO CORRETOR: 18144 PERIODO: 01/09/2025 a 30/09/2025 TIPO DE FECHAMENTO: MENSAL META: 1.000,00 PERCENTUAL DE PREMIO: 0,40% PARAMETRO: TODOS OS CONVÊNIOS E PRODUTOS MFACIL; CREDCESTA (EXCETO PREFEITURA DE SALVADOR, PREFEITURA DE CAMAÇARI E GOVERNO DA BAHIA, CADASTRADOS NA REGRA VIP). ; Remetente - () Novo arquivo enviado: CAMPANHA-LUANASETEMBRO_2025_09_09_17_34_23.xlsx; Remetente - ()  Fabi, bom dia Campanha parametrizada. meta 8696;</t>
  </si>
  <si>
    <t>CAMPANHA BANCO MASTER l CÓDIGO 13053</t>
  </si>
  <si>
    <t>09/09/2025 17:27:09</t>
  </si>
  <si>
    <t>13053</t>
  </si>
  <si>
    <t>TODOS OS CONV?NIOS E PRODUTOS MFACIL; CREDCESTA (EXCETO PREFEITURA DE SALVADOR E GOVERNO DA BAHIA, CADASTRADOS NA REGRA VIP).</t>
  </si>
  <si>
    <t>1,70%</t>
  </si>
  <si>
    <t>Remetente - () Prezados, boa tarde! Gentileza parametrizar campanha conforme abaixo e planilha em anexo. CODIGO DO CORRETOR: 13053 PERIODO: 01/09/2025 a 30/09/2025 TIPO DE FECHAMENTO: MENSAL META: 1.000,00 PERCENTUAL DE PREMIO: 1,70% PARAMETRO: TODOS OS CONVÊNIOS E PRODUTOS MFACIL; CREDCESTA (EXCETO PREFEITURA DE SALVADOR E GOVERNO DA BAHIA, CADASTRADOS NA REGRA VIP). ; Remetente - () Novo arquivo enviado: CAMPANHA-PBSETEMBRO_2025_09_09_17_27_09.xlsx; Remetente - ()  Fabi, bom dia Campanha parametrizada. meta 8692;</t>
  </si>
  <si>
    <t>CAMPANHA BANCO FACTA l GC ANA BEATRIZ</t>
  </si>
  <si>
    <t>09/09/2025 17:19:56</t>
  </si>
  <si>
    <t>15026 /17288</t>
  </si>
  <si>
    <t>Remetente - () Suporte, boa tarde! Gentileza cadastrar campanha conforme planilha em anexo. CODIGO DO CORRETOR: 15026 /17288 PERIODO: 01/09/2025 a 30/09/2025 TIPO DE FECHAMENTO: MENSAL META: 1.000,00 PERCENTUAL DE PREMIO: DIVERSOS PARAMETRO: DIVERSOS ; Remetente - () Novo arquivo enviado: CAMPANHAS-CREDPARCEIROSETEMBRO_2025_09_09_17_19_56.xlsx; Remetente - ()  Fabi, boa tarde. Campanha parametrizada. meta 8683;</t>
  </si>
  <si>
    <t>CAMPANHA BANCO FACTA l CÓDIGO 13007 l GC HAROLDO PERATELLI</t>
  </si>
  <si>
    <t>09/09/2025 16:48:04</t>
  </si>
  <si>
    <t>13007</t>
  </si>
  <si>
    <t>EM CIMA DAS TABELAS QUE RECEBEMOS DO BANCO</t>
  </si>
  <si>
    <t>Remetente - () Suporte, Gentileza cadastrar campanha conforme abaixo e planilha em anexo. CODIGO DO CORRETOR: 13007 PERIODO: 01/09/2025 A 30/09/2025 TIPO DE FECHAMENTO: MENSAL META: SEM META PERCENTUAL DE PREMIO: 0,70% PARAMETRO: EM CIMA DAS TABELAS QUE RECEBEMOS DO BANCO ; Remetente - () Novo arquivo enviado: BONUSFACTAJULIENE13007-09-2025_2025_09_09_16_48_04.xlsx; Remetente - ()  Fabi, bom dia Campanha parametrizada. meta 8694;</t>
  </si>
  <si>
    <t>PARAMETRIZAR DA CAMPANHA - ID 18171</t>
  </si>
  <si>
    <t>09/09/2025 15:50:41</t>
  </si>
  <si>
    <t>18171</t>
  </si>
  <si>
    <t>CONFORME REGRAS FACTA - PRODUTO NOVO INSS</t>
  </si>
  <si>
    <t>Remetente - () Boa tarde! CODIGO DO CORRETOR: 18171 PERIODO: 01/09 A 30/09 TIPO DE FECHAMENTO: MENSAL META: SEM META PERCENTUAL DE PREMIO: 0,75 PARAMETRO: CONFORME REGRAS FACTA - PRODUTO NOVO INSS ; Remetente - ()  Barbara, boa tarde. Campanha parametrizada. meta 8684;</t>
  </si>
  <si>
    <t>PARAMETRIZAR CAMPANHA - ID 7882</t>
  </si>
  <si>
    <t>09/09/2025 15:45:07</t>
  </si>
  <si>
    <t>CONSIDERAR AS REGRAS DO BANCO FACTA PARA BONIFICA??O DA CAMPANHA</t>
  </si>
  <si>
    <t>Remetente - () Boa tarde! CODIGO DO CORRETOR: 7882 PERIODO: 01/09 A 30/09 TIPO DE FECHAMENTO: MENSAL META: SEM META PERCENTUAL DE PREMIO: 0,75% PARAMETRO: CONSIDERAR AS REGRAS DO BANCO FACTA PARA BONIFICAÇÃO DA CAMPANHA ; Remetente - () Barbara, boa tarde. Campanha parametrizada. meta  8685  ;</t>
  </si>
  <si>
    <t>PARAMETRIZAR CAMPANHA BANCO - ID 4265</t>
  </si>
  <si>
    <t>09/09/2025 14:50:54</t>
  </si>
  <si>
    <t>4265</t>
  </si>
  <si>
    <t>30.000,00</t>
  </si>
  <si>
    <t>1,20</t>
  </si>
  <si>
    <t>Remetente - () Boa tarde! CODIGO DO CORRETOR: 4265 PERIODO: 01/09 A 30/09 TIPO DE FECHAMENTO: MENSAL META: 30.000,00 PERCENTUAL DE PREMIO: 1,20 PARAMETRO: TODA A PRODUÇÃO AMIGOZ ; Remetente - ()  Josi, bom dia Campanha parametrizada. meta 8691;</t>
  </si>
  <si>
    <t>PARAMETRIZA CAMPANHA - ID 15959 - BANCO PRESENÇA</t>
  </si>
  <si>
    <t>09/09/2025 14:43:27</t>
  </si>
  <si>
    <t>15959</t>
  </si>
  <si>
    <t>EM TODOS OS PRODUTOS E TABELAS INSS, FGTS E CLT (TODAS AS TABELAS)</t>
  </si>
  <si>
    <t>0,5%</t>
  </si>
  <si>
    <t>Remetente - () bOA TARDE! CODIGO DO CORRETOR: 15959 PERIODO: 01/09 A 30/09 TIPO DE FECHAMENTO: MENSAL META: 10 MIL PERCENTUAL DE PREMIO: 0,5% PARAMETRO: EM TODOS OS PRODUTOS E TABELAS INSS, FGTS E CLT (TODAS AS TABELAS) ; Remetente - ()  Josi, bom dia Campanha parametrizada. meta 8695;</t>
  </si>
  <si>
    <t>PARAMETIRZAÇAO DE CAMPANHA -ID 17551</t>
  </si>
  <si>
    <t>09/09/2025 14:37:28</t>
  </si>
  <si>
    <t>17551</t>
  </si>
  <si>
    <t>B?NUS SOBRE TODAS AS TABELAS PRESEN?A - CONV?NIO CLT</t>
  </si>
  <si>
    <t>Remetente - () Boa tarde! CODIGO DO CORRETOR: 17551 PERIODO: 01/09 A 30/09 TIPO DE FECHAMENTO: MENSAL META: SEM META PERCENTUAL DE PREMIO: 0,70 PARAMETRO: BÔNUS SOBRE TODAS AS TABELAS PRESENÇA - CONVÊNIO CLT ; Remetente - ()  Josi, bom dia Campanha parametrizada. meta 8697 ; Remetente - ()  ;</t>
  </si>
  <si>
    <t>PARAMETRIZAR CAMAPANHA - id 17865</t>
  </si>
  <si>
    <t>LUCAS GUIMARAES EVARISTO</t>
  </si>
  <si>
    <t>09/09/2025 14:32:16</t>
  </si>
  <si>
    <t>Remetente - () Boa tarde! CODIGO DO CORRETOR: 17865 PERIODO: 01/09 A 30/09 TIPO DE FECHAMENTO: MENSAL META: SEM META PERCENTUAL DE PREMIO: 0,60% PARAMETRO: Conforme regra Facta para bonificação ; Remetente - ()  Prezados, bom dia! Favor alterar percentual de bonificação, o correto será 0,75% de bonus.; Remetente - ()  LucaS, boa tarde. Campanha parametrizada. meta 8686;</t>
  </si>
  <si>
    <t>CAMPANHA SETEMBRO I COD 9248 I BANCO QUERO +</t>
  </si>
  <si>
    <t>09/09/2025 14:31:37</t>
  </si>
  <si>
    <t>todas as tabelas QUERO MAIS CR?DITO</t>
  </si>
  <si>
    <t>Remetente - () Boa tarde ! Gentileza parametrizar conforme solicitado. CODIGO DO CORRETOR: 9248 PERIODO: 01/09 A 31/09 TIPO DE FECHAMENTO: MENSAL META: SEM META PERCENTUAL DE PREMIO: 0,50% PARAMETRO: todas as tabelas QUERO MAIS CRÉDITO ; Remetente - () Novo arquivo enviado: 9248-SUBMAYNEPORTO-09_2025_09_09_14_31_37.xlsx; Remetente - ()  Bianca, bom dia Campanha parametrizada. meta 8702;</t>
  </si>
  <si>
    <t>CAMPANHA SETEMBRO I COD 14003 I BANCO FACTA</t>
  </si>
  <si>
    <t>09/09/2025 14:24:38</t>
  </si>
  <si>
    <t>14003</t>
  </si>
  <si>
    <t>, R$ 150.000,00 -</t>
  </si>
  <si>
    <t>Remetente - () Boa tarde ! Gentileza parametrizar conforme solicitado. CODIGO DO CORRETOR: 14003 PERIODO: 01/09 A 30/09 TIPO DE FECHAMENTO: MENSAL META: , R$ 150.000,00 - PERCENTUAL DE PREMIO: 0,50% PARAMETRO: CONFORME REGRAS FACTA ; Remetente - () Novo arquivo enviado: 14003-SUBRODRIGO-09_2025_09_09_14_24_38.xlsx; Remetente - ()  Barbara, boa tarde. Campanha parametrizada. meta 8687;</t>
  </si>
  <si>
    <t>CAMPANHA SETEMBRO I COD 15008 I BANCO FACTA</t>
  </si>
  <si>
    <t>09/09/2025 14:19:38</t>
  </si>
  <si>
    <t>15008</t>
  </si>
  <si>
    <t>Remetente - () Boa tarde ! Gentileza parametrizar conforme solicitado CODIGO DO CORRETOR: 15008 PERIODO: 01/09 A 30/09 TIPO DE FECHAMENTO: MENSAL META: SEM META PERCENTUAL DE PREMIO: 0,75% PARAMETRO: CONFORME REGRAS FACTA ; Remetente - ()  Bianca, boa tarde. Campanha parametrizada. meta 8676;</t>
  </si>
  <si>
    <t>CAMPANHA SETEMBRO I COD 17683 I BANCO FACTA</t>
  </si>
  <si>
    <t>09/09/2025 14:16:48</t>
  </si>
  <si>
    <t>17683</t>
  </si>
  <si>
    <t>0,65</t>
  </si>
  <si>
    <t>Remetente - () Boa tarde! Gentileza parametrizar conforme solicitado. CODIGO DO CORRETOR: 17683 PERIODO: 01/09 A 30/09 TIPO DE FECHAMENTO: MENSAL META: SEM META PERCENTUAL DE PREMIO: 0,65 PARAMETRO: CONFORME REGRAS FACTA ; Remetente - () Bianca, boa tarde. Campanha parametrizada. meta 8624  ;</t>
  </si>
  <si>
    <t>CAMPANHA l CÓDIGO 16105 l GC MARILIA HONORIO</t>
  </si>
  <si>
    <t>09/09/2025 11:38:27</t>
  </si>
  <si>
    <t>16105</t>
  </si>
  <si>
    <t>Remetente - () Prezados, bom dia! Suporte, Gentileza cadastrar campanha conforme planilha em anexo. CODIGO DO CORRETOR: 16105 PERIODO: 01/09/2025 A 30/09/2025 TIPO DE FECHAMENTO: MENSAL META: 0,01 PERCENTUAL DE PREMIO: DIVERSOS PARAMETRO: DIVERSOS ; Remetente - () Novo arquivo enviado: 16105(1)_2025_09_09_11_38_27.xlsx; Remetente - ()  Fabi, boa tarde. Campanha parametrizada. meta 8653 8652  ;</t>
  </si>
  <si>
    <t>CAMPANHA BANCO BMG I M.L PROMOTORA  16130</t>
  </si>
  <si>
    <t>09/09/2025 10:56:55</t>
  </si>
  <si>
    <t>Remetente - () Prezados(A), boa tarde! Gentileza parametrizar conforme solicitado: 0,20% PRODUÇÃO GERAL COM EXCEÇÃO DO NOVO INSS NORMAL E INCLUIR O LOAS 1,00% BANCO BMG CARTÃO COM SAQUE  3,00% SAQUE COMPLEMENTAR CODIGO DO CORRETOR: 16130 PERIODO: 01/09 À 30/09 TIPO DE FECHAMENTO: MENSAL META: SEM META PERCENTUAL DE PREMIO: DIVERSOS PARAMETRO: DIVERSOS ; Remetente - ()  Barbara, boa tarde. Campanha parametrizada. meta 8651 8650 8649 ;</t>
  </si>
  <si>
    <t>CAMPANHA AKI CAPITAL I M.L PROMOTORA  16130</t>
  </si>
  <si>
    <t>09/09/2025 10:54:48</t>
  </si>
  <si>
    <t>Remetente - () Prezados(a), boa tarde! Gentileza parametrizar conforme solicitado abaixo: AKI CAPITAL: 1,95% CARTÕES (TODOS OS CONVÊNIOS) 0,45% PRODUÇÃO GERAL (EXCETO CARTÕES) CODIGO DO CORRETOR: 16130 PERIODO: 01/09 À 30/09 TIPO DE FECHAMENTO: MENSAL META: SEM META PERCENTUAL DE PREMIO: DIVERSOS PARAMETRO: DIVERSOS ; Remetente - ()  Barbara, boa tarde. Campanha parametrizada. meta8648 8647  ;</t>
  </si>
  <si>
    <t>CAMPANHA M.L PROMOTORA   ( 16130 ) I BANCO C6</t>
  </si>
  <si>
    <t>09/09/2025 10:52:59</t>
  </si>
  <si>
    <t>Remetente - () Prezados(a), bom dia ! Gentileza parametrizar conforme solicitado. CODIGO DO CORRETOR: 16130 PERIODO: 01/09 À 30/09 TIPO DE FECHAMENTO: MENSAL META: SEM META PERCENTUAL DE PREMIO: 0,20% PARAMETRO: PRODUÇÃO GERAL ; Remetente - ()  Barbara, boa tarde. Campanha parametrizada. meta 8646  ;</t>
  </si>
  <si>
    <t>CAMPANHA GC I Christiane Nielsen I 15086 I D VALOR</t>
  </si>
  <si>
    <t>09/09/2025 10:43:32</t>
  </si>
  <si>
    <t>15086</t>
  </si>
  <si>
    <t>Remetente - () Prezados(A), bom dia! Gentileza parametrizar conforme solicitado abaixo (planilha em anexo para auxílio): BANCO FACTA (15086): 0,50% CONFORME REGRAS FACTA BANCO C6 (15086): 0,50% PRODUÇÃO GERAL BANCO C6 BANCO MEU CASH CARD (15086): 0,20% PRODUÇÃO GERAL MCC CODIGO DO CORRETOR: 15086 PERIODO: 01/09 À 30/09 TIPO DE FECHAMENTO: MENSAL META: SEM META PERCENTUAL DE PREMIO: DIVERSOS PARAMETRO: DIVERSOS ; Remetente - () Novo arquivo enviado: DVALOR(15086)_2025_09_09_10_43_32.xlsx; Remetente - ()  Barbara, boa tarde. Campanha parametrizada. meta 8624 8625 8653 8654  ;</t>
  </si>
  <si>
    <t>PARAMETRIZAR CAMPANHA I GC Christiane Nielsen I 17204</t>
  </si>
  <si>
    <t>09/09/2025 10:36:49</t>
  </si>
  <si>
    <t>17204 / 17960</t>
  </si>
  <si>
    <t>Remetente - () Prezados(a), bom dia ! Gentileza parametrizar conforme solicitado abaixo: (planilha em anexo para auxílio, parceiro em destaque) BANCO QUERO+CRÉDITO (CONSIDERAR PRODUÇAÕ DO CÓDIGO SUB E EXTERNO 17204 E 17960: PRODUÇÃO GERAL 1,95% (EXCETO SIAPE) SIAPE 0,63% BANCO FACTA: CONFORME REGRAS FACTA (17204) 0,20% CODIGO DO CORRETOR: 17204 / 17960 PERIODO: 01/09 À 30/09 TIPO DE FECHAMENTO: MENSAL META: SEM META PERCENTUAL DE PREMIO: DIVERSOS PARAMETRO: DIVERSOS ; Remetente - () Novo arquivo enviado: 17204E17960SUBEEXTERNOFACTAEQUEROMAIS_2025_09_09_10_36_49.xlsx; Remetente - () Barbara, boa tarde. Campanha parametrizada. meta  8655 8656 8626  ;</t>
  </si>
  <si>
    <t>PARAMETRIZAR CAMPANHA - ID: 6846 / 2256</t>
  </si>
  <si>
    <t>09/09/2025 09:53:06</t>
  </si>
  <si>
    <t>6846 / 2256</t>
  </si>
  <si>
    <t>Remetente - () Prezados, bom dia! Favor parametrizar campanhas conforme abaixo. MEU CREDBANK - TODA PRODUÇÃO INSS EXCETO AS TABELAS - MEU CREDBANK - INSS - MEU CREDBANK - INSS - FP - NORMAL - TX 1,85MEU CREDBANK - INSS - MEU CREDBANK - INSS - FP - SEGURO - TX 1,85 - PAGAR BONUS DE 0,50%. MEU CREDBANK - TODA PRODUÇAO DE FGTS - BONUS DE 1% BANCO FACTA - TODA PRODUÇÃO CONFORME REGRA - BONUS DE 0,60% BANCO MASTER - TODA PRODUÇÃO, EXCETO OEPRAÇÕES DO CONVENIO INSS E FGTS - BONUS DE 1,5% BANCO MERCANTIL - TODAS AS TABELAS CONVENIO FGTS - BONUS DE 0,50%.  CODIGO DO CORRETOR: 6846 / 2256 PERIODO: 01/09/2025 a 30/09/2025 TIPO DE FECHAMENTO: MENSAL META: SEM META PERCENTUAL DE PREMIO: CONFORME DESCRIÇÃO PARAMETRO: CONFORME DESCRIÇÃO ; Remetente - ()  em tempo, considerar a produção dos 2 codigos porem o credito deverá ser pago nos dados bancarios do codigo 6846.; Remetente - ()  Lucas, boa tarde. Campanha parametrizada. meta  8637 8639 8627 8638 8640  ;</t>
  </si>
  <si>
    <t>PARAMETRIZAR CAMPANHA BANCO - ID 14409</t>
  </si>
  <si>
    <t>09/09/2025 09:11:30</t>
  </si>
  <si>
    <t>14409</t>
  </si>
  <si>
    <t>Todas as tabelas contrato novo banco Presen?a bank.</t>
  </si>
  <si>
    <t>Remetente - () Bom dia! CODIGO DO CORRETOR: 14409 PERIODO: 01/09 A 30/09 TIPO DE FECHAMENTO: MENSAL META: SEM META PERCENTUAL DE PREMIO: 0,50 PARAMETRO: Todas as tabelas contrato novo banco Presença bank. ; Remetente - () Josi, boa tarde. Campanha parametrizada. meta 8657  ;</t>
  </si>
  <si>
    <t>PARAMETRIZAR CAMPANHA - ID 18231</t>
  </si>
  <si>
    <t>09/09/2025 09:01:09</t>
  </si>
  <si>
    <t>0,05%</t>
  </si>
  <si>
    <t>Remetente - () Bom dia! CODIGO DO CORRETOR: 18231 PERIODO: 01/09 A 30/09 TIPO DE FECHAMENTO: MENSAL META: SEM META PERCENTUAL DE PREMIO: 0,05% PARAMETRO: Conforme regra Facta para bonificação ; Remetente - ()  Josi, boa tarde. Campanha parametrizada. meta8628  ;</t>
  </si>
  <si>
    <t>PARAMETRIZAR CAMPANHA - ID 15899</t>
  </si>
  <si>
    <t>08/09/2025 17:01:11</t>
  </si>
  <si>
    <t>15899</t>
  </si>
  <si>
    <t>Remetente - () Boa tarde! CAMPANHA 1: BANCO AMIGOS - SEM META - BONIFICAÇÃO 3,50% - TODAS ( EXCETO PREF RECIFE / TJ MG / JUIZ DE FORA) CAMPANHA 2: BANCO PRESENÇA - SEM META - BONFICAÇÃO 0,50% - Bonus somente produção inss CAMPANHA 3:BANCO FACTA - SEM META - BONIFICAÇÃO 0,50% - CONFORME CAMPANHA DO BANCO CAMPANHA 4: BANCO MEU CREDBANK - SEM META - BONIFICAÇÃO 0,50 - TODA PRODUÇÃO INSS INCLUINDO CARTOES, EXCETO AS TABELAS - MEU CREDBANK - INSS - MEU CREDBANK - INSS - FP - NORMAL - TX 1,85MEU CREDBANK - INSS - MEU CREDBANK - INSS - FP - SEGURO - TX 1,85 CAMPANHA 6: BANCO MEU CREDBANK - SEM META - BONIFICAÇAÕ 1,50% - TODA PRODUÇÃO FGTS CAMPANHA 7: BANCO QUERO MAIS CREDITO - SEM META - BONIFICAÇÃO 0,20% - SOMENTE SOBRE CONVENIO SIAPE CODIGO DO CORRETOR: 15899 PERIODO: 01/09 A 30/09 TIPO DE FECHAMENTO: MENSAL META: DESCRIÇAO PERCENTUAL DE PREMIO: DESCRIÇÃO PARAMETRO: DESCRIÇAO ; Remetente - ()  Josi, boa tarde. Campanha parametrizada. meta  8641 8642 8629 8643 8644 8645  ;</t>
  </si>
  <si>
    <t>PARAMETRIZAR CAMPANHA - ID: 4097</t>
  </si>
  <si>
    <t>08/09/2025 15:39:18</t>
  </si>
  <si>
    <t>4097</t>
  </si>
  <si>
    <t>produ??o facta, exceto tabelas que possuem regra vip aprovada</t>
  </si>
  <si>
    <t>Remetente - () Prezados, boa tarde! Favor parametrizar campanha para o parceiro ID:4097. Considerar produção Facta, todos os convenios exceto tabelas que possuem regra VIP APROVADA. CODIGO DO CORRETOR: 4097 PERIODO: 01/09/2025 a 30/09/2025 TIPO DE FECHAMENTO: MENSAL META: SEM META PERCENTUAL DE PREMIO: 0,50% PARAMETRO: produção facta, exceto tabelas que possuem regra vip aprovada ; Remetente - ()  Lucas, boa tarde. Campanha parametrizada. meta 8630  ; Remetente - ()  ;</t>
  </si>
  <si>
    <t>CAMPANHA BANCO QUERO MAIS l CÓDIGO 16303</t>
  </si>
  <si>
    <t>08/09/2025 14:32:34</t>
  </si>
  <si>
    <t>16303</t>
  </si>
  <si>
    <t>QUERO MAIS CR?DITO - TODAS AS TABELAS E CONV?NIOS</t>
  </si>
  <si>
    <t>1,75%</t>
  </si>
  <si>
    <t>Remetente - () Suporte, boa tarde! Gentileza cadastrar campanha conforme abaixo e planilha em anexo. CODIGO DO CORRETOR: 16303 PERIODO: 01/09/2025 a 30/09/2025 TIPO DE FECHAMENTO: MENSAL META: R$ 1.000,00 PERCENTUAL DE PREMIO: 1,75% PARAMETRO: QUERO MAIS CRÉDITO - TODAS AS TABELAS E CONVÊNIOS ; Remetente - () Novo arquivo enviado: CAMPANHA_FLAMEX_QUEROMAISCREDITOSETEMBRO2025(1)_2025_09_08_14_32_34.xlsx; Remetente - ()  Fabi, boa tarde. Campanha parametrizada. meta 8659  ;</t>
  </si>
  <si>
    <t>PARAMETRIZAR CAMPANHA - ID 7756</t>
  </si>
  <si>
    <t>0,50% EM CIMA DAS TABELAS QUE RECEBEMOS DO BANCO</t>
  </si>
  <si>
    <t>Remetente - () Boa tarde! CODIGO DO CORRETOR: 7756 PERIODO: 01/09 A 30/09 TIPO DE FECHAMENTO: MENSAL META: SEM META PERCENTUAL DE PREMIO: 0,50% EM CIMA DAS TABELAS QUE RECEBEMOS DO BANCO PARAMETRO: Conforme regra Facta para bonificação ; Remetente - ()  Josi, bom dia. Campanha parametrizada. Meta 8588;</t>
  </si>
  <si>
    <t>PARAMETRIZAR CAMPANHA - BANCO FACTA - ID 4288</t>
  </si>
  <si>
    <t>Remetente - () Boa tarde! CODIGO DO CORRETOR: 4288 PERIODO: 01/09 A 30/09 TIPO DE FECHAMENTO: MENSAL META: SEM META PERCENTUAL DE PREMIO: 0,50% PARAMETRO: Conforme regra Facta para bonificação ; Remetente - ()   Josi, bom dia. Campanha parametrizada. Meta 8590;</t>
  </si>
  <si>
    <t>PARAMETRIZAR CAMPANHA - BANCO FACTA - ID 4155</t>
  </si>
  <si>
    <t>Remetente - () Boa tarde! CODIGO DO CORRETOR: 4155 PERIODO: 01/09 A 30/09 TIPO DE FECHAMENTO: MENSAL META: SEM META PERCENTUAL DE PREMIO: 0,50% EM CIMA DAS TABELAS QUE RECEBEMOS DO BANCO PARAMETRO: Conforme regra Facta para bonificação ; Remetente - ()   Josi, bom dia. Campanha parametrizada. Meta 8591  ;</t>
  </si>
  <si>
    <t>0,70% EM CIMA DAS TABELAS QUE RECEBEMOS DO BANCO</t>
  </si>
  <si>
    <t>Remetente - () Boa tarde! CODIGO DO CORRETOR: 7756 PERIODO: 01/09 A 30/09 TIPO DE FECHAMENTO: MENSAL META: SEM META PERCENTUAL DE PREMIO: 0,70% EM CIMA DAS TABELAS QUE RECEBEMOS DO BANCO PARAMETRO: PRODUÇÃO TOTAL DO BANCO DAYCOVAL ; Remetente - ()   Josi, bom dia. Campanha parametrizada. Meta 8597  ;</t>
  </si>
  <si>
    <t>PARAMETRIZAR CAMPANHA - ID 6817</t>
  </si>
  <si>
    <t>Remetente - () Boa tarde! CODIGO DO CORRETOR: 6817 PERIODO: 01/09 A 30/09 TIPO DE FECHAMENTO: MENSAL META: SEM META PERCENTUAL DE PREMIO: 0,40% PARAMETRO: TODA PRODUÇÃO BANCO DIGIO DE ACORDO COM A REGRA DA CAMPNAHA DO DIGIO ; Remetente - ()  Em tempo, Peço a gentileza de pagar a bonificação da campanha no ID 2715 conta PF do Laerte por gentileza; Remetente - ()  Josi, bom dia. Campanha parametrizada. Meta 8589; Remetente - ()  ;</t>
  </si>
  <si>
    <t>PARAMETRIZAÇAO DE CAMPANHA - ID 13389</t>
  </si>
  <si>
    <t>Remetente - () Boa tarde! CODIGO DO CORRETOR: 13389 PERIODO: 01/09 A 30/09 TIPO DE FECHAMENTO: MENSAL META: SEM META PERCENTUAL DE PREMIO: 0,70% PARAMETRO: PRODUÇÃO TOTAL BANCO DIGIO ; Remetente - ()   Josi, bom dia.   Campanha parametrizada. Meta 8598;</t>
  </si>
  <si>
    <t>CAMPANHA SETEMBRO I COD 6887 I BANCO DIGIO</t>
  </si>
  <si>
    <t>MIL REAIS</t>
  </si>
  <si>
    <t>Remetente - () Bom dia ! Gentileza parametrizar conforme solicitado. CODIGO DO CORRETOR: 6887 PERIODO: 01/9 A 30/09 TIPO DE FECHAMENTO: MENSAL META: MIL REAIS PERCENTUAL DE PREMIO: 0,80 PARAMETRO: TODOS PRODUTOS E CONVENIOS BANCO DIGIO ; Remetente - ()   Bianca, bom dia. Campanha parametrizada. Meta 8599;</t>
  </si>
  <si>
    <t>CAMPANHA SETEMBRO I COD 9248 I BANCO FACTA</t>
  </si>
  <si>
    <t>0,65%</t>
  </si>
  <si>
    <t>Remetente - () Bom dia ! Gentileza parametrizar conforme solicitado. CODIGO DO CORRETOR: 9248 PERIODO: 01/9 A 30/09 TIPO DE FECHAMENTO: MENSAL META: 1,0 PERCENTUAL DE PREMIO: 0,65% PARAMETRO: CONFORME REGRAS FACTA ; Remetente - () Bianca, bom dia. Campanha parametrizada. Meta 8592;</t>
  </si>
  <si>
    <t>CAMPANHA SETEMBRO I COD 13910 E 8810 I FACTA</t>
  </si>
  <si>
    <t>Remetente - () Bom dia! Gentileza parametrizar conforme solicitado. CODIGO DO CORRETOR: 13910 E 8810 PERIODO: 01/09 A 30/09 TIPO DE FECHAMENTO: MENSAL META: SEM META PERCENTUAL DE PREMIO: 0,25 PARAMETRO: CONFORME REGRAS FACTA ; Remetente - ()   Bianca, bom dia. Campanha parametrizada. Meta 8593;</t>
  </si>
  <si>
    <t>CAMAPANHA SETEMBRO I COD 6962 I BANCO DAYCOVAL</t>
  </si>
  <si>
    <t>100K</t>
  </si>
  <si>
    <t>Remetente - () Bom dia! Gentileza parametrizar conforme solicitado. todos produtos apto para bonificacao - banco daycoval CODIGO DO CORRETOR: 6962 PERIODO: 01/09 A 30/09 TIPO DE FECHAMENTO: MENSAL META: 100K PERCENTUAL DE PREMIO: 0,50 PARAMETRO: todos produtos apto para bonificacao - banco daycoval ; Remetente - ()   Bianca, bom dia. Campanha parametrizada. Meta 8600  ; Remetente - ()  ;</t>
  </si>
  <si>
    <t>PARAMETRIZAR CAMPANHA - ID: 7337</t>
  </si>
  <si>
    <t>01/09/2025 a 31/12/2025</t>
  </si>
  <si>
    <t>Remetente - () Prezados, bom dia! Favo rparametrizar campanha. Considerar todas a produção de cartao e cartao beneficio do banco bmg. Obs: o fechamento será feito de forma mensal, valida ate Dezembro 2025. CODIGO DO CORRETOR: 7337 PERIODO: 01/09/2025 a 31/12/2025 TIPO DE FECHAMENTO: MENSAL META: SEM META PERCENTUAL DE PREMIO: 2% PARAMETRO: TODA PRODUÇÃO DE CARTAO E CARTAO BEBEFICIO - BMG ; Remetente - ()   Lucas , bom dia. Campanha parametrizada. Meta 8620 8621 8622 8623  ;</t>
  </si>
  <si>
    <t>PARAMETRIZAR CAMPANHA - ID: 8075</t>
  </si>
  <si>
    <t>R$ 200,00 FIXO</t>
  </si>
  <si>
    <t>Remetente - () Boa tarde! Favor parametrizar campanha. CODIGO DO CORRETOR: 8075 PERIODO: 01/09/2025 a 30/09/2025 TIPO DE FECHAMENTO: MENSAL META: 200.000,00 PERCENTUAL DE PREMIO: R$ 200,00 FIXO PARAMETRO: TODA PRODUÇÃO ; Remetente - ()   Lucas, bom dia. Campanha parametrizada. Meta8601  ;</t>
  </si>
  <si>
    <t>PARAMETRIZAR CAMPANHA BANCO - ID 3566</t>
  </si>
  <si>
    <t>Remetente - () Boa tarde! CODIGO DO CORRETOR: 3566 PERIODO: 01/09 A 30/09 TIPO DE FECHAMENTO: MENSAL META: SEM META PERCENTUAL DE PREMIO: 0,50% PARAMETRO: QUERO MAIS INSS E SIAPE - CARTÃO BENEFÍCIO ; Remetente - ()   Josi, bom dia. Campanha parametrizada. Meta 8602;</t>
  </si>
  <si>
    <t>PARAMETRIZAR CAMPANHA 5362</t>
  </si>
  <si>
    <t>200 MIL</t>
  </si>
  <si>
    <t>Remetente - () Boa tarde! CODIGO DO CORRETOR: 5362 PERIODO: 01/09 A 30/09 TIPO DE FECHAMENTO: MENSAL META: 200 MIL PERCENTUAL DE PREMIO: 200,00 PARAMETRO: CONSIDERAR TODA A PRODUÇAO PARA APURAÇAO, TODOS CONVENIOS PRAZO MAXIMO. ; Remetente - ()   Josi, bom dia. Campanha parametrizada. Meta 8603; Remetente - ()  Em tempo  Não tem como considerar prazo maximo de todos os bancos, entao  foi considerado todos os prazsos ;</t>
  </si>
  <si>
    <t>PARAMETRIZAR A CAMPANHA - ID 3566</t>
  </si>
  <si>
    <t>Remetente - () Boa tarde! CODIGO DO CORRETOR: 3566 PERIODO: 01/09 A 30/09 TIPO DE FECHAMENTO: MENSAL META: 500.000,00 PERCENTUAL DE PREMIO: 0,70% PARAMETRO: FACTA INSS PORT / REFIN DA PORT /REFIN / NOVO / FGTS ; Remetente - ()   Josi, bom dia. Campanha parametrizada. Meta 8594;</t>
  </si>
  <si>
    <t>PARAMETRIZAR CAMPANHA - 11599 - 17823</t>
  </si>
  <si>
    <t>11599</t>
  </si>
  <si>
    <t>01/09 A 30/09</t>
  </si>
  <si>
    <t>Remetente - () Boa tarde! A bonificação sera paga no Código: 11599 CODIGO DO CORRETOR: 11599 17823 PERIODO: 01/09 A 30/09 TIPO DE FECHAMENTO: MENSAL META: 200 MIL PERCENTUAL DE PREMIO: 200,00 PARAMETRO: CONSIDERAR TODA A PRODUÇAO PARA APURAÇAO, TODOS CONVENIOS PRAZO MAXIMO. ; Remetente - ()   Josi, bom dia. Campanha parametrizada. Meta 8604; Remetente - () Em tempo Não tem com considerar prazo maximo em todos os bancos, portanto foi considerado todos os prazos. ;</t>
  </si>
  <si>
    <t>PARAMETRIZAR CAMPANHA BANCO MERCANTIL - ID 12068 - 17777</t>
  </si>
  <si>
    <t>12068</t>
  </si>
  <si>
    <t>Remetente - () Boa tarde! A bonificação sera paga no Código: 12068 CODIGO DO CORRETOR: 12068 17777 PERIODO: 01/09 A 30/09 TIPO DE FECHAMENTO: MENSAL META: 200 MIL PERCENTUAL DE PREMIO: 200,00 PARAMETRO: CONSIDERAR TODA A PRODUÇAO PARA APURAÇAO, TODOS CONVENIOS PRAZO MAXIMO. ; Remetente - ()   Josi, bom dia. Campanha parametrizada. Meta 8605  Não tem como considerar prazo maximo de todos os bancos, portanto foi considerado todos os prazos. ;</t>
  </si>
  <si>
    <t>PARAMETRIZAR CAMPANHA - ID: 3594</t>
  </si>
  <si>
    <t>Remetente - () Prezados, boa tarde! Favor parametrizar campanha. CODIGO DO CORRETOR: 3594 PERIODO: 01/09/2025 a 30/09/2025 TIPO DE FECHAMENTO: MENSAL META: 200.000,00 PERCENTUAL DE PREMIO: R$ 200,00 FIXO PARAMETRO: TODA PRODUÇÃO ; Remetente - ()   Lucas, bom dia. Campanha parametrizada. Meta 8606;</t>
  </si>
  <si>
    <t>PARAMETRIZAR CAMPANHA - ID: 1328</t>
  </si>
  <si>
    <t>Remetente - () Boa tarde! Favor aprovar campanha. CODIGO DO CORRETOR: 1328 PERIODO: 01/09/2025 a 30/09/2025 TIPO DE FECHAMENTO: MENSAL META: 300.000,00 PERCENTUAL DE PREMIO: 0,30% PARAMETRO: TODA PRODUÇÃO, EXCETO TABELAS QUE POSSUEM REGRA VIP APROVADA ; Remetente - ()   Lucas, bom dia. Campanha parametrizada. Meta 8607;</t>
  </si>
  <si>
    <t>PARAMETRIZAR CAMPANHA - ID 13977</t>
  </si>
  <si>
    <t>Remetente - () CAMPANHA 1: TODO A PRODUÇÃO FACTA - SEM META - BONIFICAÇÃO 0,50 CAMPANHA 2: TODA A PRODUÇÃO AMIGOZ - SEM META - BONIFICAÇÃO 3,50% CAMPANHA 3: TODOA APRODUÇÃO DAYCOVAL - SEM META - 85% DO RECEBIDO CODIGO DO CORRETOR: 13977 PERIODO: 01/09 A 30/09 TIPO DE FECHAMENTO: MENSAL META: SEM META PERCENTUAL DE PREMIO: DESCRIÇÃO PARAMETRO: DESCRIÇAO ; Remetente - ()   Josi, bom dia. Campanha parametrizada. Meta 8595 8608 8609  ;</t>
  </si>
  <si>
    <t>PARAMETRIZAÇÃO DE CAMPANHA - ID 15313</t>
  </si>
  <si>
    <t>Remetente - () bOA TARDE! CAMPANAH 1 : Banco c6 - TODA A PRODUÇAO NOVO- SEM META -BONIFICAÇAÕ 0,20% CAMPANHA 2 - BANCO FACTA TODA A PRODUÇÃO CONFORME REGRA - SEM META- BONIFICAÇÃO 0,50% CODIGO DO CORRETOR: 15313 PERIODO: 01/09 A 30/09 TIPO DE FECHAMENTO: MENSAL META: SEM META PERCENTUAL DE PREMIO: DESCRIÇÃO PARAMETRO: DESCRIÇAO ; Remetente - ()   Josi, bom dia. Campanha parametrizada. Meta 8610 8596  ;</t>
  </si>
  <si>
    <t>PARAMETRIZAR DATA DE EMISSÃO DO RELATORIO - ID 7882</t>
  </si>
  <si>
    <t>BONIFICA??O ESPECIFICA PARA O PRODUTO PORTABILIDADE / BANCO C6 / CONVENIO INSS</t>
  </si>
  <si>
    <t>Remetente - () bOA TARDE! CODIGO DO CORRETOR: 7882 PERIODO: 01/09 A 30/09 TIPO DE FECHAMENTO: MENSAL META: SEM META PERCENTUAL DE PREMIO: 0,20 PARAMETRO: BONIFICAÇÃO ESPECIFICA PARA O PRODUTO PORTABILIDADE / BANCO C6 / CONVENIO INSS ; Remetente - ()   Josi, bom dia. Campanha parametrizada. Meta 8612;</t>
  </si>
  <si>
    <t>PARAMETRIZAR CAMPANHA BANCO MERCANTIL - ID 1212</t>
  </si>
  <si>
    <t>TODA PRODU??O BANCO DIGIO DE ACORDO COM A REGRA DA CAMPANHA DO DIGIO</t>
  </si>
  <si>
    <t>01/09 A 31/011</t>
  </si>
  <si>
    <t>Remetente - () Boa tarde! CODIGO DO CORRETOR: 1212 PERIODO: 01/09 A 31/011 TIPO DE FECHAMENTO: MENSAL META: SEM META PERCENTUAL DE PREMIO: 0.50% PARAMETRO: TODA PRODUÇÃO BANCO DIGIO DE ACORDO COM A REGRA DA CAMPANHA DO DIGIO ; Remetente - ()   Josi, bom dia. Campanha parametrizada. Meta 8614 8615 8616  ;</t>
  </si>
  <si>
    <t>PARAMETRIZAR CAMPANHA - ID: 16502</t>
  </si>
  <si>
    <t>Remetente - () Bom dia! Favor parametrizar campanha. CODIGO DO CORRETOR: 16502 PERIODO: 01/09/2025 a 30/09/2025 TIPO DE FECHAMENTO: MENSAL META: SEM META PERCENTUAL DE PREMIO: 1% PARAMETRO: TODA PRODUÇÃO DO BANCO AMIGOZ ; Remetente - ()  Lucas, bom dia. Campanha ja solicitada atraves do chamado 1765863;</t>
  </si>
  <si>
    <t>PARAMETRIZAR CAMPANHA - ID: 7640</t>
  </si>
  <si>
    <t>Remetente - () Bom dia! Favor parametrizar campanha, Banco CAPITAL CONSIG, CONSSIDERANDO TODA PRODUÇÃO DOS CONVENIOS ABAIXO. gov pi, gov ma, pref são luiz, pref picos-pi CODIGO DO CORRETOR: 7640 PERIODO: 01/09/2025 a 30/09/2025 TIPO DE FECHAMENTO: MENSAL META: SEM META PERCENTUAL DE PREMIO: 1,5% PARAMETRO: BANCO CAPITAL CONSIG(gov pi,gov ma,pref são luiz,pref picos-pi) ; Remetente - ()  Lucas, bom dia Campanha ja parametrizada, atraves do chamado 1765866;</t>
  </si>
  <si>
    <t>PARAMETRIZAR CAMPANHA - ID: 16153</t>
  </si>
  <si>
    <t>Remetente - () Bom dia! Favo parametrizar campanha. CODIGO DO CORRETOR: 16153 PERIODO: 01/09/2025 a 30/09/2025 TIPO DE FECHAMENTO: MENSAL META: SEM META PERCENTUAL DE PREMIO: 1% PARAMETRO: TODA PRODUÇÃO DO BANCO AMIGOZ ; Remetente - ()  Lucas, bom dia. Campanha parametrizada atraves do chamado 1765863;</t>
  </si>
  <si>
    <t>PARAMETRIZAR CAMPANHA - ID: 9648</t>
  </si>
  <si>
    <t>Remetente - () Bom dia! Favor parametrizar campanha. CODIGO DO CORRETOR: 9648 PERIODO: 01/09/2025 a 30/09/2025 TIPO DE FECHAMENTO: MENSAL META: SEM META PERCENTUAL DE PREMIO: 1% PARAMETRO: TODA PRODUÇÃO DO BANCO AMIGOZ ; Remetente - ()  Lucas, bom dia. Campanha parametrizada atraves do chamado 1765858;</t>
  </si>
  <si>
    <t>PARAMETRIZAR CAMPANHA - ID: 8437</t>
  </si>
  <si>
    <t>Remetente - () Bom dia! Favor parametrizar campanha. CODIGO DO CORRETOR: 8437 PERIODO: 01/09/2025 a 30/09/2025 TIPO DE FECHAMENTO: MENSAL META: SEM META PERCENTUAL DE PREMIO: 1% PARAMETRO: TODA PRODUÇÃO DO BANCO AMIGOZ ; Remetente - ()  Lucas, bom dia. Campanha parametrizada atraves do chamado 1765858;</t>
  </si>
  <si>
    <t>PARAMETRIZAR CAMPANHA - ID: 14750</t>
  </si>
  <si>
    <t>Remetente - () Bom dia! Favor parametrizar campanha conforme abaixo. *BANCO FACTA - CONSIDERAR TODA PRODUÇÃO CONFORME REGRA FACTA - SEM META - BONUS DE 0,50% *BANCO AMIGOZ - CONSIDERAR TODA PRODUÇÃO - SEM META - BONUS 1%. *BANCO C6 - CONSIDERAR TODA PRODUÇÃO - SEM META- BONUS DE 0,20%. CODIGO DO CORRETOR: 14750 PERIODO: 01/09/2025 a 30/09/2025 TIPO DE FECHAMENTO: MENSAL META: SEM META PERCENTUAL DE PREMIO: CONFORME DESCRIÇÃO PARAMETRO: CONFORME DESCRIÇÃO ; Remetente - () Lucas, bom dia . Campanha Facta e Amigoz, ja parametrizado atraves do chamado 1765852; Remetente - ()   Lucas, bom dia. Campanha parametrizada. Meta 8313  ;</t>
  </si>
  <si>
    <t>CAMPANHA SETEMBRO I COD 16382 I BANCO FACTA</t>
  </si>
  <si>
    <t>Remetente - () Bom dia! Gentileza parametrizar conforme solicitado. CODIGO DO CORRETOR: 16382 PERIODO: 01/09 A 30/09 TIPO DE FECHAMENTO: MENSAL META: SEM META PERCENTUAL DE PREMIO: 0,75 PARAMETRO: CONFORME REGRAS FACTA ; Remetente - () Novo arquivo enviado: BONUSFACTAAARONSETEMBRO_2025_09_05_11_07_37.xlsx; Remetente - ()  Bianca, bom dia. Campnaha parametrizada, meta 8559  ;</t>
  </si>
  <si>
    <t>CAMPANHA SETEMBRO I COD 15087 I MEU CREDBANK</t>
  </si>
  <si>
    <t>30 MIL</t>
  </si>
  <si>
    <t>Remetente - () Bom dia ! Gentileza parametrizar conforme solicitado. REFIN DA PORT MEUCREDBANKINSS96 E 84 X CODIGO DO CORRETOR: 15087 PERIODO: 01/09 A 30/09 TIPO DE FECHAMENTO: MENSAL META: 30 MIL PERCENTUAL DE PREMIO: 0,25 PARAMETRO: REFIN DA PORT \ MEUCREDBANK\INSS\96 E 84 X ; Remetente - ()   Bianca, bom dia. Campnaha parametrizada, meta 8586 ;</t>
  </si>
  <si>
    <t>CAMPANHA SETEMBRO I COD 17142 I BANCO MASTER</t>
  </si>
  <si>
    <t>TODOS OS PRODUTOS E PRAZOS</t>
  </si>
  <si>
    <t>Remetente - () Bom dia ! Gentileza parametrizar conforme solicitado. CODIGO DO CORRETOR: 17142 PERIODO: 01/09 A 30/09 TIPO DE FECHAMENTO: MENSAL META: 30 MIL PERCENTUAL DE PREMIO: 0,50 PARAMETRO: TODOS OS PRODUTOS E PRAZOS ; Remetente - () Novo arquivo enviado: BONUSSUBJRMASTERsetembro_2025_09_05_10_58_52.xlsx; Remetente - ()   Bianca, bom dia. Campnaha parametrizada, meta 8585;</t>
  </si>
  <si>
    <t>CAMPANHA SETEMBRO I COD 6832 I BANCO DIGIO</t>
  </si>
  <si>
    <t>todos produtos inss aptos para bonificacao</t>
  </si>
  <si>
    <t>Remetente - () Bom dia ! Gentileza parametrizar conforme solicitado. CODIGO DO CORRETOR: 6832 PERIODO: 01/09 A 30/09 TIPO DE FECHAMENTO: MENSAL META: 100K PERCENTUAL DE PREMIO: 0,50 PARAMETRO: todos produtos inss aptos para bonificacao ; Remetente - ()   Bianca, bom dia. Campnaha parametrizada, meta 8584; Remetente - ()  Em tempo Foi considerado produção total , pois não  tem como considerar conforme fechamento do banco ;</t>
  </si>
  <si>
    <t>PARAMETRIZAÇÃO DE CAMPANHA - 7769</t>
  </si>
  <si>
    <t>Remetente - () Boa tarde1 CODIGO DO CORRETOR: 7769 PERIODO: 01/09 A 30/09 TIPO DE FECHAMENTO: MENSAL META: 1K PERCENTUAL DE PREMIO: 0,30 PARAMETRO: Conforme regra Facta para bonificação ; Remetente - ()   Josi, bom dia. Campnaha parametrizada, meta 8561  ;</t>
  </si>
  <si>
    <t>PARAMETRIZAR CAMPANHA BANCO FACTA I 17574 I GC RAHYZA</t>
  </si>
  <si>
    <t>Remetente - () Prezados(a), boa tarde ! Gentileza parametrizar campanha conforme solicitado pela GC Rahyza e acordado pelo diretor André Medeiros. CODIGO DO CORRETOR: 17574 PERIODO: 01/09 À 30/09 TIPO DE FECHAMENTO: MENSAL META: SEM META PERCENTUAL DE PREMIO: 0,50% PARAMETRO: CONFORME REGRAS FACTA ; Remetente - ()  Barbara, bom dia. Campnaha parametrizada, meta 8562 ;</t>
  </si>
  <si>
    <t>Remetente - () Boa tarde! Favor parametrizar campanha. CODIGO DO CORRETOR: 16239 PERIODO: 01/09/2025 a 30/09/2025 TIPO DE FECHAMENTO: MENSAL META: SEM META PERCENTUAL DE PREMIO: 0,75% PARAMETRO: PRODUÇÃO FACTA CONFORME REGRA ; Remetente - ()   Lucas, bom dia. Campnaha parametrizada, meta 8563;</t>
  </si>
  <si>
    <t>PARAMETRIZAR CAMPANHA - ID 17555</t>
  </si>
  <si>
    <t>0,50 %</t>
  </si>
  <si>
    <t>Remetente - () bOA TARDE! CODIGO DO CORRETOR: 17555 PERIODO: 01/09 A 30/09 TIPO DE FECHAMENTO: MENSAL META: 100 MIL PERCENTUAL DE PREMIO: 0,50 % PARAMETRO: TODA A PRODUÇÃO Cartão Bmg inss e cartão benefício . ; Remetente - ()   Josi, bom dia. Campnaha parametrizada, meta 8583 ;</t>
  </si>
  <si>
    <t>PARAMETRIZAR CAMPANHA BANCO - ID 15169</t>
  </si>
  <si>
    <t>Remetente - () Boa tarde! CODIGO DO CORRETOR: 15169 PERIODO: 01/09 A 30/09 TIPO DE FECHAMENTO: MENSAL META: R$ 1.000,00 PERCENTUAL DE PREMIO: 0,50% PARAMETRO: PRODUÇÃO TOTAL SIMPLIX - FGTS ; Remetente - ()   Josi, bom dia. Campnaha parametrizada, meta 8582;</t>
  </si>
  <si>
    <t>PARAMETRIZAR CAMPANHA - 7640</t>
  </si>
  <si>
    <t>Remetente - () Boa tarde! CODIGO DO CORRETOR: 7640 PERIODO: 01/09 A 30/09 TIPO DE FECHAMENTO: MENSAL META: SEM META PERCENTUAL DE PREMIO: 1,50% PARAMETRO: BANCO CAPITAL CONSIG(gov pi,gov ma,pref são luiz,pref picos-pi) ; Remetente - ()   Bianca, bom dia. Campnaha parametrizada, meta 8581;</t>
  </si>
  <si>
    <t>PARAMETIRZAÇAO DE CAMPANHA - BANCO AMIGOZ</t>
  </si>
  <si>
    <t>DES</t>
  </si>
  <si>
    <t>Remetente - () bOA TARDE! Gentileza parametrizar a campanha para os codigos abaixo: 16153 16502 CODIGO DO CORRETOR: DES PERIODO: 01/09 A 30/09 TIPO DE FECHAMENTO: MENSAL META: SEM META PERCENTUAL DE PREMIO: 1,00% PARAMETRO: TODA A PRODUÇÃO AMIGOZ ; Remetente - ()   Josi, bom dia. Campnaha parametrizada, meta 8566; Remetente - ()  Em tempo  Codigos meta 8566 8567  ;</t>
  </si>
  <si>
    <t>PARAMETRIZAÇÃO DE CAMPANHA - ID 9648</t>
  </si>
  <si>
    <t>Remetente - () Boa tarde! CODIGO DO CORRETOR: 9648 PERIODO: 01/09 A 30/09 TIPO DE FECHAMENTO: MENSAL META: SEM META PERCENTUAL DE PREMIO: 1,00% PARAMETRO: TODA A PRODUÇÃO AMIGOZ ; Remetente - ()   Josi, bom dia. Campnaha parametrizada, meta 8568;</t>
  </si>
  <si>
    <t>PARAMETRIZAR CAMPANHA BANCO - ID 8437</t>
  </si>
  <si>
    <t>Remetente - () Boa tarde! CODIGO DO CORRETOR: 8437 PERIODO: 01/09 A 30/09 TIPO DE FECHAMENTO: MENSAL META: SEM META PERCENTUAL DE PREMIO: 1,00% PARAMETRO: TODA A PRODUÇÃOBANCO AMIGOZ ; Remetente - ()   Bianca, bom dia. Campnaha parametrizada, meta 8569;</t>
  </si>
  <si>
    <t>PARAMETRIZAR CAMPANHA BANCO - ID 14750</t>
  </si>
  <si>
    <t>Remetente - () Boa tarde! CAMPANHA 1: TODA A PRODUÇÃO BANCO FACTA - BONIFICAÇÃO 0,50% CAMPANHA 2: TODA A PRODUÇÃO BANCO AMIGOZ - BONIFICAÇÃO 1,00% CAMPANAHA 3: CODIGO DO CORRETOR: 14750 PERIODO: 01/09 A 30/09 TIPO DE FECHAMENTO: MENSAL META: SEM META PERCENTUAL DE PREMIO: DESCRIÇÃO PARAMETRO: DESCRIÇAO ; Remetente - ()   Josi, bom dia. Campnaha parametrizada, meta8564 8570  ;</t>
  </si>
  <si>
    <t>PARAMETRIZAR CAMPANHA BANCO - ID 16713</t>
  </si>
  <si>
    <t>Remetente - () Boa tarde! Campanha 1: TODA PRODUÇÃO BMG - SEM META - BONIFICAÇÃO 2% Campanha 2: TODA PRODUÇÃO AMIGOZ - SEM META - BONIFICAÇÃO 4% Campanha 3: TODA PRODUÇÃO MASTER - SEM META - BONIFICAÇÃO 2% CODIGO DO CORRETOR: 16713 PERIODO: 01/09 A 30/09 TIPO DE FECHAMENTO: MENSAL META: SEM META PERCENTUAL DE PREMIO: DESCRIÇÃO PARAMETRO: DESCRIÇAO ; Remetente - ()    Josi, bom dia. Campnaha parametrizada, metas: 8580 8571 8579  ;</t>
  </si>
  <si>
    <t>PARAMETRIZAR CAMPANHA - ID 18221</t>
  </si>
  <si>
    <t>0,15</t>
  </si>
  <si>
    <t>Remetente - () Boa tarde! CODIGO DO CORRETOR: 18221 PERIODO: 01/09 A 30/09 TIPO DE FECHAMENTO: MENSAL META: SEM META PERCENTUAL DE PREMIO: 0,15 PARAMETRO: BMG PRODUCAO TOTAL ; Remetente - ()  Josi, bom dia. Campnaha parametrizada, meta 8578;</t>
  </si>
  <si>
    <t>PARAMETRIZAR CAMPANHA- ID 5804</t>
  </si>
  <si>
    <t>Remetente - () Boa tarde! CODIGO DO CORRETOR: 5804 PERIODO: 01/09 A 30/09 TIPO DE FECHAMENTO: MENSAL META: SEM META PERCENTUAL DE PREMIO: 0,50 PARAMETRO: BANCO MEU CREDBANK ? INSS APENAS TABELAS COM SEGURO ; Remetente - ()  Josi, bom dia. Campnaha parametrizada, meta 8577;</t>
  </si>
  <si>
    <t>PARAMETRIZAÇÃO DE CAMPANHA - ID 15932</t>
  </si>
  <si>
    <t>Remetente - () Boa tarde! Campanha 1: PRESENÇA BANK- PRODUÇÃO TOTAL NAS TABELAS QUE RECEBEMOS BONIFICACOES - SEM META - BONIFICAÇÃO 75% Campanha 2: AMIGOZ ? PRODUÇÃO TOTAL - SEM META - BONIFICAÇÃO 3,50% Campanha 3: MEU CREDBANK ? PRODUCAO TOTAL EM TODOS OS PRODUTOS ( exceto refin da port - SEM META - BONIFICAÇÃO 1,00% Cmapanha 4: MEU CREDBANK - PRODUÇÃO TOTAL REFIN DA PORT - SEM META - BONIFICAÇÃO - BONIFICAÇÃO 0,75% Campanha 5:CREFAZ ? PRODUÇÃO TOTAL - SEM META - BONIFICAÇÃO 0,20% CODIGO DO CORRETOR: 15932 PERIODO: 01/09 A 30/09 TIPO DE FECHAMENTO: MENSAL META: DESCRIÇAO PERCENTUAL DE PREMIO: DESCRIÇÃO PARAMETRO: DESCRIÇAO ; Remetente - ()   Josi, bom dia. Campnaha parametrizada, metas: 8576 8572 8575 8574 8573  ;</t>
  </si>
  <si>
    <t>PARAMETRIZAÇÃO DE CAMPANHA - ID 12633</t>
  </si>
  <si>
    <t>Remetente - () Boa tarde! Campanha 1:FACTA ? PRODUÇAÕ TOTAL REFIN DA PORTABILIDADE - SEM META - BONIFICAÇÃO 0,30% Campanha 2: FACTA ? PRODUÇAÕ TOTAL REFIN DA PORTABILIDADE - SEM META - BONFICAÇAO 0,30% Campanha 3: DIGIO ? PRODUÇAÕ TOTAL PORTABILIDADE E REFIN DA PORTABILIDADE - SEM META - BONIFICAÇÃO 0,20% CODIGO DO CORRETOR: 12633 PERIODO: 01/09 A 30/09 TIPO DE FECHAMENTO: MENSAL META: DESCRIÇAO PERCENTUAL DE PREMIO: DESCRIÇÃO PARAMETRO: DESCRIÇAO ; Remetente - ()   Josi, bom dia. Campnaha parametrizada, metas: 8565 8587  ;</t>
  </si>
  <si>
    <t>PARAMETRIZAR CAMPANHA - ID 4629</t>
  </si>
  <si>
    <t>Remetente - () Boa tarde! Campanha 1 : TODAS AS TABELAS COM SEGURO DE CONTRATO NOVO INSS MEU CRED BANK - SEM META - BONIFICAÇÃO 1% Campanha 2: BONUS DO REFIN DA PORTABILIDADE MEU CRED BANK - SEM META - BONIFICAÇÃO 0,50% Campanha 3: TODOS OS CARTÕES CONSIGNADO E BENEFICIO DO INSS AMIGOZ - SEM META - BONIFICAÇÃO 3% CARTÃO BENEFICIO E CONSIGNADO COM E SEM SEGURO - BMG - SEM META - BONFICAÇÃO 0,50% Campanha 4: CODIGO DO CORRETOR: 4629 PERIODO: 01/09 A 30/09 TIPO DE FECHAMENTO: MENSAL META: DESCRIÇAO PERCENTUAL DE PREMIO: DESCRIÇÃO PARAMETRO: DESCRIÇAO ; Remetente - ()  Josi, bom dia. Campanhas parametrizadas meta: 8535 8536 8537 8538  ;</t>
  </si>
  <si>
    <t>´PARAMETRIZAR CAMPANHA - ID 11652</t>
  </si>
  <si>
    <t>Remetente - () Boa tarde! Campanha 1: TODAS AS TABELAS COM SEGURO DE CONTRATO NOVO INSS MEU CRED BANK - sem meta - bonicação 1% Campanha 2: TODOS OS CARTÕES CONSIGNADO E BENEFICIO DO INSS AMIGOZ - SEM META - BONFICIAÇÃO DE 3% CODIGO DO CORRETOR: 11652 PERIODO: 01/09 A 30/09 TIPO DE FECHAMENTO: MENSAL META: DESCRIÇAO PERCENTUAL DE PREMIO: DESCRIÇÃO PARAMETRO: DESCRIÇAO ; Remetente - ()  Josi, bom dia. Campanha parametrizada, meta 8539 8540  ;</t>
  </si>
  <si>
    <t>CAMPANHA BANCO FACTA I 17102 I GC SUSANA LIRA</t>
  </si>
  <si>
    <t>Remetente - () Prezados(a), bom dia ! Gentileza parametrizar campanha conforme solicitado pela GC Susana Lira e autorizada pelo diretor Danilo Ferreira. CODIGO DO CORRETOR: 17102 PERIODO: 01/09 À 30/09 TIPO DE FECHAMENTO: MENSAL META: SEM META PERCENTUAL DE PREMIO: 0,25% PARAMETRO: CONFORME REGRAS FACTA ; Remetente - ()  Barbara, bom dia. Campanha parametrizada, meta 8541  ;</t>
  </si>
  <si>
    <t>CAMPANHA SETEMBRO I COD 8476 I QUERO +</t>
  </si>
  <si>
    <t>CART?O CONSIGNADO E CART?O BENEFICIO</t>
  </si>
  <si>
    <t>1,10</t>
  </si>
  <si>
    <t>Remetente - () Bom dia ! Gentileza parametrizar conforme solicitado. CODIGO DO CORRETOR: 8476 PERIODO: 01/09 A 30/09 TIPO DE FECHAMENTO: MENSAL META: 1.000,00 PERCENTUAL DE PREMIO: 1,10 PARAMETRO: CARTÃO CONSIGNADO E CARTÃO BENEFICIO ; Remetente - () Novo arquivo enviado: CAMPANHAQUEROMAIS-SETEMBRO-14363-RRPROMOTORA-8476-SUBKENEDY-15802-SUBRAISSA_2025_09_03_10_43_05.xlsx; Remetente - ()  Barbara, bom dia. Campanha parametrizada, meta 8542  ;</t>
  </si>
  <si>
    <t>CAMPANHA SETEMBRO I COD 14363 I QUERO +</t>
  </si>
  <si>
    <t>Remetente - () Bom dia ! Gentileza parametrizar conforme solicitado. CODIGO DO CORRETOR: 14363 PERIODO: 01/09 A 30/09 TIPO DE FECHAMENTO: MENSAL META: 1.000,00 PERCENTUAL DE PREMIO: 1,50 PARAMETRO: CARTÃO CONSIGNADO E CARTÃO BENEFICIO ; Remetente - () Novo arquivo enviado: CAMPANHAQUEROMAIS-SETEMBRO-14363-RRPROMOTORA-8476-SUBKENEDY-15802-SUBRAISSA_2025_09_03_10_40_22.xlsx; Remetente - ()  Barbara, bom dia. Campanha parametrizada, meta 8543  ;</t>
  </si>
  <si>
    <t>CAMPANHA SETEMBRO I COD 15802 I QUERO +</t>
  </si>
  <si>
    <t>Remetente - () Bom dia ! Gentileza parametrizar conforme solicitado. CODIGO DO CORRETOR: 15802 PERIODO: 01/09 A30/09 TIPO DE FECHAMENTO: MENSAL META: 1.000,00 PERCENTUAL DE PREMIO: 1,50 PARAMETRO: CARTÃO CONSIGNADO E CARTÃO BENEFICIO ; Remetente - () Novo arquivo enviado: CAMPANHAQUEROMAIS-SETEMBRO-14363-RRPROMOTORA-8476-SUBKENEDY-15802-SUBRAISSA_2025_09_03_10_37_43.xlsx; Remetente - ()  Bianca, bom dia. Campanha parametrizada, meta 8544  ;</t>
  </si>
  <si>
    <t>CAMPANHA SETEMBRO I COD 16238 I BANCO MASTER</t>
  </si>
  <si>
    <t>TODOS - EXCETO FGTS E INSS</t>
  </si>
  <si>
    <t>Remetente - () Bom dia ! Gentileza parametrizar conforme solicitado. CODIGO DO CORRETOR: 16238 PERIODO: 01/09 A 30/09 TIPO DE FECHAMENTO: MENSAL META: SEM META PERCENTUAL DE PREMIO: 1,50 PARAMETRO: TODOS - EXCETO FGTS E INSS ; Remetente - () Novo arquivo enviado: CAMPANHA-BONUSBANCOMASTER-16238-SUB-LCNEGOCIOSLTDA_2025_09_03_09_35_30.xlsx; Remetente - ()  Bianca, bom dia. Campanha parametrizada, meta 8546 ;</t>
  </si>
  <si>
    <t>PARAMETRIZAR CAMPANHA - ID: 9207 -</t>
  </si>
  <si>
    <t>Remetente - () Prezados, bom dia! Favor parametrizar campanha. Obs: Será considerado a produção de todos os codigos citados porem o bonus deverá ser pago nos dados bancarios do codigo ID: 9207 CODIGO DO CORRETOR: 9207 / 16893 / 15896 / 15942 PERIODO: 01/09/2025 a 30/09/2025 TIPO DE FECHAMENTO: MENSAL META: 20.000,00 PERCENTUAL DE PREMIO: 1% PARAMETRO: MEU CREDBANK - FGTS ; Remetente - ()  Lucas, bom dia. Campanha parametrizada, meta 8547 ;</t>
  </si>
  <si>
    <t>CAMPANHA SETEMBRO I ARKAD I BANCO FACTA</t>
  </si>
  <si>
    <t>*</t>
  </si>
  <si>
    <t>Remetente - () Bom dia! Gentileza parametrizar conforme solicitado. 9207 PROMOTORA ARKAD LTDA 16893 SUB - PROMOTORA ARKAD LTDA 15896 CREDITARE CENTER LTDA 15942 SUB - CREDITARE CENTER LTDA Fechamento de campanha com pagamento parametrizado no código 9207. CODIGO DO CORRETOR: * PERIODO: 01/09 a 30/09 TIPO DE FECHAMENTO: MENSAL META: R$ 250.000,00 PERCENTUAL DE PREMIO: 0,50 PARAMETRO: CONFORME REGRAS FACTA ; Remetente - () Novo arquivo enviado: CAMPANHA-BONUSFACTA-GRUPOARKAD_2025_09_03_09_31_53.xlsx; Remetente - ()  Bianca, bom dia. Campanha parametrizada, meta 8548;</t>
  </si>
  <si>
    <t>CAMPANHA BANDO DAYCOVAL l CÓDIGO 6905 l GC ICARO FRANÇA</t>
  </si>
  <si>
    <t>CONSIDERAR PARA BONIFICA??O PARA TODAS AS OPERA??ES DIGITADAS E PAGAS NO PERIODO, EXCLUSIVAMENTE NO BANCO DAYCOVAL, CONVENIO PREF UBERABA, TODAS AS TABELAS E PRAZOS</t>
  </si>
  <si>
    <t>Remetente - () Suporte, boa tarde! Gentileza cadastrar campanha conforme abaixo e planilha em anexo. CODIGO DO CORRETOR: 6905 PERIODO: 01/09/2025 A 30/09/2025 TIPO DE FECHAMENTO: MENSAL META: 500.000,00 PERCENTUAL DE PREMIO: 0,60% PARAMETRO: CONSIDERAR PARA BONIFICAÇÃO PARA TODAS AS OPERAÇÕES DIGITADAS E PAGAS NO PERIODO, EXCLUSIVAMENTE NO BANCO DAYCOVAL, CONVENIO PREF UBERABA, TODAS AS TABELAS E PRAZOS ; Remetente - () Novo arquivo enviado: PLANILHACAMPANHALUISGUSTAVOID6905BANCODAYCOVAL_2025_09_02_14_22_39.xlsx; Remetente - ()  Fabi, bom dia. Campanha parametrizada, meta 8549  ;</t>
  </si>
  <si>
    <t>PARAMETRIZAR CAMPANHA - ID 16131 - BANCO MEU CASHCARD</t>
  </si>
  <si>
    <t>Remetente - () Boa tarde! Iremos considerar toda a prosução Governo de Alagoas CODIGO DO CORRETOR: 16131 PERIODO: 01/09 A 30/09 TIPO DE FECHAMENTO: MENSAL META: 1K PERCENTUAL DE PREMIO: 0,25% PARAMETRO: DESCRIÇAO ; Remetente - ()  Josi, bom dia. Campanha parametrizada, meta 8550; Remetente - ()  ;</t>
  </si>
  <si>
    <t>CAMPANHA SETEMBRO I COD 16131 I MEU CASHCARD</t>
  </si>
  <si>
    <t>conv?nio Prefeitura de Natal</t>
  </si>
  <si>
    <t>Remetente - () Bom dia ! Gentileza parametrizar conforme solicitado. Prefeitura de Natal ? Em cima de todas as tabelas e produtos CODIGO DO CORRETOR: 16131 PERIODO: 01/09 A 30/09 TIPO DE FECHAMENTO: MENSAL META: 1 MIL PERCENTUAL DE PREMIO: 1,50 PARAMETRO: convênio Prefeitura de Natal ; Remetente - ()  Barbara, bom dia. Campanha parametrizada, meta 8551;</t>
  </si>
  <si>
    <t>Remetente - () Bom dia! Favor parametrizar. CODIGO DO CORRETOR: 17865 PERIODO: 01/09/2025 a 30/09/2025 TIPO DE FECHAMENTO: MENSAL META: 50.000,00 PERCENTUAL DE PREMIO: 0,50% PARAMETRO: toda produção de cartao e cartao beneficio do banco amigoz ; Remetente - ()  Em tempo, Considerar todos os convenios.; Remetente - ()  Lucas, bom dia. Campanha parametrizada, meta 8552;</t>
  </si>
  <si>
    <t>CAMPANHA SETEMBRO I COD 15874 I QUERO +</t>
  </si>
  <si>
    <t>Remetente - () Bom dia ! Gentileza parametrizar conforme solicitado. QUERO MAIS/ TODAS AS TABELAS E TODOS OS CONVÊNIOS CODIGO DO CORRETOR: 15874 PERIODO: 01/09 A 30/09 TIPO DE FECHAMENTO: MENSAL META: SEM META PERCENTUAL DE PREMIO: 0,50 PARAMETRO: QUERO MAIS/ TODAS AS TABELAS E TODOS OS CONVÊNIOS ; Remetente - () Novo arquivo enviado: CAMPANHAMETA_2025_09_02_10_58_16.xlsx; Remetente - ()  Bianca, bom dia. Campanha parametrizada, meta 8553;</t>
  </si>
  <si>
    <t>CAMPANHA SETEMBRO I COD 17859 e 17918 I BANCO FACTA</t>
  </si>
  <si>
    <t>0,60</t>
  </si>
  <si>
    <t>Remetente - () Bom dia! Gentileza parametrizar conforme solicitado. O pagamento deverá ser realizado no cod 17918 CODIGO DO CORRETOR: 17859 e 17918 PERIODO: 01/09 A 30/09 TIPO DE FECHAMENTO: MENSAL META: SEM META PERCENTUAL DE PREMIO: 0,60 PARAMETRO: CONFORME REGRAS FACTA ; Remetente - () Novo arquivo enviado: CAMPANHAFACTA-VEGAMAIS17859e17918(1)_2025_09_02_10_54_34.xlsx; Remetente - ()  Bianca, bom dia. Campanha parametrizada, meta 8554;</t>
  </si>
  <si>
    <t>CAMPANHA SETEMBRO I COD 16898 I BANCO FACTA</t>
  </si>
  <si>
    <t>Remetente - () Bom dia! Gentileza parametrizar conforme solicitado. CODIGO DO CORRETOR: 16898 PERIODO: 01/09 A 30/09 TIPO DE FECHAMENTO: MENSAL META: SEM META PERCENTUAL DE PREMIO: 0,45 PARAMETRO: CONFORME REGRAS FACTA ; Remetente - () Novo arquivo enviado: CAMPANHAFACTA08-16898SUB-GILDERSONSATELESPORTO_2025_09_02_10_50_14.xlsx; Remetente - ()  Barbara, bom dia. Campanha parametrizada, meta 8555;</t>
  </si>
  <si>
    <t>Remetente - () Bom dia! Gentileza parametrizar conforme solicitado. EM TODOS OS PRODUTOS E TABELAS BANCO DAYCOVAL QUE COMTEMPLAM A CAMPANHA DE BONUS CODIGO DO CORRETOR: 14452 PERIODO: 01/09 A 31/09 TIPO DE FECHAMENTO: MENSAL META: 10 MIL PERCENTUAL DE PREMIO: 0,70 PARAMETRO: EM TODOS OS PRODUTOS E TABELAS BANCO DAYCOVAL QUE COMTEMPLAM A CAMPANHA DE BONUS ; Remetente - () Novo arquivo enviado: Modelo_campanha(1)(11)_2025_09_02_10_46_45.xlsx; Remetente - ()  Bianca, bom dia. Campanha parametrizada, meta 8556; Remetente - ()  ;</t>
  </si>
  <si>
    <t>CAMPANHA SETEMBRO I COD 13782 I AMIGOZ</t>
  </si>
  <si>
    <t>Remetente - () Bom dia! Gentileza parametrizar conforme solicitado. CODIGO DO CORRETOR: 13782 PERIODO: 01/09 A 31/09 TIPO DE FECHAMENTO: MENSAL META: 10 MIL PERCENTUAL DE PREMIO: 4,00 % PARAMETRO: EM TODOS OS PRODUTOS E TABELAS BANCO AMIGOZ ; Remetente - () Novo arquivo enviado: Modelo_campanha(1)(10)_2025_09_02_10_43_07.xlsx; Remetente - ()  Barbara, bom dia. Campanha parametrizada, meta 8557;</t>
  </si>
  <si>
    <t>CAMPANHA SETEMBRO I COD 15966 I BANCO MASTER</t>
  </si>
  <si>
    <t>1,60</t>
  </si>
  <si>
    <t>Remetente - () Bom dia ! Gentileza parametrizar conforme solicitado. EM TODOS OS PRODUTOS E TABELAS BANCO MASTER -exceto INSS e FGTS CODIGO DO CORRETOR: 15966 PERIODO: 01/09 A 31/09 TIPO DE FECHAMENTO: MENSAL META: 10 MIL PERCENTUAL DE PREMIO: 1,60 PARAMETRO: EM TODOS OS PRODUTOS E TABELAS BANCO MASTER ; Remetente - ()  Bianca, bom dia. Campanha parametrizada, meta 8558;</t>
  </si>
  <si>
    <t>CAMPANHA SETEMBRO I COD 16474 I BANCO FACTA</t>
  </si>
  <si>
    <t>16474</t>
  </si>
  <si>
    <t>Remetente - () Bom dia! Gentileza parametrizar conforme solicitado. CODIGO DO CORRETOR: 16474 PERIODO: 01/09 A 31/09 TIPO DE FECHAMENTO: MENSAL META: SEM META PERCENTUAL DE PREMIO: 0,50 PARAMETRO: CONFORME REGRAS FACTA ; Remetente - () Novo arquivo enviado: PLANILHABONUSGENIELA(2)_2025_09_02_10_32_47.xlsx; Remetente - ()     bom dia Campanha parametrizada. Meta 8496;</t>
  </si>
  <si>
    <t>CAMPANHA SETEMBRO I COD 17711 I BANCO FACTA</t>
  </si>
  <si>
    <t>Remetente - () Bom dia! Gentileza parametrizar conforme solicitado. CODIGO DO CORRETOR: 17711 PERIODO: 01/09 A 31/09 TIPO DE FECHAMENTO: MENSAL META: 10 MIL PERCENTUAL DE PREMIO: 0,75 PARAMETRO: CONFORME REGRAS FACTA ; Remetente - () Novo arquivo enviado: CAMPANHAFACTA-SEGUESERVFINANCEIROS(1)_2025_09_02_10_28_44.xlsx; Remetente - ()     bom dia Campanha parametrizada. Meta 8496;</t>
  </si>
  <si>
    <t>CAMPANHA l GC EMMANOEL</t>
  </si>
  <si>
    <t>12466 / 13611 / 16029 / 17514</t>
  </si>
  <si>
    <t>EMP 100 / TESTE 8</t>
  </si>
  <si>
    <t>Remetente - () Suporte, bom dia! Gentileza cadastrar campanha de Setembro para os sub\'s em anexo. CODIGO DO CORRETOR: 12466 / 13611 / 16029 / 17514 PERIODO: 01/09/2025 A 30/09/2025 TIPO DE FECHAMENTO: MENSAL META: 0,10 PERCENTUAL DE PREMIO: - PARAMETRO: EMP 100 / TESTE 8 ; Remetente - () Novo arquivo enviado: CAMPANHASETEMBROEMMANOEL_2025_09_02_10_28_22.xlsx; Remetente - () Bom  dia Campanha parametrizada. Metas:  8530 8497 8511 8529 8507 8528 8498 8499  ;</t>
  </si>
  <si>
    <t>CAMPANHA SETEMBRO I COD 17614 I BANCO FACTA</t>
  </si>
  <si>
    <t>17614</t>
  </si>
  <si>
    <t>Remetente - () Bom dia! Gentileza parametrizar conforme solicitado. CODIGO DO CORRETOR: 17614 PERIODO: 01/09 A 31/09 TIPO DE FECHAMENTO: MENSAL META: 10 MIL PERCENTUAL DE PREMIO: 0,75 PARAMETRO: CONFORME REGRAS FACTA ; Remetente - () Novo arquivo enviado: Modelo_campanha(1)(6)_2025_09_02_10_22_53.xlsx; Remetente - ()     bom dia Campanha parametrizada. Meta 8500;</t>
  </si>
  <si>
    <t>CAMPANHA SETEMBRO I COD 8835 I BANCO FACTA</t>
  </si>
  <si>
    <t>8835</t>
  </si>
  <si>
    <t>Remetente - () Bom dia ! Gentileza parametrizar conforme solicitado. CODIGO DO CORRETOR: 8835 PERIODO: 01/09 A 31/09 TIPO DE FECHAMENTO: MENSAL META: 10 MIL PERCENTUAL DE PREMIO: 0,60 PARAMETRO: CONFORME REGRAS FACTA ; Remetente - () Novo arquivo enviado: Modelo_campanha(1)(4)_2025_09_02_10_17_12.xlsx; Remetente - ()     bom dia Campanha parametrizada. Meta 8501;</t>
  </si>
  <si>
    <t>PARAMETRIZAR CAMPANHA - BANCO MASTER - ID 15818 / 16763</t>
  </si>
  <si>
    <t>Remetente - () Bom dia! Por gentileza considerar a produção total de ambos os codigos, a bonificação sera paga no codio 16763 PRODUÇÃO ATE ATÉ 1 MILHÃO - 1,50% BONUS PRODUÇÃO ACIMA DE 1 MILHAO - 1,70% BONUS CODIGO DO CORRETOR: 15818 / 16763 PERIODO: 01/09 A 30/09 TIPO DE FECHAMENTO: MENSAL META: DESCRIÇAO PERCENTUAL DE PREMIO: DESCRIÇÃO PARAMETRO: DESCRIÇAO ; Remetente - ()     bom dia Campanha parametrizada. Meta 8508   ;</t>
  </si>
  <si>
    <t>CAMPANHA SETEMBRO I COD 13929 I BANCO FACTA</t>
  </si>
  <si>
    <t>13929</t>
  </si>
  <si>
    <t>Remetente - () Bom dia! Gentileza parametrizar conforme solicitado. CODIGO DO CORRETOR: 13929 PERIODO: 01/09 A 31/09 TIPO DE FECHAMENTO: MENSAL META: 10 MIL PERCENTUAL DE PREMIO: 0,60 PARAMETRO: CONFORME REGRAS FACTA ; Remetente - () Novo arquivo enviado: Modelo_campanha(1)(2)_2025_09_02_10_00_38.xlsx; Remetente - ()     bom dia Campanha parametrizada. Meta 8502  ;</t>
  </si>
  <si>
    <t>CAMPANHA SETEMBRO I COD 17309 I BANCO FACTA</t>
  </si>
  <si>
    <t>17309</t>
  </si>
  <si>
    <t>Remetente - () Bom dia! Gentileza parametrizar conforme solicitado. CODIGO DO CORRETOR: 17309 PERIODO: 01/09 A 31/09 TIPO DE FECHAMENTO: MENSAL META: 10 MIL PERCENTUAL DE PREMIO: 0,75 PARAMETRO: CONFORME REGRAS FACTA ; Remetente - () Novo arquivo enviado: Modelo_campanha(1)(1)_2025_09_02_09_53_11.xlsx; Remetente - ()     bom dia Campanha parametrizada. Meta 8503;</t>
  </si>
  <si>
    <t>PARAMETRIZAR CAMPANHA - ID: 12586</t>
  </si>
  <si>
    <t>12586</t>
  </si>
  <si>
    <t>Remetente - () Boa tarde! Favor parametrizar campanha. CODIGO DO CORRETOR: 12586 PERIODO: 01/09/2025 a 30/09/2025 TIPO DE FECHAMENTO: MENSAL META: SEM META PERCENTUAL DE PREMIO: 0,25% PARAMETRO: TODA PRODUÇÃO BANCO C6 ; Remetente - ()     bom dia Campanha parametrizada. Meta 8512;</t>
  </si>
  <si>
    <t>PARAMETRIZAR CAMPANHA - ID: 9212</t>
  </si>
  <si>
    <t>9212</t>
  </si>
  <si>
    <t>Remetente - () BOA TARDE! fAVOR PARAMETRIZAR CAMPANHA ABAIXO. BANCO: FACTA - TODA PRODUÇÃO CONFORME REGRA - BONUS DE 0,75% BANCO: CAPITAL CONSIG - TODA PRODUÇÃO DE CARTAO E VARTAO BENEFICIO PARA TODOS OS CONVENIOS -BONUS DE 1,50% BANCO: BMG - TODA PRODUÇÃO DE CARTAO E CARTAO BENEFICIO -TODOS OS CONVENIOS BONUS 0,50% BANCO: CASH CARD - TODA PRODUÇÃO, PREFEITURA DE NATAL - SEM META - BONUS 0,70% CODIGO DO CORRETOR: 9212 PERIODO: 01/09/2025 a 30/09/2025 TIPO DE FECHAMENTO: MENSAL META: SEM META PERCENTUAL DE PREMIO: CONFORME DESCRIÇÃO PARAMETRO: CONFORME DESCRIÇÃO ; Remetente - () Bom dia Campanha parametrizada. Meta 8504 8527 8526 8525  ;</t>
  </si>
  <si>
    <t>PARAMETIRZAÇAO DE CAMPANHA - ID 11730</t>
  </si>
  <si>
    <t>11730</t>
  </si>
  <si>
    <t>Remetente - () Boa tarde! OPERAÇÕES DE CARTÃO E SAQUE COMPLEMENTAR DOS BANCOS OLÉ, PAN E BMG. CODIGO DO CORRETOR: 11730 PERIODO: 01 A 30/09 TIPO DE FECHAMENTO: MENSAL META: 1000,00 PERCENTUAL DE PREMIO: 0,50% PARAMETRO: DESCRIÇAO ; Remetente - ()  campanha 2: Bonificar em cima das operações de contratos NOVO do BANCO C6 – todos os prazos e tabelas. (o que tiver dentro da vigencia do banco) meta: 1000,00 Bonficaçao: 0,25%; Remetente - () Josi, boa tarde, Não  é possivel conisderar conforme vigencia do banco , nas tabelas bonificadas,; Remetente - ()     bom dia Campanha parametrizada. Meta 8513;</t>
  </si>
  <si>
    <t>PARAMETRIZAR CAMPANHA BANCO C6 - ID 17154</t>
  </si>
  <si>
    <t>17154</t>
  </si>
  <si>
    <t>PRODU??O TOTAL</t>
  </si>
  <si>
    <t>Remetente - () Boa tarde! CODIGO DO CORRETOR: 17154 PERIODO: 01 A 30/09 TIPO DE FECHAMENTO: MENSAL META: SEM META PERCENTUAL DE PREMIO: 0,25% PARAMETRO: PRODUÇÃO TOTAL ; Remetente - ()     bom dia Campanha parametrizada. Meta 8514;</t>
  </si>
  <si>
    <t>PARAMETRIZAR CAMPANHA BANCO C6 - ID 15366</t>
  </si>
  <si>
    <t>15366</t>
  </si>
  <si>
    <t>Remetente - () bOA TARDE! CODIGO DO CORRETOR: 15366 PERIODO: 01 A 30/09 TIPO DE FECHAMENTO: MENSAL META: SEM META PERCENTUAL DE PREMIO: 0,35% PARAMETRO: DESCRIÇAO ; Remetente - ()     bom dia Campanha parametrizada. Meta 8515;</t>
  </si>
  <si>
    <t>PARAMETRIZAR CAMPANHA BANCO MERCANTIL - ID 12288</t>
  </si>
  <si>
    <t>12288</t>
  </si>
  <si>
    <t>Remetente - () Boa tarde! CAMpanha 1: BANCO CREFAZ -CONFORME REGRA DE FECHAMENTO - PERCENTUAL 0,20 - SEM META Campanha 2: BANCO OLÉ INSS ? CARTÕES RMC E RCC ? CONFORME REGRA DE FECHAMENTO PERCENTUAL 0,20 - SEM META Campanha 3: BANCO SAFRA - TODA OPERAÇÃO NOVA - PERCENTUAL 0,20 - SEM META Campanha 4: BANCO MEU CREDBANK TODA PRODUÇÃO - PERCENTUAL 0,50 - SEM META Campanha 5: BANCO MASTER TODA A PRODUÇÃO DE CARTÕES RMC E RCC - PERCENTUAL 2,00% - SEM META Campanha 6 : BANCO MASTER BANCO MASTER TODA A PRODUÇÇÃO DE EMPRESTIMO ? PERCENTUAL 1,75 - SEM META CODIGO DO CORRETOR: 12288 PERIODO: 01 A 30/09 TIPO DE FECHAMENTO: MENSAL META: DESCRIÇAO PERCENTUAL DE PREMIO: DESCRIÇÃO PARAMETRO: DESCRIÇAO ; Remetente - ()  Josi, boa tarde. Não tem como considerar conforme regra de fechamento do banco Crefaz, então vai ser considerado toda produção.; Remetente - ()  Assim, como o banco OLe ; Remetente - ()     bom dia Campanha parametrizada. Meta8516 8517 8518 8519 8509 8510  ;</t>
  </si>
  <si>
    <t>PARAMETRIZAR CAMPANHA - ID: 14722</t>
  </si>
  <si>
    <t>.....</t>
  </si>
  <si>
    <t>Remetente - () Boa tarde! Favor parametrizar campanha conforme abaixo. BANCO: PRESENÇA BANK - INSS - NOVO - META DE R$ 10.000,00 - BONUS DE 0,50% BANCO: FACTA - INSS - NOVO - META DE R$ 10.000,00 - BONUS DE 0,75% BANCO: PAN - GOVERNO DE PERNAMBUCO NOVO E REFIN- SEM META - BONUS DE R$ 0,50%. CODIGO DO CORRETOR: 14722 PERIODO: 01/09/2025 a 30/09/2025 TIPO DE FECHAMENTO: FINAL DA CAMPANHA META: ..... PERCENTUAL DE PREMIO: CONFORME DESCRIÇÃO PARAMETRO: CONFORME DESCRIÇÃO ; Remetente - ()     bom dia Campanha parametrizada. Meta 8520 8505 8521  ;</t>
  </si>
  <si>
    <t>PARAMETRIZAR CAMPANHA - ID: 12776</t>
  </si>
  <si>
    <t>12776</t>
  </si>
  <si>
    <t>toda produ??o do banco crefaz</t>
  </si>
  <si>
    <t>Remetente - () Prezados, boa tarde! Favor parametrizar campanha. 0,20% sobre toda a produção do banco crefaz. CODIGO DO CORRETOR: 12776 PERIODO: 01/09/2025 a 30/09/2025 TIPO DE FECHAMENTO: FINAL DA CAMPANHA META: SEM META PERCENTUAL DE PREMIO: 0,20% PARAMETRO: toda produção do banco crefaz ; Remetente - ()    , bom dia Campanha parametrizada. Meta 8522  ;</t>
  </si>
  <si>
    <t>PARAMETRIZAÇÃO DE CAMPANHA - ID 12156</t>
  </si>
  <si>
    <t>12156</t>
  </si>
  <si>
    <t>Toda a produ??o do banco Pan.</t>
  </si>
  <si>
    <t>Remetente - () Boa tarde! Toda a produção do banco Pan. CODIGO DO CORRETOR: 12156 PERIODO: 01 A 30/09 TIPO DE FECHAMENTO: MENSAL META: 1K PERCENTUAL DE PREMIO: 0,30% PARAMETRO: Toda a produção do banco Pan. ; Remetente - ()   Josi, bom dia Campanha parametrizada. Meta 8523;</t>
  </si>
  <si>
    <t>CAMPANHA BANCO CASHCARD I GC ANA BEATRIZ I 16131</t>
  </si>
  <si>
    <t>Governo de Alagoas, Prefeitura de Natal ? Em cima de todas as tabelas e produtos</t>
  </si>
  <si>
    <t>Remetente - () Prezados(a), bom dia ! Gentileza parametrizar conforme solicitado pela GC Ana Beatriz e acordada pelo diretor André Medeiros. CODIGO DO CORRETOR: 16131 PERIODO: 01/09 À 30/09 TIPO DE FECHAMENTO: MENSAL META: R$ 1.000,00 PERCENTUAL DE PREMIO: 1,5% PARAMETRO: Governo de Alagoas, Prefeitura de Natal ? Em cima de todas as tabelas e produtos ; Remetente - () Novo arquivo enviado: CAMPANHAJMO(1)_2025_09_01_10_55_25.xlsx; Remetente - ()   Barbara , boa tarde. Campanha parametrizada. Meta 8524;</t>
  </si>
  <si>
    <t>CAMPANHA BANCO FACTA I GC BRUNA VIANA I 17097</t>
  </si>
  <si>
    <t>17097</t>
  </si>
  <si>
    <t>Remetente - () Prezados(a), bom dia ! Gentileza parametrizar campanha referente ao mês de setembro solicitada pela GC Bruna Viana e acordada pelo Diretor André Medeiros. CODIGO DO CORRETOR: 17097 PERIODO: 01/09 À 30/09 TIPO DE FECHAMENTO: MENSAL META: SEM META PERCENTUAL DE PREMIO: 0,60% PARAMETRO: CONFORME REGRAS FACTA ; Remetente - () Novo arquivo enviado: FORTCRED(1)_2025_09_01_10_37_18.xlsx; Remetente - ()  Barbara , boa tarde. Campanha parametrizada. Meta 8506  ;</t>
  </si>
  <si>
    <t>PARAMETRIZAR CAMPANHA - ID 12156 BANCO PAN</t>
  </si>
  <si>
    <t>29/08/2025 09:38:39</t>
  </si>
  <si>
    <t>1k</t>
  </si>
  <si>
    <t>PRODU??O TOTAL CONVENIO INSS</t>
  </si>
  <si>
    <t>Remetente - () Bom dia! CODIGO DO CORRETOR: 12156 PERIODO: 01 30 /09 TIPO DE FECHAMENTO: MENSAL META: 1k PERCENTUAL DE PREMIO: 0,30% PARAMETRO: PRODUÇÃO TOTAL CONVENIO INSS ; Remetente - ()  Josi, bom dia  A parametrização é para o mes de setembro ? ; Remetente - ()  BOm dia! PERIODO: 01/09 a 30 /09; Remetente - ()  ; Remetente - ()  Josi, bom dia Campanha parametrizada. meta 8701;</t>
  </si>
  <si>
    <t>PARAMETRIZAR CAMPANHA - ID: 6218</t>
  </si>
  <si>
    <t>6218</t>
  </si>
  <si>
    <t>TODA A PRODU??O</t>
  </si>
  <si>
    <t>20/082025 A 31/10/2025</t>
  </si>
  <si>
    <t>Remetente - () Prezados, boa tarde! Favor parametrizar campanha, Considerar toda a produção conforme regras padrao das campanhas. Obs: para bonificação nao serão considerados tabelas que possuem regras VIP aprovadas. CODIGO DO CORRETOR: 6218 PERIODO: 20/082025 A 31/10/2025 TIPO DE FECHAMENTO: FINAL DA CAMPANHA META: SEM META PERCENTUAL DE PREMIO: 0,30% PARAMETRO: TODA A PRODUÇÃO ; Remetente - ()   Campanha parametrizada,  meta  8473  ; Remetente - ()  Bom dia! Por gentileza alterar o periodo: PERIODO: 20/08/2025 A 12/09/2025; Remetente - () Josi, bom dia. Campanha alterada;</t>
  </si>
  <si>
    <t>CAMPANHA AGOSTO I COD 6962 I DAYCOVAL</t>
  </si>
  <si>
    <t>11/08/2025 14:14:28</t>
  </si>
  <si>
    <t>01/08 A 31/08</t>
  </si>
  <si>
    <t>todos produtos apto para bonificacao</t>
  </si>
  <si>
    <t>34% RECEBIDO</t>
  </si>
  <si>
    <t>Remetente - () Boa tarde ! Gentileza parametrizar conforme solicitado. CODIGO DO CORRETOR: 6962 PERIODO: MENSAL TIPO DE FECHAMENTO: MENSAL META: 01/08 A 31/08 PERCENTUAL DE PREMIO: 34% RECEBIDO PARAMETRO: todos produtos apto para bonificacao ; Remetente - ()  Bom dia, favor infomrar qual banco a considerar. Se fotos os bancos não é possivel realizar a campanha considerando somente  as tabelas bonificadas.  ; Remetente - ()  Prezados(a), bom dia ! Cinthia, o banco é o informado no título do chamado, banco Daycoval (produção geral banco).   ; Remetente - ()   Campanha parametrtizada   cod meta 7976 Obrigada pelo retorno  ;</t>
  </si>
  <si>
    <t>CAMPANHA BANCO BMG I GC WANDA MARTINS I 15332</t>
  </si>
  <si>
    <t>05/08/2025 11:12:58</t>
  </si>
  <si>
    <t>15332</t>
  </si>
  <si>
    <t>PRODU??O GERAL BANCO BMG</t>
  </si>
  <si>
    <t>QUADRIMESTRAL (01/08 ? 31/12)</t>
  </si>
  <si>
    <t>MENSAL (PARAMETRIZAR QUADRIMESTRAL COM FECHAMENTO MENSAL AT? DEZEMBRO)</t>
  </si>
  <si>
    <t>Remetente - () Prezados(a), bom dia ! Gentileza parametrizar campanha quadrimestral (renovação automática até dezembro) com repasse mensal. Solicitação realizada pela GC Wanda Martins e acordada pelo diretor Danilo Ferreira. CODIGO DO CORRETOR: 15332 PERIODO: QUADRIMESTRAL (01/08 À 31/12) TIPO DE FECHAMENTO: MENSAL (PARAMETRIZAR QUADRIMESTRAL COM FECHAMENTO MENSAL ATÉ DEZEMBRO) META: SEM META PERCENTUAL DE PREMIO: 0,10% PARAMETRO: PRODUÇÃO GERAL BANCO BMG ; Remetente - ()  ; Remetente - ()  ; Remetente - ()  Prezados(a), bom dia ! Gentileza considerar o banco abaixo: PRODUÇÃO GERAL BANCO MASTER (a GC havia informado o BMG incorretamente); Remetente - ()  o percentual também será em 1,00% ( o percentual de 0,10% também foi informado incorretamente).  ; Remetente - ()   Campanha parametrtizada   Metas: 7918 7917 7916 7915 7914  ;</t>
  </si>
  <si>
    <t>CAMPNAHA AGOSTO I COD 3024 - 6839 I</t>
  </si>
  <si>
    <t>04/08/2025 09:40:53</t>
  </si>
  <si>
    <t>TODOS OS BANCOS E AS TABELAS EXCETO DO BANCO PAN</t>
  </si>
  <si>
    <t>01/08 A 31/12</t>
  </si>
  <si>
    <t>SEMESTRAL</t>
  </si>
  <si>
    <t>Remetente - () Bom dia ! Gentileza renovar campanha conforme solicitado. TODOS OS BANCOS E AS TABELAS EXCETO DO BANCO PAN CODIGO DO CORRETOR: 3024 - 6839 PERIODO: 01/08 A 31/12 TIPO DE FECHAMENTO: SEMESTRAL META: SEM META PERCENTUAL DE PREMIO: 0,30 PARAMETRO: TODOS OS BANCOS E AS TABELAS EXCETO DO BANCO PAN ; Remetente - ()  ; Remetente - ()  ; Remetente - ()  ; Remetente - ()   Campanha parametrtizada   cod meta 7905 Favor informar qual codigo sera realizado ao credito. ; Remetente - () Boa tarde! O crédito deverá ser realizado no jarvis 6839; Remetente - ()  Obrigada pelo retorno ;</t>
  </si>
  <si>
    <t>CÓD CHAMADO</t>
  </si>
  <si>
    <t>COD CORRETOR</t>
  </si>
  <si>
    <t>CHAMADO</t>
  </si>
  <si>
    <t>PLANILHA</t>
  </si>
  <si>
    <t>TIPO</t>
  </si>
  <si>
    <t>Ajustar datas</t>
  </si>
  <si>
    <t>VOLTAR</t>
  </si>
  <si>
    <t>STATUS</t>
  </si>
  <si>
    <t>Ajustar</t>
  </si>
  <si>
    <t>credito 2715</t>
  </si>
  <si>
    <t>DAYCOVAL PRODUCAO TOTAL -85% SOBRE RECEBIDO</t>
  </si>
  <si>
    <t>PÁN -TODA PRODUÇÃO DE NOVO E REFIN  , EXCETO SIAPE, INSS, GOV DO PARANA, E FGTS</t>
  </si>
  <si>
    <t>PAN -CASCATA (INSS?FGTS E REFIN DESCONSIDERAR TABELAS DE INVALIDEZ)</t>
  </si>
  <si>
    <t>09/09/2025 10:50:57</t>
  </si>
  <si>
    <t>16130-LISTAR CONVENIOS</t>
  </si>
  <si>
    <t>CONVÊNIOS PÚBLICOS (TODOS OS PRODUTOS/TABELAS)</t>
  </si>
  <si>
    <t>pan - SAQUE COMPLEMENTAR (TODOS OS CONVÊNIOS)</t>
  </si>
  <si>
    <t>PAN -CARTÃO COM SAQUE (TODOS OS CONVÊNIOS)</t>
  </si>
  <si>
    <t>PAN -FIDELIZA (FGTS, CLT E INSS COM EXCEÇÃO DO NOVO)</t>
  </si>
  <si>
    <t>FGTS (BANCO PAN)</t>
  </si>
  <si>
    <t>BMGRODUÇÃO GERAL COM EXCEÇÃO DO NOVO INSS NORMAL E INCLUIR O LOAS</t>
  </si>
  <si>
    <t xml:space="preserve">bmg- BANCO BMG CARTÃO COM SAQUE </t>
  </si>
  <si>
    <t>BMG- SAQUE COMPLEMENTAR</t>
  </si>
  <si>
    <t xml:space="preserve">aki-capital </t>
  </si>
  <si>
    <t>aki-capital  PRODUÇÃO GERAL (EXCETO CARTÕES)</t>
  </si>
  <si>
    <t>C6-PRODU??O GERAL</t>
  </si>
  <si>
    <t>pRODUÇÃO GERAL BANCO C6</t>
  </si>
  <si>
    <t>MEU CASH-PRODUÇÃO GERAL MCC-cartao beneficio</t>
  </si>
  <si>
    <t xml:space="preserve">QUERO MAIS PRODUÇÃO GERAL </t>
  </si>
  <si>
    <t>QUERO MAIS SIAPE</t>
  </si>
  <si>
    <t xml:space="preserve">CONFORME REGRA FACTA </t>
  </si>
  <si>
    <t>MEU CREDBANK - TODA PRODUÇÃO INSS EXCETO AS 
 - MEU CREDBANK - INSS - MEU CREDBANK - INSS - FP - NORMAL - TX 1,85
MEU CREDBANK - INSS - MEU CREDBANK - INSS - FP - SEGURO - TX 1,85</t>
  </si>
  <si>
    <t> 6846.</t>
  </si>
  <si>
    <t>MEU CREDBANK - TODA PRODUÇAO DE FGTS - </t>
  </si>
  <si>
    <t>BANCO FACTA - TODA PRODUÇÃO CONFORME REGRA</t>
  </si>
  <si>
    <t>BANCO MASTER - TODA PRODUÇÃO, EXCETO OEPRAÇÕES DO CONVENIO INSS E FGTS </t>
  </si>
  <si>
    <t>BANCO MERCANTIL - TODAS AS TABELAS CONVENIO FGTS</t>
  </si>
  <si>
    <t>CONTRATO NOVO PRAZO MAXIMO BANCO PAN SEM SEGURO</t>
  </si>
  <si>
    <t>09/09/2025 09:06:05</t>
  </si>
  <si>
    <t>TODA A PRODUÇÃO CONTRATO NOVO/  BANCO PAN / TABELAS  SEM SEGURO</t>
  </si>
  <si>
    <t>TODA A PRODUÇÃO CONTRATO NOVO/ / BANCO PAN / TABELAS  SEM SEGURO</t>
  </si>
  <si>
    <t>BANCO AMIGOS -  TODAS ( EXCETO PREF RECIFE / TJ MG / JUIZ DE FORA)</t>
  </si>
  <si>
    <t> BANCO PRESENÇA -produção inss</t>
  </si>
  <si>
    <t>BANCO MEU CREDBANK – INSS PRODUCAO TOTAL -EXCETO 
- MEU CREDBANK - INSS - MEU CREDBANK - INSS - FP - NORMAL - TX 1,85
MEU CREDBANK - INSS - MEU CREDBANK - INSS - FP - SEGURO - TX 1,85</t>
  </si>
  <si>
    <t>BANCO MEU CREDBANK - STODA PRODUÇÃO FGTS</t>
  </si>
  <si>
    <t>BANCO QUERO MAIS CREDITO -- SOMENTE SOBRE CONVENIO SIAPE</t>
  </si>
  <si>
    <t>11/09/2025 16:00:29</t>
  </si>
  <si>
    <t>Considerar todas as tabelas NORMAL, contrato NOVO-C6</t>
  </si>
  <si>
    <t>facta-Considerar todas as tabelas NORMAL, contrato NOVO</t>
  </si>
  <si>
    <t>PAN -PRODU??O TOTAL CONVENIO INSS</t>
  </si>
  <si>
    <t>PRODUCAO GERAL C6-CLT</t>
  </si>
  <si>
    <t>FACTA-EM CIMA DAS TABELAS QUE RECEBEMOS DO BANCO EXCETO CLT E FGTS LIGHT</t>
  </si>
  <si>
    <t>MASER-TODOS OS CONV?NIOS E PRODUTOS MFACIL; CREDCESTA (EXCETO PREFEITURA DE SALVADOR, PREFEITURA DE CAMA?ARI E GOVERNO DA BAHIA, CADASTRADOS NA REGRA VIP).</t>
  </si>
  <si>
    <t>MASTER-TODOS OS CONV?NIOS E PRODUTOS MFACIL; CREDCESTA (EXCETO PREFEITURA DE SALVADOR E GOVERNO DA BAHIA, CADASTRADOS NA REGRA VIP).</t>
  </si>
  <si>
    <t>PRESENÇA EM TODOS OS PRODUTOS E TABELAS INSS, FGTS E CLT (TODAS AS TABELAS)</t>
  </si>
  <si>
    <t>MEU CREDBANK-CONSIDERAR SOMENTE REFIN DE PORTABILIDADE-INSS</t>
  </si>
  <si>
    <t>DIGIO -CONSIDERAR SOMENTE REFIN DE PORTABILIDADE-INSS</t>
  </si>
  <si>
    <t xml:space="preserve">c6 PRODUCAO GERAL </t>
  </si>
  <si>
    <t> TODA PRODUÇÃO BANCO DAYCOVAL</t>
  </si>
  <si>
    <t>toda produção do presença bank</t>
  </si>
  <si>
    <t>Não encontrou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</si>
</sst>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R$&quot;\ #,##0;[Red]\-&quot;R$&quot;\ #,##0"/>
    <numFmt numFmtId="8" formatCode="&quot;R$&quot;\ #,##0.00;[Red]\-&quot;R$&quot;\ #,##0.00"/>
    <numFmt numFmtId="44" formatCode="_-&quot;R$&quot;\ * #,##0.00_-;\-&quot;R$&quot;\ * #,##0.00_-;_-&quot;R$&quot;\ * &quot;-&quot;??_-;_-@_-"/>
    <numFmt numFmtId="43" formatCode="_-* #,##0.00_-;\-* #,##0.00_-;_-* &quot;-&quot;??_-;_-@_-"/>
    <numFmt numFmtId="164" formatCode="_-&quot;R$ &quot;* #,##0.00_-;&quot;-R$ &quot;* #,##0.00_-;_-&quot;R$ &quot;* \-??_-;_-@_-"/>
    <numFmt numFmtId="165" formatCode="&quot;R$&quot;\ #,##0.00"/>
    <numFmt numFmtId="166" formatCode="0.0"/>
  </numFmts>
  <fonts count="66">
    <font>
      <sz val="11"/>
      <color theme="1"/>
      <name val="Calibri"/>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font>
    <font>
      <sz val="10"/>
      <color theme="1"/>
      <name val="Century Gothic"/>
      <family val="2"/>
      <charset val="1"/>
    </font>
    <font>
      <sz val="10"/>
      <name val="Arial"/>
      <family val="2"/>
    </font>
    <font>
      <sz val="11"/>
      <color theme="1"/>
      <name val="Calibri"/>
      <family val="2"/>
    </font>
    <font>
      <sz val="11"/>
      <color rgb="FF000000"/>
      <name val="Calibri"/>
      <family val="2"/>
    </font>
    <font>
      <sz val="11"/>
      <name val="Calibri"/>
      <family val="2"/>
    </font>
    <font>
      <sz val="11"/>
      <color theme="1"/>
      <name val="Calibri"/>
      <family val="2"/>
      <scheme val="major"/>
    </font>
    <font>
      <sz val="11"/>
      <color rgb="FF000000"/>
      <name val="Calibri"/>
      <family val="2"/>
      <scheme val="major"/>
    </font>
    <font>
      <sz val="11"/>
      <name val="Calibri"/>
      <family val="2"/>
      <scheme val="major"/>
    </font>
    <font>
      <sz val="8"/>
      <name val="Calibri"/>
      <family val="2"/>
    </font>
    <font>
      <sz val="10"/>
      <color rgb="FF000000"/>
      <name val="Calibri"/>
      <family val="2"/>
    </font>
    <font>
      <b/>
      <sz val="10"/>
      <color theme="0"/>
      <name val="Century Gothic"/>
      <family val="2"/>
      <charset val="1"/>
    </font>
    <font>
      <sz val="10"/>
      <color theme="0"/>
      <name val="Century Gothic"/>
      <family val="2"/>
      <charset val="1"/>
    </font>
    <font>
      <sz val="10"/>
      <color theme="1"/>
      <name val="Calibri"/>
      <family val="2"/>
    </font>
    <font>
      <b/>
      <sz val="9"/>
      <color theme="1"/>
      <name val="Calibri Light"/>
      <family val="2"/>
    </font>
    <font>
      <sz val="9"/>
      <color theme="1"/>
      <name val="Calibri Light"/>
      <family val="2"/>
    </font>
    <font>
      <sz val="11"/>
      <color theme="1"/>
      <name val="Calibri"/>
      <family val="2"/>
    </font>
    <font>
      <sz val="10"/>
      <color theme="1"/>
      <name val="Calibri"/>
      <family val="2"/>
      <scheme val="major"/>
    </font>
    <font>
      <sz val="10"/>
      <name val="Calibri"/>
      <family val="2"/>
    </font>
    <font>
      <sz val="10"/>
      <color rgb="FF000000"/>
      <name val="Calibri"/>
      <family val="2"/>
      <scheme val="major"/>
    </font>
    <font>
      <sz val="10"/>
      <color theme="1"/>
      <name val="Calibri"/>
      <family val="2"/>
      <charset val="1"/>
    </font>
    <font>
      <sz val="10"/>
      <name val="Calibri"/>
      <family val="2"/>
      <charset val="1"/>
    </font>
    <font>
      <sz val="10"/>
      <color rgb="FF000000"/>
      <name val="Calibri Light"/>
      <family val="2"/>
    </font>
    <font>
      <b/>
      <sz val="12"/>
      <color theme="0"/>
      <name val="Century Gothic"/>
      <family val="2"/>
    </font>
    <font>
      <b/>
      <sz val="12"/>
      <color theme="1"/>
      <name val="Calibri"/>
      <family val="2"/>
      <scheme val="major"/>
    </font>
    <font>
      <sz val="10"/>
      <name val="Aptos Display"/>
      <family val="2"/>
    </font>
    <font>
      <sz val="10"/>
      <name val="Aptos Narrow"/>
      <family val="2"/>
    </font>
    <font>
      <sz val="10"/>
      <name val="Aptos"/>
      <family val="2"/>
    </font>
    <font>
      <sz val="10"/>
      <name val="Century Gothic"/>
      <family val="2"/>
    </font>
    <font>
      <sz val="10"/>
      <name val="Calibri Light"/>
      <family val="2"/>
    </font>
    <font>
      <sz val="10"/>
      <name val="Arial"/>
      <family val="2"/>
      <charset val="1"/>
    </font>
    <font>
      <sz val="10"/>
      <color theme="1"/>
      <name val="Liberation Sans"/>
    </font>
    <font>
      <b/>
      <sz val="10"/>
      <color theme="1"/>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theme="1"/>
      <name val="Liberation Sans"/>
    </font>
    <font>
      <b/>
      <sz val="18"/>
      <color theme="1"/>
      <name val="Liberation Sans"/>
    </font>
    <font>
      <b/>
      <sz val="12"/>
      <color theme="1"/>
      <name val="Liberation Sans"/>
    </font>
    <font>
      <u/>
      <sz val="10"/>
      <color rgb="FF0000EE"/>
      <name val="Liberation Sans"/>
    </font>
    <font>
      <sz val="10"/>
      <color rgb="FF996600"/>
      <name val="Liberation Sans"/>
    </font>
    <font>
      <sz val="10"/>
      <color rgb="FF333333"/>
      <name val="Liberation Sans"/>
    </font>
    <font>
      <b/>
      <i/>
      <u/>
      <sz val="10"/>
      <color theme="1"/>
      <name val="Liberation Sans"/>
    </font>
    <font>
      <b/>
      <sz val="11"/>
      <color theme="1"/>
      <name val="Calibri"/>
      <family val="2"/>
      <scheme val="major"/>
    </font>
    <font>
      <sz val="11"/>
      <color rgb="FF333333"/>
      <name val="Calibri"/>
      <family val="2"/>
      <scheme val="major"/>
    </font>
    <font>
      <b/>
      <sz val="11"/>
      <color rgb="FF000000"/>
      <name val="Calibri"/>
      <family val="2"/>
      <scheme val="major"/>
    </font>
    <font>
      <b/>
      <sz val="11"/>
      <name val="Calibri"/>
      <family val="2"/>
      <scheme val="major"/>
    </font>
    <font>
      <sz val="12"/>
      <color theme="1"/>
      <name val="Calibri"/>
      <family val="2"/>
    </font>
    <font>
      <b/>
      <sz val="11"/>
      <color theme="1"/>
      <name val="Calibri"/>
      <family val="2"/>
      <scheme val="minor"/>
    </font>
    <font>
      <b/>
      <sz val="10"/>
      <name val="Arial"/>
      <family val="2"/>
    </font>
    <font>
      <sz val="11"/>
      <color theme="1"/>
      <name val="Arial"/>
      <family val="2"/>
    </font>
    <font>
      <b/>
      <u/>
      <sz val="11"/>
      <color theme="1"/>
      <name val="Calibri"/>
      <family val="2"/>
      <scheme val="minor"/>
    </font>
  </fonts>
  <fills count="27">
    <fill>
      <patternFill patternType="none"/>
    </fill>
    <fill>
      <patternFill patternType="gray125"/>
    </fill>
    <fill>
      <patternFill patternType="solid">
        <fgColor rgb="FFC00000"/>
        <bgColor rgb="FF980000"/>
      </patternFill>
    </fill>
    <fill>
      <patternFill patternType="solid">
        <fgColor rgb="FF262626"/>
        <bgColor rgb="FF212529"/>
      </patternFill>
    </fill>
    <fill>
      <patternFill patternType="solid">
        <fgColor rgb="FFBFBFBF"/>
        <bgColor rgb="FFC4BD97"/>
      </patternFill>
    </fill>
    <fill>
      <patternFill patternType="solid">
        <fgColor theme="0"/>
        <bgColor rgb="FFF2F2F2"/>
      </patternFill>
    </fill>
    <fill>
      <patternFill patternType="solid">
        <fgColor rgb="FFFFFFFF"/>
        <bgColor indexed="64"/>
      </patternFill>
    </fill>
    <fill>
      <patternFill patternType="solid">
        <fgColor theme="0"/>
        <bgColor indexed="64"/>
      </patternFill>
    </fill>
    <fill>
      <patternFill patternType="solid">
        <fgColor theme="9" tint="0.79998168889431442"/>
        <bgColor rgb="FFF2F2F2"/>
      </patternFill>
    </fill>
    <fill>
      <patternFill patternType="solid">
        <fgColor theme="9" tint="0.79998168889431442"/>
        <bgColor indexed="64"/>
      </patternFill>
    </fill>
    <fill>
      <patternFill patternType="solid">
        <fgColor theme="0"/>
        <bgColor rgb="FFFFFFCC"/>
      </patternFill>
    </fill>
    <fill>
      <patternFill patternType="solid">
        <fgColor theme="0"/>
        <bgColor rgb="FF000000"/>
      </patternFill>
    </fill>
    <fill>
      <patternFill patternType="solid">
        <fgColor theme="6" tint="0.79998168889431442"/>
        <bgColor rgb="FFF2F2F2"/>
      </patternFill>
    </fill>
    <fill>
      <patternFill patternType="solid">
        <fgColor theme="6" tint="0.79998168889431442"/>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1" tint="0.249977111117893"/>
        <bgColor rgb="FF212529"/>
      </patternFill>
    </fill>
    <fill>
      <patternFill patternType="solid">
        <fgColor theme="1" tint="0.249977111117893"/>
        <bgColor rgb="FF222222"/>
      </patternFill>
    </fill>
    <fill>
      <patternFill patternType="solid">
        <fgColor theme="5" tint="0.79998168889431442"/>
        <bgColor indexed="64"/>
      </patternFill>
    </fill>
    <fill>
      <patternFill patternType="solid">
        <fgColor theme="2" tint="-0.249977111117893"/>
        <bgColor indexed="64"/>
      </patternFill>
    </fill>
    <fill>
      <patternFill patternType="solid">
        <fgColor rgb="FFFFC000"/>
        <bgColor indexed="64"/>
      </patternFill>
    </fill>
    <fill>
      <patternFill patternType="solid">
        <fgColor theme="4"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s>
  <cellStyleXfs count="68">
    <xf numFmtId="0" fontId="0" fillId="0" borderId="0"/>
    <xf numFmtId="0" fontId="16" fillId="0" borderId="0" applyBorder="0" applyProtection="0"/>
    <xf numFmtId="164" fontId="16" fillId="0" borderId="0" applyBorder="0" applyProtection="0"/>
    <xf numFmtId="9" fontId="16" fillId="0" borderId="0" applyBorder="0" applyProtection="0"/>
    <xf numFmtId="164" fontId="16" fillId="0" borderId="0" applyBorder="0" applyProtection="0"/>
    <xf numFmtId="0" fontId="16" fillId="0" borderId="0"/>
    <xf numFmtId="9" fontId="16" fillId="0" borderId="0" applyBorder="0" applyProtection="0"/>
    <xf numFmtId="0" fontId="16" fillId="0" borderId="0" applyBorder="0" applyProtection="0"/>
    <xf numFmtId="0" fontId="12" fillId="0" borderId="0"/>
    <xf numFmtId="0" fontId="11" fillId="0" borderId="0"/>
    <xf numFmtId="0" fontId="29" fillId="0" borderId="0"/>
    <xf numFmtId="0" fontId="16" fillId="0" borderId="0" applyBorder="0" applyProtection="0"/>
    <xf numFmtId="164" fontId="16" fillId="0" borderId="0" applyBorder="0" applyProtection="0"/>
    <xf numFmtId="9" fontId="16" fillId="0" borderId="0" applyBorder="0" applyProtection="0"/>
    <xf numFmtId="0" fontId="11" fillId="0" borderId="0"/>
    <xf numFmtId="0" fontId="10" fillId="0" borderId="0"/>
    <xf numFmtId="9" fontId="10" fillId="0" borderId="0" applyFont="0" applyFill="0" applyBorder="0" applyAlignment="0" applyProtection="0"/>
    <xf numFmtId="44" fontId="10" fillId="0" borderId="0" applyFont="0" applyFill="0" applyBorder="0" applyAlignment="0" applyProtection="0"/>
    <xf numFmtId="0" fontId="13" fillId="0" borderId="0"/>
    <xf numFmtId="9" fontId="13" fillId="0" borderId="0" applyBorder="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9" fontId="13"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43" fillId="0" borderId="0"/>
    <xf numFmtId="0" fontId="7" fillId="0" borderId="0"/>
    <xf numFmtId="9" fontId="7" fillId="0" borderId="0" applyFont="0" applyFill="0" applyBorder="0" applyAlignment="0" applyProtection="0"/>
    <xf numFmtId="44" fontId="7"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45" fillId="0" borderId="0"/>
    <xf numFmtId="0" fontId="44" fillId="0" borderId="0"/>
    <xf numFmtId="0" fontId="46" fillId="14" borderId="0"/>
    <xf numFmtId="0" fontId="46" fillId="15" borderId="0"/>
    <xf numFmtId="0" fontId="45" fillId="16" borderId="0"/>
    <xf numFmtId="0" fontId="47" fillId="17" borderId="0"/>
    <xf numFmtId="0" fontId="44" fillId="0" borderId="0" applyNumberFormat="0" applyFont="0" applyFill="0" applyBorder="0" applyAlignment="0" applyProtection="0"/>
    <xf numFmtId="0" fontId="46" fillId="18" borderId="0"/>
    <xf numFmtId="0" fontId="48" fillId="0" borderId="0"/>
    <xf numFmtId="0" fontId="49" fillId="19" borderId="0"/>
    <xf numFmtId="0" fontId="50" fillId="0" borderId="0"/>
    <xf numFmtId="0" fontId="51" fillId="0" borderId="0"/>
    <xf numFmtId="0" fontId="52" fillId="0" borderId="0"/>
    <xf numFmtId="0" fontId="53" fillId="0" borderId="0"/>
    <xf numFmtId="44" fontId="44" fillId="0" borderId="0" applyFont="0" applyFill="0" applyBorder="0" applyAlignment="0" applyProtection="0"/>
    <xf numFmtId="0" fontId="54" fillId="20" borderId="0"/>
    <xf numFmtId="0" fontId="55" fillId="20" borderId="12"/>
    <xf numFmtId="0" fontId="56" fillId="0" borderId="0"/>
    <xf numFmtId="0" fontId="44" fillId="0" borderId="0"/>
    <xf numFmtId="0" fontId="44" fillId="0" borderId="0"/>
    <xf numFmtId="0" fontId="47" fillId="0" borderId="0"/>
    <xf numFmtId="0" fontId="5" fillId="0" borderId="0"/>
    <xf numFmtId="43" fontId="5"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44" fontId="3" fillId="0" borderId="0" applyFont="0" applyFill="0" applyBorder="0" applyAlignment="0" applyProtection="0"/>
    <xf numFmtId="0" fontId="2" fillId="0" borderId="0"/>
    <xf numFmtId="9" fontId="2" fillId="0" borderId="0" applyFont="0" applyFill="0" applyBorder="0" applyAlignment="0" applyProtection="0"/>
    <xf numFmtId="0" fontId="1" fillId="0" borderId="0"/>
  </cellStyleXfs>
  <cellXfs count="349">
    <xf numFmtId="0" fontId="0" fillId="0" borderId="0" xfId="0"/>
    <xf numFmtId="0" fontId="13" fillId="5" borderId="1" xfId="0" applyFont="1" applyFill="1" applyBorder="1" applyAlignment="1">
      <alignment horizontal="center" vertical="center"/>
    </xf>
    <xf numFmtId="10" fontId="18" fillId="5" borderId="1" xfId="0" applyNumberFormat="1" applyFont="1" applyFill="1" applyBorder="1" applyAlignment="1">
      <alignment horizontal="center" vertical="center" wrapText="1"/>
    </xf>
    <xf numFmtId="14" fontId="13" fillId="5" borderId="1" xfId="0" applyNumberFormat="1" applyFont="1" applyFill="1" applyBorder="1" applyAlignment="1">
      <alignment horizontal="center" vertical="center"/>
    </xf>
    <xf numFmtId="14" fontId="16" fillId="5" borderId="1" xfId="0" applyNumberFormat="1" applyFont="1" applyFill="1" applyBorder="1" applyAlignment="1">
      <alignment horizontal="center" vertical="center"/>
    </xf>
    <xf numFmtId="0" fontId="16" fillId="0" borderId="0" xfId="0" applyFont="1"/>
    <xf numFmtId="0" fontId="16" fillId="5" borderId="1" xfId="5" applyFill="1" applyBorder="1" applyAlignment="1">
      <alignment horizontal="center" vertical="center" wrapText="1"/>
    </xf>
    <xf numFmtId="0" fontId="16" fillId="5" borderId="1" xfId="0" applyFont="1" applyFill="1" applyBorder="1" applyAlignment="1">
      <alignment horizontal="center" vertical="center"/>
    </xf>
    <xf numFmtId="0" fontId="16" fillId="7"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18" fillId="7"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0" fillId="7" borderId="0" xfId="0" applyFill="1"/>
    <xf numFmtId="0" fontId="16" fillId="7" borderId="0" xfId="0" applyFont="1" applyFill="1"/>
    <xf numFmtId="0" fontId="18" fillId="7" borderId="1" xfId="0" applyFont="1" applyFill="1" applyBorder="1" applyAlignment="1">
      <alignment horizontal="center" vertical="center"/>
    </xf>
    <xf numFmtId="0" fontId="18" fillId="7" borderId="1" xfId="0" applyFont="1" applyFill="1" applyBorder="1" applyAlignment="1">
      <alignment horizontal="left" vertical="center"/>
    </xf>
    <xf numFmtId="0" fontId="18" fillId="7" borderId="1" xfId="0" applyFont="1" applyFill="1" applyBorder="1" applyAlignment="1">
      <alignment horizontal="left" vertical="center" wrapText="1"/>
    </xf>
    <xf numFmtId="0" fontId="18" fillId="7" borderId="1" xfId="5" applyFont="1" applyFill="1" applyBorder="1" applyAlignment="1">
      <alignment horizontal="center" vertical="center" wrapText="1"/>
    </xf>
    <xf numFmtId="0" fontId="16" fillId="7" borderId="1" xfId="0" applyFont="1" applyFill="1" applyBorder="1" applyAlignment="1">
      <alignment horizontal="left" vertical="center"/>
    </xf>
    <xf numFmtId="165" fontId="13" fillId="7" borderId="1" xfId="1" applyNumberFormat="1" applyFont="1" applyFill="1" applyBorder="1" applyAlignment="1" applyProtection="1">
      <alignment horizontal="center" vertical="center"/>
    </xf>
    <xf numFmtId="0" fontId="18" fillId="0" borderId="1" xfId="0" applyFont="1" applyBorder="1" applyAlignment="1">
      <alignment horizontal="center" vertical="center"/>
    </xf>
    <xf numFmtId="49" fontId="16" fillId="7" borderId="1" xfId="0" applyNumberFormat="1" applyFont="1" applyFill="1" applyBorder="1" applyAlignment="1">
      <alignment horizontal="center" vertical="center"/>
    </xf>
    <xf numFmtId="0" fontId="19" fillId="7" borderId="1" xfId="0" applyFont="1" applyFill="1" applyBorder="1" applyAlignment="1">
      <alignment horizontal="left" vertical="center" wrapText="1"/>
    </xf>
    <xf numFmtId="14" fontId="18" fillId="5" borderId="1" xfId="0" applyNumberFormat="1" applyFont="1" applyFill="1" applyBorder="1" applyAlignment="1">
      <alignment horizontal="center" vertical="center"/>
    </xf>
    <xf numFmtId="0" fontId="18" fillId="7" borderId="1" xfId="0" applyFont="1" applyFill="1" applyBorder="1"/>
    <xf numFmtId="165" fontId="16" fillId="7" borderId="1" xfId="1" applyNumberFormat="1" applyFill="1" applyBorder="1" applyAlignment="1" applyProtection="1">
      <alignment horizontal="center" vertical="center"/>
    </xf>
    <xf numFmtId="14" fontId="19" fillId="5" borderId="1" xfId="0" applyNumberFormat="1" applyFont="1" applyFill="1" applyBorder="1" applyAlignment="1">
      <alignment horizontal="center" vertical="center"/>
    </xf>
    <xf numFmtId="0" fontId="19" fillId="5" borderId="1" xfId="0" applyFont="1" applyFill="1" applyBorder="1" applyAlignment="1">
      <alignment horizontal="center" vertical="center" wrapText="1"/>
    </xf>
    <xf numFmtId="0" fontId="19" fillId="7" borderId="1" xfId="0" applyFont="1" applyFill="1" applyBorder="1" applyAlignment="1">
      <alignment vertical="center" wrapText="1"/>
    </xf>
    <xf numFmtId="0" fontId="16"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5" applyFont="1" applyBorder="1" applyAlignment="1">
      <alignment horizontal="center" vertical="center" wrapText="1"/>
    </xf>
    <xf numFmtId="14" fontId="18" fillId="0" borderId="1" xfId="0" applyNumberFormat="1" applyFont="1" applyBorder="1" applyAlignment="1">
      <alignment horizontal="center" vertical="center"/>
    </xf>
    <xf numFmtId="0" fontId="18" fillId="0" borderId="1" xfId="0" applyFont="1" applyBorder="1" applyAlignment="1">
      <alignment horizontal="left" vertical="center"/>
    </xf>
    <xf numFmtId="0" fontId="19" fillId="7" borderId="1" xfId="5" applyFont="1" applyFill="1" applyBorder="1" applyAlignment="1">
      <alignment horizontal="center" vertical="center" wrapText="1"/>
    </xf>
    <xf numFmtId="14" fontId="19" fillId="5" borderId="4" xfId="0" applyNumberFormat="1" applyFont="1" applyFill="1" applyBorder="1" applyAlignment="1">
      <alignment horizontal="center" vertical="center"/>
    </xf>
    <xf numFmtId="0" fontId="16" fillId="7" borderId="3" xfId="0" applyFont="1" applyFill="1" applyBorder="1" applyAlignment="1">
      <alignment horizontal="left" vertical="center"/>
    </xf>
    <xf numFmtId="0" fontId="16" fillId="7" borderId="1" xfId="0" applyFont="1" applyFill="1" applyBorder="1"/>
    <xf numFmtId="14" fontId="21" fillId="5" borderId="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16" fillId="7" borderId="1" xfId="5" applyFill="1" applyBorder="1" applyAlignment="1">
      <alignment horizontal="center" vertical="center" wrapText="1"/>
    </xf>
    <xf numFmtId="165" fontId="18" fillId="5" borderId="1" xfId="0" applyNumberFormat="1" applyFont="1" applyFill="1" applyBorder="1" applyAlignment="1">
      <alignment horizontal="center" vertical="center"/>
    </xf>
    <xf numFmtId="6" fontId="18" fillId="5" borderId="1" xfId="0" applyNumberFormat="1" applyFont="1" applyFill="1" applyBorder="1" applyAlignment="1">
      <alignment horizontal="center" vertical="center" wrapText="1"/>
    </xf>
    <xf numFmtId="0" fontId="24" fillId="2" borderId="1" xfId="0" applyFont="1" applyFill="1" applyBorder="1" applyAlignment="1">
      <alignment horizontal="center" vertical="center"/>
    </xf>
    <xf numFmtId="0" fontId="25" fillId="2" borderId="1" xfId="0" applyFont="1" applyFill="1" applyBorder="1" applyAlignment="1">
      <alignment horizontal="left" vertical="center"/>
    </xf>
    <xf numFmtId="0" fontId="25" fillId="2" borderId="1" xfId="0" applyFont="1" applyFill="1" applyBorder="1" applyAlignment="1">
      <alignment horizontal="center" vertical="center"/>
    </xf>
    <xf numFmtId="0" fontId="25" fillId="3" borderId="1" xfId="0" applyFont="1" applyFill="1" applyBorder="1" applyAlignment="1">
      <alignment horizontal="center" vertical="center"/>
    </xf>
    <xf numFmtId="10" fontId="25" fillId="3" borderId="1" xfId="0" applyNumberFormat="1" applyFont="1" applyFill="1" applyBorder="1" applyAlignment="1">
      <alignment horizontal="center" vertical="center"/>
    </xf>
    <xf numFmtId="0" fontId="14" fillId="0" borderId="0" xfId="0" applyFont="1" applyAlignment="1">
      <alignment horizontal="center" vertical="center"/>
    </xf>
    <xf numFmtId="0" fontId="26" fillId="0" borderId="0" xfId="0" applyFont="1"/>
    <xf numFmtId="0" fontId="0" fillId="0" borderId="0" xfId="0" applyAlignment="1">
      <alignment horizontal="center"/>
    </xf>
    <xf numFmtId="49" fontId="16" fillId="7" borderId="4" xfId="0" applyNumberFormat="1" applyFont="1" applyFill="1" applyBorder="1" applyAlignment="1">
      <alignment horizontal="center" vertical="center"/>
    </xf>
    <xf numFmtId="49" fontId="26" fillId="7" borderId="1" xfId="0" applyNumberFormat="1" applyFont="1" applyFill="1" applyBorder="1" applyAlignment="1">
      <alignment horizontal="center" vertical="center"/>
    </xf>
    <xf numFmtId="0" fontId="26" fillId="7" borderId="1" xfId="0" applyFont="1" applyFill="1" applyBorder="1" applyAlignment="1">
      <alignment horizontal="center" vertical="center"/>
    </xf>
    <xf numFmtId="14" fontId="26" fillId="7" borderId="1" xfId="0" applyNumberFormat="1" applyFont="1" applyFill="1" applyBorder="1" applyAlignment="1">
      <alignment horizontal="center" vertical="center"/>
    </xf>
    <xf numFmtId="165" fontId="26" fillId="7" borderId="1" xfId="1" applyNumberFormat="1" applyFont="1" applyFill="1" applyBorder="1" applyAlignment="1" applyProtection="1">
      <alignment horizontal="center" vertical="center"/>
    </xf>
    <xf numFmtId="10" fontId="26" fillId="7" borderId="1" xfId="0" applyNumberFormat="1" applyFont="1" applyFill="1" applyBorder="1" applyAlignment="1">
      <alignment horizontal="center" vertical="center"/>
    </xf>
    <xf numFmtId="0" fontId="26" fillId="7" borderId="1" xfId="0" applyFont="1" applyFill="1" applyBorder="1" applyAlignment="1">
      <alignment horizontal="left" vertical="center"/>
    </xf>
    <xf numFmtId="0" fontId="26" fillId="7" borderId="1" xfId="0" applyFont="1" applyFill="1" applyBorder="1" applyAlignment="1">
      <alignment horizontal="left" vertical="center" wrapText="1"/>
    </xf>
    <xf numFmtId="0" fontId="26" fillId="7" borderId="1" xfId="5" applyFont="1" applyFill="1" applyBorder="1" applyAlignment="1">
      <alignment horizontal="center" vertical="center"/>
    </xf>
    <xf numFmtId="10" fontId="26" fillId="7" borderId="1" xfId="5" applyNumberFormat="1" applyFont="1" applyFill="1" applyBorder="1" applyAlignment="1">
      <alignment horizontal="center" vertical="center"/>
    </xf>
    <xf numFmtId="4" fontId="26" fillId="7" borderId="1" xfId="1" applyNumberFormat="1" applyFont="1" applyFill="1" applyBorder="1" applyAlignment="1" applyProtection="1">
      <alignment horizontal="center" vertical="center"/>
    </xf>
    <xf numFmtId="0" fontId="26" fillId="7" borderId="1" xfId="0" applyFont="1" applyFill="1" applyBorder="1" applyAlignment="1">
      <alignment vertical="center"/>
    </xf>
    <xf numFmtId="0" fontId="26" fillId="7" borderId="1" xfId="0" applyFont="1" applyFill="1" applyBorder="1" applyAlignment="1">
      <alignment wrapText="1"/>
    </xf>
    <xf numFmtId="0" fontId="26" fillId="7" borderId="1" xfId="0" applyFont="1" applyFill="1" applyBorder="1" applyAlignment="1">
      <alignment vertical="center" wrapText="1"/>
    </xf>
    <xf numFmtId="49" fontId="16" fillId="7" borderId="1" xfId="0" applyNumberFormat="1" applyFont="1" applyFill="1" applyBorder="1"/>
    <xf numFmtId="0" fontId="16" fillId="7" borderId="1" xfId="0" applyFont="1" applyFill="1" applyBorder="1" applyAlignment="1">
      <alignment horizontal="center"/>
    </xf>
    <xf numFmtId="14" fontId="16" fillId="7" borderId="1" xfId="0" applyNumberFormat="1" applyFont="1" applyFill="1" applyBorder="1"/>
    <xf numFmtId="165" fontId="16" fillId="7" borderId="1" xfId="0" applyNumberFormat="1" applyFont="1" applyFill="1" applyBorder="1"/>
    <xf numFmtId="10" fontId="16" fillId="7" borderId="1" xfId="0" applyNumberFormat="1" applyFont="1" applyFill="1" applyBorder="1" applyAlignment="1">
      <alignment horizontal="center"/>
    </xf>
    <xf numFmtId="2" fontId="16" fillId="7" borderId="1" xfId="0" applyNumberFormat="1" applyFont="1" applyFill="1" applyBorder="1" applyAlignment="1">
      <alignment horizontal="center"/>
    </xf>
    <xf numFmtId="165" fontId="16" fillId="7" borderId="1" xfId="0" applyNumberFormat="1" applyFont="1" applyFill="1" applyBorder="1" applyAlignment="1">
      <alignment horizontal="center"/>
    </xf>
    <xf numFmtId="10" fontId="16" fillId="5" borderId="1" xfId="0" applyNumberFormat="1" applyFont="1" applyFill="1" applyBorder="1" applyAlignment="1">
      <alignment horizontal="center" vertical="center" wrapText="1"/>
    </xf>
    <xf numFmtId="0" fontId="19" fillId="5" borderId="1" xfId="0" applyFont="1" applyFill="1" applyBorder="1" applyAlignment="1">
      <alignment horizontal="left" vertical="center" wrapText="1"/>
    </xf>
    <xf numFmtId="165" fontId="16" fillId="5" borderId="1" xfId="0" applyNumberFormat="1" applyFont="1" applyFill="1" applyBorder="1" applyAlignment="1">
      <alignment horizontal="center" vertical="center"/>
    </xf>
    <xf numFmtId="0" fontId="16" fillId="7" borderId="1" xfId="0" applyFont="1" applyFill="1" applyBorder="1" applyAlignment="1">
      <alignment vertical="center" wrapText="1"/>
    </xf>
    <xf numFmtId="164" fontId="16" fillId="7" borderId="1" xfId="2" applyFill="1" applyBorder="1"/>
    <xf numFmtId="10" fontId="13" fillId="5" borderId="1" xfId="0" applyNumberFormat="1" applyFont="1" applyFill="1" applyBorder="1" applyAlignment="1">
      <alignment horizontal="center" vertical="center" wrapText="1"/>
    </xf>
    <xf numFmtId="165" fontId="13" fillId="5" borderId="1" xfId="0" applyNumberFormat="1" applyFont="1" applyFill="1" applyBorder="1" applyAlignment="1">
      <alignment horizontal="center" vertical="center" wrapText="1"/>
    </xf>
    <xf numFmtId="8" fontId="13" fillId="5" borderId="1" xfId="0" applyNumberFormat="1" applyFont="1" applyFill="1" applyBorder="1" applyAlignment="1">
      <alignment horizontal="center" vertical="center"/>
    </xf>
    <xf numFmtId="165" fontId="13" fillId="5" borderId="1" xfId="0" applyNumberFormat="1" applyFont="1" applyFill="1" applyBorder="1" applyAlignment="1">
      <alignment horizontal="center" vertical="center"/>
    </xf>
    <xf numFmtId="0" fontId="0" fillId="7" borderId="1" xfId="0" applyFill="1" applyBorder="1" applyAlignment="1">
      <alignment horizontal="center"/>
    </xf>
    <xf numFmtId="0" fontId="0" fillId="7" borderId="1" xfId="0" applyFill="1" applyBorder="1"/>
    <xf numFmtId="0" fontId="16" fillId="5" borderId="5" xfId="0" applyFont="1" applyFill="1" applyBorder="1" applyAlignment="1">
      <alignment horizontal="left" vertical="center"/>
    </xf>
    <xf numFmtId="0" fontId="35" fillId="7" borderId="0" xfId="10" applyFont="1" applyFill="1"/>
    <xf numFmtId="49" fontId="26" fillId="7" borderId="1" xfId="10" applyNumberFormat="1" applyFont="1" applyFill="1" applyBorder="1" applyAlignment="1">
      <alignment horizontal="center" vertical="center"/>
    </xf>
    <xf numFmtId="165" fontId="26" fillId="7" borderId="1" xfId="7" applyNumberFormat="1" applyFont="1" applyFill="1" applyBorder="1" applyAlignment="1" applyProtection="1">
      <alignment horizontal="center" vertical="center"/>
    </xf>
    <xf numFmtId="0" fontId="26" fillId="7" borderId="1" xfId="10" applyFont="1" applyFill="1" applyBorder="1" applyAlignment="1">
      <alignment horizontal="left" vertical="center"/>
    </xf>
    <xf numFmtId="0" fontId="23" fillId="7" borderId="0" xfId="10" applyFont="1" applyFill="1"/>
    <xf numFmtId="49" fontId="26" fillId="5" borderId="1" xfId="10" applyNumberFormat="1" applyFont="1" applyFill="1" applyBorder="1" applyAlignment="1">
      <alignment horizontal="center" vertical="center"/>
    </xf>
    <xf numFmtId="14" fontId="30" fillId="5" borderId="1" xfId="10" applyNumberFormat="1" applyFont="1" applyFill="1" applyBorder="1" applyAlignment="1">
      <alignment horizontal="center" vertical="center"/>
    </xf>
    <xf numFmtId="0" fontId="26" fillId="5" borderId="1" xfId="5" applyFont="1" applyFill="1" applyBorder="1" applyAlignment="1">
      <alignment horizontal="center" vertical="center" wrapText="1"/>
    </xf>
    <xf numFmtId="10" fontId="31" fillId="5" borderId="5" xfId="10" applyNumberFormat="1" applyFont="1" applyFill="1" applyBorder="1" applyAlignment="1">
      <alignment horizontal="center" vertical="center" wrapText="1"/>
    </xf>
    <xf numFmtId="0" fontId="31" fillId="7" borderId="1" xfId="10" applyFont="1" applyFill="1" applyBorder="1" applyAlignment="1">
      <alignment horizontal="center" vertical="center"/>
    </xf>
    <xf numFmtId="14" fontId="26" fillId="5" borderId="1" xfId="10" applyNumberFormat="1" applyFont="1" applyFill="1" applyBorder="1" applyAlignment="1">
      <alignment horizontal="center" vertical="center"/>
    </xf>
    <xf numFmtId="0" fontId="26" fillId="7" borderId="2" xfId="10" applyFont="1" applyFill="1" applyBorder="1" applyAlignment="1">
      <alignment horizontal="left" vertical="center"/>
    </xf>
    <xf numFmtId="0" fontId="32" fillId="5" borderId="1" xfId="10" applyFont="1" applyFill="1" applyBorder="1" applyAlignment="1">
      <alignment horizontal="left" vertical="center" wrapText="1"/>
    </xf>
    <xf numFmtId="0" fontId="26" fillId="7" borderId="1" xfId="5" applyFont="1" applyFill="1" applyBorder="1" applyAlignment="1">
      <alignment horizontal="center" vertical="center" wrapText="1"/>
    </xf>
    <xf numFmtId="10" fontId="31" fillId="5" borderId="1" xfId="10" applyNumberFormat="1" applyFont="1" applyFill="1" applyBorder="1" applyAlignment="1">
      <alignment horizontal="center" vertical="center" wrapText="1"/>
    </xf>
    <xf numFmtId="0" fontId="30" fillId="7" borderId="1" xfId="10" applyFont="1" applyFill="1" applyBorder="1" applyAlignment="1">
      <alignment horizontal="left" vertical="center" wrapText="1"/>
    </xf>
    <xf numFmtId="165" fontId="33" fillId="7" borderId="1" xfId="7" applyNumberFormat="1" applyFont="1" applyFill="1" applyBorder="1" applyAlignment="1" applyProtection="1">
      <alignment horizontal="center" vertical="center"/>
    </xf>
    <xf numFmtId="10" fontId="34" fillId="5" borderId="1" xfId="10" applyNumberFormat="1" applyFont="1" applyFill="1" applyBorder="1" applyAlignment="1">
      <alignment horizontal="center" vertical="center" wrapText="1"/>
    </xf>
    <xf numFmtId="14" fontId="33" fillId="5" borderId="1" xfId="10" applyNumberFormat="1" applyFont="1" applyFill="1" applyBorder="1" applyAlignment="1">
      <alignment horizontal="center" vertical="center"/>
    </xf>
    <xf numFmtId="49" fontId="26" fillId="7" borderId="4" xfId="10" applyNumberFormat="1" applyFont="1" applyFill="1" applyBorder="1" applyAlignment="1">
      <alignment horizontal="center" vertical="center"/>
    </xf>
    <xf numFmtId="10" fontId="26" fillId="5" borderId="1" xfId="10" applyNumberFormat="1" applyFont="1" applyFill="1" applyBorder="1" applyAlignment="1">
      <alignment horizontal="center" vertical="center" wrapText="1"/>
    </xf>
    <xf numFmtId="0" fontId="23" fillId="7" borderId="9" xfId="10" applyFont="1" applyFill="1" applyBorder="1" applyAlignment="1">
      <alignment horizontal="left" vertical="center" wrapText="1"/>
    </xf>
    <xf numFmtId="49" fontId="34" fillId="5" borderId="1" xfId="10" applyNumberFormat="1" applyFont="1" applyFill="1" applyBorder="1" applyAlignment="1">
      <alignment horizontal="center" vertical="center" wrapText="1"/>
    </xf>
    <xf numFmtId="6" fontId="34" fillId="5" borderId="1" xfId="10" applyNumberFormat="1" applyFont="1" applyFill="1" applyBorder="1" applyAlignment="1">
      <alignment horizontal="center" vertical="center" wrapText="1"/>
    </xf>
    <xf numFmtId="0" fontId="23" fillId="7" borderId="10" xfId="10" applyFont="1" applyFill="1" applyBorder="1" applyAlignment="1">
      <alignment horizontal="left" vertical="center" wrapText="1"/>
    </xf>
    <xf numFmtId="49" fontId="26" fillId="7" borderId="2" xfId="10" applyNumberFormat="1" applyFont="1" applyFill="1" applyBorder="1" applyAlignment="1">
      <alignment horizontal="center" vertical="center"/>
    </xf>
    <xf numFmtId="14" fontId="30" fillId="5" borderId="2" xfId="10" applyNumberFormat="1" applyFont="1" applyFill="1" applyBorder="1" applyAlignment="1">
      <alignment horizontal="center" vertical="center"/>
    </xf>
    <xf numFmtId="0" fontId="26" fillId="7" borderId="2" xfId="5" applyFont="1" applyFill="1" applyBorder="1" applyAlignment="1">
      <alignment horizontal="center" vertical="center" wrapText="1"/>
    </xf>
    <xf numFmtId="165" fontId="33" fillId="7" borderId="2" xfId="7" applyNumberFormat="1" applyFont="1" applyFill="1" applyBorder="1" applyAlignment="1" applyProtection="1">
      <alignment horizontal="center" vertical="center"/>
    </xf>
    <xf numFmtId="10" fontId="34" fillId="5" borderId="2" xfId="10" applyNumberFormat="1" applyFont="1" applyFill="1" applyBorder="1" applyAlignment="1">
      <alignment horizontal="center" vertical="center" wrapText="1"/>
    </xf>
    <xf numFmtId="0" fontId="31" fillId="7" borderId="2" xfId="10" applyFont="1" applyFill="1" applyBorder="1" applyAlignment="1">
      <alignment horizontal="center" vertical="center"/>
    </xf>
    <xf numFmtId="14" fontId="33" fillId="5" borderId="2" xfId="10" applyNumberFormat="1" applyFont="1" applyFill="1" applyBorder="1" applyAlignment="1">
      <alignment horizontal="center" vertical="center"/>
    </xf>
    <xf numFmtId="0" fontId="23" fillId="7" borderId="1" xfId="10" applyFont="1" applyFill="1" applyBorder="1" applyAlignment="1">
      <alignment horizontal="left" vertical="center" wrapText="1"/>
    </xf>
    <xf numFmtId="0" fontId="16" fillId="6" borderId="0" xfId="0" applyFont="1" applyFill="1" applyAlignment="1">
      <alignment vertical="center"/>
    </xf>
    <xf numFmtId="165" fontId="16" fillId="7" borderId="4" xfId="1" applyNumberFormat="1" applyFill="1" applyBorder="1" applyAlignment="1" applyProtection="1">
      <alignment horizontal="center" vertical="center"/>
    </xf>
    <xf numFmtId="0" fontId="17" fillId="6" borderId="1" xfId="0" applyFont="1" applyFill="1" applyBorder="1" applyAlignment="1">
      <alignment wrapText="1"/>
    </xf>
    <xf numFmtId="0" fontId="17" fillId="6" borderId="4" xfId="0" applyFont="1" applyFill="1" applyBorder="1" applyAlignment="1">
      <alignment wrapText="1"/>
    </xf>
    <xf numFmtId="165" fontId="18" fillId="7" borderId="4" xfId="1" applyNumberFormat="1" applyFont="1" applyFill="1" applyBorder="1" applyAlignment="1" applyProtection="1">
      <alignment horizontal="center" vertical="center"/>
    </xf>
    <xf numFmtId="0" fontId="18" fillId="5" borderId="5" xfId="0" applyFont="1" applyFill="1" applyBorder="1" applyAlignment="1">
      <alignment horizontal="left" vertical="center"/>
    </xf>
    <xf numFmtId="0" fontId="16" fillId="5" borderId="8" xfId="0" applyFont="1" applyFill="1" applyBorder="1" applyAlignment="1">
      <alignment horizontal="left" vertical="center"/>
    </xf>
    <xf numFmtId="0" fontId="16" fillId="5" borderId="4" xfId="0" applyFont="1" applyFill="1" applyBorder="1" applyAlignment="1">
      <alignment horizontal="center" vertical="center"/>
    </xf>
    <xf numFmtId="14" fontId="16" fillId="5" borderId="4" xfId="0" applyNumberFormat="1" applyFont="1" applyFill="1" applyBorder="1" applyAlignment="1">
      <alignment horizontal="center" vertical="center"/>
    </xf>
    <xf numFmtId="10" fontId="18" fillId="10" borderId="5" xfId="3" applyNumberFormat="1" applyFont="1" applyFill="1" applyBorder="1" applyAlignment="1" applyProtection="1">
      <alignment horizontal="center"/>
    </xf>
    <xf numFmtId="10" fontId="18" fillId="0" borderId="1" xfId="0" applyNumberFormat="1" applyFont="1" applyBorder="1" applyAlignment="1">
      <alignment horizontal="center"/>
    </xf>
    <xf numFmtId="10" fontId="18" fillId="0" borderId="0" xfId="0" applyNumberFormat="1" applyFont="1" applyAlignment="1">
      <alignment horizontal="center"/>
    </xf>
    <xf numFmtId="0" fontId="16" fillId="6" borderId="0" xfId="0" applyFont="1" applyFill="1"/>
    <xf numFmtId="0" fontId="17" fillId="6" borderId="6" xfId="0" applyFont="1" applyFill="1" applyBorder="1" applyAlignment="1">
      <alignment vertical="center" wrapText="1"/>
    </xf>
    <xf numFmtId="10" fontId="17" fillId="0" borderId="6" xfId="0" applyNumberFormat="1" applyFont="1" applyBorder="1" applyAlignment="1">
      <alignment horizontal="center" vertical="center"/>
    </xf>
    <xf numFmtId="0" fontId="17" fillId="6" borderId="1" xfId="15" applyFont="1" applyFill="1" applyBorder="1" applyAlignment="1">
      <alignment horizontal="center" vertical="center"/>
    </xf>
    <xf numFmtId="0" fontId="16" fillId="5" borderId="4" xfId="5" applyFill="1" applyBorder="1" applyAlignment="1">
      <alignment horizontal="center" vertical="center" wrapText="1"/>
    </xf>
    <xf numFmtId="10" fontId="18" fillId="5" borderId="7" xfId="0" applyNumberFormat="1" applyFont="1" applyFill="1" applyBorder="1" applyAlignment="1">
      <alignment horizontal="center" vertical="center" wrapText="1"/>
    </xf>
    <xf numFmtId="0" fontId="17" fillId="5" borderId="4" xfId="0" applyFont="1" applyFill="1" applyBorder="1" applyAlignment="1">
      <alignment horizontal="left" vertical="center" wrapText="1"/>
    </xf>
    <xf numFmtId="0" fontId="16" fillId="9" borderId="1" xfId="0" applyFont="1" applyFill="1" applyBorder="1" applyAlignment="1">
      <alignment horizontal="center" vertical="center"/>
    </xf>
    <xf numFmtId="14" fontId="16" fillId="8" borderId="1" xfId="0" applyNumberFormat="1" applyFont="1" applyFill="1" applyBorder="1" applyAlignment="1">
      <alignment horizontal="center" vertical="center"/>
    </xf>
    <xf numFmtId="0" fontId="16" fillId="9" borderId="1" xfId="5" applyFill="1" applyBorder="1" applyAlignment="1">
      <alignment horizontal="center" vertical="center" wrapText="1"/>
    </xf>
    <xf numFmtId="165" fontId="16" fillId="9" borderId="1" xfId="1" applyNumberFormat="1" applyFill="1" applyBorder="1" applyAlignment="1" applyProtection="1">
      <alignment horizontal="center" vertical="center"/>
    </xf>
    <xf numFmtId="10" fontId="18" fillId="8" borderId="1" xfId="0" applyNumberFormat="1" applyFont="1" applyFill="1" applyBorder="1" applyAlignment="1">
      <alignment horizontal="center" vertical="center" wrapText="1"/>
    </xf>
    <xf numFmtId="0" fontId="16" fillId="9" borderId="1" xfId="0" applyFont="1" applyFill="1" applyBorder="1" applyAlignment="1">
      <alignment horizontal="left" vertical="center"/>
    </xf>
    <xf numFmtId="10" fontId="18" fillId="10" borderId="1" xfId="3" applyNumberFormat="1" applyFont="1" applyFill="1" applyBorder="1" applyAlignment="1" applyProtection="1">
      <alignment horizontal="center"/>
    </xf>
    <xf numFmtId="165" fontId="18" fillId="0" borderId="4" xfId="1" applyNumberFormat="1" applyFont="1" applyBorder="1" applyAlignment="1" applyProtection="1">
      <alignment horizontal="center" vertical="center"/>
    </xf>
    <xf numFmtId="10" fontId="18" fillId="0" borderId="5" xfId="3" applyNumberFormat="1" applyFont="1" applyBorder="1" applyAlignment="1" applyProtection="1">
      <alignment horizontal="center"/>
    </xf>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6" fillId="3" borderId="1" xfId="0" applyFont="1" applyFill="1" applyBorder="1" applyAlignment="1">
      <alignment horizontal="center" vertical="center"/>
    </xf>
    <xf numFmtId="10" fontId="38" fillId="5" borderId="1" xfId="0" applyNumberFormat="1" applyFont="1" applyFill="1" applyBorder="1" applyAlignment="1">
      <alignment horizontal="center" vertical="center" wrapText="1"/>
    </xf>
    <xf numFmtId="0" fontId="38" fillId="7" borderId="1" xfId="0" applyFont="1" applyFill="1" applyBorder="1" applyAlignment="1">
      <alignment horizontal="center" vertical="center" wrapText="1"/>
    </xf>
    <xf numFmtId="49" fontId="38" fillId="11" borderId="1" xfId="0" applyNumberFormat="1" applyFont="1" applyFill="1" applyBorder="1" applyAlignment="1">
      <alignment horizontal="center" vertical="center"/>
    </xf>
    <xf numFmtId="0" fontId="38" fillId="5" borderId="1" xfId="0" applyFont="1" applyFill="1" applyBorder="1" applyAlignment="1">
      <alignment horizontal="center" vertical="center" wrapText="1"/>
    </xf>
    <xf numFmtId="14" fontId="38" fillId="5" borderId="1" xfId="0" applyNumberFormat="1" applyFont="1" applyFill="1" applyBorder="1" applyAlignment="1">
      <alignment horizontal="center" vertical="center"/>
    </xf>
    <xf numFmtId="0" fontId="38" fillId="11" borderId="1" xfId="5" applyFont="1" applyFill="1" applyBorder="1" applyAlignment="1">
      <alignment horizontal="center" vertical="center" wrapText="1"/>
    </xf>
    <xf numFmtId="165" fontId="38" fillId="11" borderId="4" xfId="1" applyNumberFormat="1" applyFont="1" applyFill="1" applyBorder="1" applyAlignment="1" applyProtection="1">
      <alignment horizontal="center" vertical="center"/>
    </xf>
    <xf numFmtId="0" fontId="38" fillId="11" borderId="1" xfId="0" applyFont="1" applyFill="1" applyBorder="1" applyAlignment="1">
      <alignment horizontal="left" vertical="center" wrapText="1"/>
    </xf>
    <xf numFmtId="0" fontId="38" fillId="10" borderId="1" xfId="0" applyFont="1" applyFill="1" applyBorder="1" applyAlignment="1">
      <alignment horizontal="left" vertical="center" wrapText="1"/>
    </xf>
    <xf numFmtId="165" fontId="38" fillId="11" borderId="1" xfId="1" applyNumberFormat="1" applyFont="1" applyFill="1" applyBorder="1" applyAlignment="1" applyProtection="1">
      <alignment horizontal="center" vertical="center"/>
    </xf>
    <xf numFmtId="0" fontId="38" fillId="5" borderId="4" xfId="0" applyFont="1" applyFill="1" applyBorder="1" applyAlignment="1">
      <alignment horizontal="center" vertical="center" wrapText="1"/>
    </xf>
    <xf numFmtId="14" fontId="38" fillId="5" borderId="4" xfId="0" applyNumberFormat="1" applyFont="1" applyFill="1" applyBorder="1" applyAlignment="1">
      <alignment horizontal="center" vertical="center"/>
    </xf>
    <xf numFmtId="0" fontId="38" fillId="11" borderId="4" xfId="5" applyFont="1" applyFill="1" applyBorder="1" applyAlignment="1">
      <alignment horizontal="center" vertical="center" wrapText="1"/>
    </xf>
    <xf numFmtId="10" fontId="38" fillId="5" borderId="7" xfId="0" applyNumberFormat="1" applyFont="1" applyFill="1" applyBorder="1" applyAlignment="1">
      <alignment horizontal="center" vertical="center" wrapText="1"/>
    </xf>
    <xf numFmtId="0" fontId="38" fillId="10" borderId="4" xfId="0" applyFont="1" applyFill="1" applyBorder="1" applyAlignment="1">
      <alignment horizontal="left" vertical="center" wrapText="1"/>
    </xf>
    <xf numFmtId="0" fontId="38" fillId="10" borderId="0" xfId="0" applyFont="1" applyFill="1" applyAlignment="1">
      <alignment horizontal="left" vertical="center" wrapText="1"/>
    </xf>
    <xf numFmtId="0" fontId="38" fillId="11" borderId="1" xfId="0" applyFont="1" applyFill="1" applyBorder="1" applyAlignment="1">
      <alignment horizontal="center" vertical="center" wrapText="1"/>
    </xf>
    <xf numFmtId="165" fontId="38" fillId="5" borderId="1" xfId="0" applyNumberFormat="1" applyFont="1" applyFill="1" applyBorder="1" applyAlignment="1">
      <alignment horizontal="center" vertical="center" wrapText="1"/>
    </xf>
    <xf numFmtId="0" fontId="39" fillId="7" borderId="0" xfId="0" applyFont="1" applyFill="1"/>
    <xf numFmtId="0" fontId="15" fillId="11" borderId="0" xfId="0" applyFont="1" applyFill="1" applyAlignment="1">
      <alignment wrapText="1"/>
    </xf>
    <xf numFmtId="0" fontId="38" fillId="11" borderId="1" xfId="0" applyFont="1" applyFill="1" applyBorder="1" applyAlignment="1">
      <alignment vertical="center" wrapText="1"/>
    </xf>
    <xf numFmtId="0" fontId="31" fillId="7" borderId="0" xfId="0" applyFont="1" applyFill="1"/>
    <xf numFmtId="0" fontId="40" fillId="7" borderId="0" xfId="0" applyFont="1" applyFill="1" applyAlignment="1">
      <alignment vertical="center"/>
    </xf>
    <xf numFmtId="0" fontId="38" fillId="11" borderId="1" xfId="0" applyFont="1" applyFill="1" applyBorder="1" applyAlignment="1">
      <alignment vertical="center"/>
    </xf>
    <xf numFmtId="0" fontId="40" fillId="11" borderId="0" xfId="0" applyFont="1" applyFill="1" applyAlignment="1">
      <alignment vertical="center"/>
    </xf>
    <xf numFmtId="0" fontId="38" fillId="5" borderId="1" xfId="5" applyFont="1" applyFill="1" applyBorder="1" applyAlignment="1">
      <alignment horizontal="center" vertical="center" wrapText="1"/>
    </xf>
    <xf numFmtId="0" fontId="41" fillId="11" borderId="0" xfId="0" applyFont="1" applyFill="1"/>
    <xf numFmtId="0" fontId="38" fillId="5" borderId="1" xfId="0" applyFont="1" applyFill="1" applyBorder="1" applyAlignment="1">
      <alignment horizontal="left" vertical="center" wrapText="1"/>
    </xf>
    <xf numFmtId="0" fontId="15" fillId="11" borderId="0" xfId="0" applyFont="1" applyFill="1"/>
    <xf numFmtId="0" fontId="38" fillId="11" borderId="9" xfId="0" applyFont="1" applyFill="1" applyBorder="1" applyAlignment="1">
      <alignment horizontal="left" vertical="center" wrapText="1"/>
    </xf>
    <xf numFmtId="0" fontId="42" fillId="11" borderId="0" xfId="0" applyFont="1" applyFill="1"/>
    <xf numFmtId="0" fontId="31" fillId="11" borderId="4" xfId="0" applyFont="1" applyFill="1" applyBorder="1" applyAlignment="1">
      <alignment wrapText="1"/>
    </xf>
    <xf numFmtId="6" fontId="38" fillId="5" borderId="1" xfId="0" applyNumberFormat="1" applyFont="1" applyFill="1" applyBorder="1" applyAlignment="1">
      <alignment horizontal="center" vertical="center" wrapText="1"/>
    </xf>
    <xf numFmtId="0" fontId="37" fillId="4" borderId="1" xfId="0" applyFont="1" applyFill="1" applyBorder="1" applyAlignment="1">
      <alignment horizontal="center" vertical="center"/>
    </xf>
    <xf numFmtId="0" fontId="19" fillId="13" borderId="1" xfId="0" applyFont="1" applyFill="1" applyBorder="1" applyAlignment="1">
      <alignment horizontal="left" vertical="center" wrapText="1"/>
    </xf>
    <xf numFmtId="49" fontId="21" fillId="7" borderId="1" xfId="0" applyNumberFormat="1" applyFont="1" applyFill="1" applyBorder="1" applyAlignment="1">
      <alignment horizontal="center" vertical="center"/>
    </xf>
    <xf numFmtId="0" fontId="19" fillId="7" borderId="1" xfId="0" applyFont="1" applyFill="1" applyBorder="1" applyAlignment="1">
      <alignment horizontal="center" vertical="center" wrapText="1"/>
    </xf>
    <xf numFmtId="165" fontId="21" fillId="7" borderId="4" xfId="1" applyNumberFormat="1" applyFont="1" applyFill="1" applyBorder="1" applyAlignment="1" applyProtection="1">
      <alignment horizontal="center" vertical="center"/>
    </xf>
    <xf numFmtId="10" fontId="21" fillId="5" borderId="1" xfId="0" applyNumberFormat="1" applyFont="1" applyFill="1" applyBorder="1" applyAlignment="1">
      <alignment horizontal="center" vertical="center" wrapText="1"/>
    </xf>
    <xf numFmtId="4" fontId="19" fillId="5" borderId="1" xfId="0" applyNumberFormat="1" applyFont="1" applyFill="1" applyBorder="1" applyAlignment="1">
      <alignment horizontal="center" vertical="center"/>
    </xf>
    <xf numFmtId="4" fontId="19" fillId="5" borderId="6" xfId="0" applyNumberFormat="1" applyFont="1" applyFill="1" applyBorder="1" applyAlignment="1">
      <alignment horizontal="center" vertical="center"/>
    </xf>
    <xf numFmtId="0" fontId="21" fillId="7" borderId="1" xfId="0" applyFont="1" applyFill="1" applyBorder="1" applyAlignment="1">
      <alignment horizontal="center" vertical="center" wrapText="1"/>
    </xf>
    <xf numFmtId="0" fontId="21" fillId="7" borderId="4" xfId="0" applyFont="1" applyFill="1" applyBorder="1" applyAlignment="1">
      <alignment horizontal="center" vertical="center" wrapText="1"/>
    </xf>
    <xf numFmtId="1" fontId="19" fillId="5" borderId="1" xfId="0" applyNumberFormat="1" applyFont="1" applyFill="1" applyBorder="1" applyAlignment="1">
      <alignment horizontal="center" vertical="center" wrapText="1"/>
    </xf>
    <xf numFmtId="0" fontId="19" fillId="12" borderId="1" xfId="0" applyFont="1" applyFill="1" applyBorder="1" applyAlignment="1">
      <alignment horizontal="center" vertical="center" wrapText="1"/>
    </xf>
    <xf numFmtId="1" fontId="19" fillId="12" borderId="1" xfId="0" applyNumberFormat="1" applyFont="1" applyFill="1" applyBorder="1" applyAlignment="1">
      <alignment horizontal="center" vertical="center" wrapText="1"/>
    </xf>
    <xf numFmtId="0" fontId="19" fillId="13" borderId="1" xfId="0" applyFont="1" applyFill="1" applyBorder="1" applyAlignment="1">
      <alignment horizontal="center" vertical="center" wrapText="1"/>
    </xf>
    <xf numFmtId="14" fontId="19" fillId="12" borderId="1" xfId="0" applyNumberFormat="1" applyFont="1" applyFill="1" applyBorder="1" applyAlignment="1">
      <alignment horizontal="center" vertical="center"/>
    </xf>
    <xf numFmtId="0" fontId="19" fillId="13" borderId="1" xfId="5" applyFont="1" applyFill="1" applyBorder="1" applyAlignment="1">
      <alignment horizontal="center" vertical="center" wrapText="1"/>
    </xf>
    <xf numFmtId="10" fontId="21" fillId="12" borderId="1" xfId="0" applyNumberFormat="1" applyFont="1" applyFill="1" applyBorder="1" applyAlignment="1">
      <alignment horizontal="center" vertical="center" wrapText="1"/>
    </xf>
    <xf numFmtId="4" fontId="19" fillId="12" borderId="1" xfId="0" applyNumberFormat="1" applyFont="1" applyFill="1" applyBorder="1" applyAlignment="1">
      <alignment horizontal="center" vertical="center"/>
    </xf>
    <xf numFmtId="4" fontId="19" fillId="12" borderId="6" xfId="0" applyNumberFormat="1" applyFont="1" applyFill="1" applyBorder="1" applyAlignment="1">
      <alignment horizontal="center" vertical="center"/>
    </xf>
    <xf numFmtId="14" fontId="19" fillId="12" borderId="4" xfId="0" applyNumberFormat="1" applyFont="1" applyFill="1" applyBorder="1" applyAlignment="1">
      <alignment horizontal="center" vertical="center"/>
    </xf>
    <xf numFmtId="1" fontId="21" fillId="7" borderId="1" xfId="0" applyNumberFormat="1" applyFont="1" applyFill="1" applyBorder="1" applyAlignment="1">
      <alignment horizontal="center" vertical="center"/>
    </xf>
    <xf numFmtId="0" fontId="20" fillId="6" borderId="2" xfId="0" applyFont="1" applyFill="1" applyBorder="1" applyAlignment="1">
      <alignment horizontal="center" vertical="center" wrapText="1"/>
    </xf>
    <xf numFmtId="2" fontId="19" fillId="0" borderId="1" xfId="0" applyNumberFormat="1" applyFont="1" applyBorder="1" applyAlignment="1">
      <alignment vertical="center"/>
    </xf>
    <xf numFmtId="0" fontId="19" fillId="8"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14" fontId="19" fillId="8" borderId="1" xfId="0" applyNumberFormat="1" applyFont="1" applyFill="1" applyBorder="1" applyAlignment="1">
      <alignment horizontal="center" vertical="center"/>
    </xf>
    <xf numFmtId="0" fontId="19" fillId="9" borderId="1" xfId="5" applyFont="1" applyFill="1" applyBorder="1" applyAlignment="1">
      <alignment horizontal="center" vertical="center" wrapText="1"/>
    </xf>
    <xf numFmtId="10" fontId="21" fillId="8" borderId="1" xfId="0" applyNumberFormat="1" applyFont="1" applyFill="1" applyBorder="1" applyAlignment="1">
      <alignment horizontal="center" vertical="center" wrapText="1"/>
    </xf>
    <xf numFmtId="4" fontId="19" fillId="8" borderId="6" xfId="0" applyNumberFormat="1" applyFont="1" applyFill="1" applyBorder="1" applyAlignment="1">
      <alignment horizontal="center" vertical="center"/>
    </xf>
    <xf numFmtId="0" fontId="21" fillId="9" borderId="4" xfId="0" applyFont="1" applyFill="1" applyBorder="1" applyAlignment="1">
      <alignment horizontal="center" vertical="center" wrapText="1"/>
    </xf>
    <xf numFmtId="14" fontId="19" fillId="8" borderId="4" xfId="0" applyNumberFormat="1" applyFont="1" applyFill="1" applyBorder="1" applyAlignment="1">
      <alignment horizontal="center" vertical="center"/>
    </xf>
    <xf numFmtId="0" fontId="19" fillId="9" borderId="1" xfId="0" applyFont="1" applyFill="1" applyBorder="1" applyAlignment="1">
      <alignment horizontal="left" vertical="center" wrapText="1"/>
    </xf>
    <xf numFmtId="0" fontId="57" fillId="5" borderId="1" xfId="0" applyFont="1" applyFill="1" applyBorder="1" applyAlignment="1">
      <alignment horizontal="center" vertical="center" wrapText="1"/>
    </xf>
    <xf numFmtId="0" fontId="57" fillId="7" borderId="1" xfId="0" applyFont="1" applyFill="1" applyBorder="1" applyAlignment="1">
      <alignment horizontal="center" vertical="center" wrapText="1"/>
    </xf>
    <xf numFmtId="14" fontId="57" fillId="5" borderId="1" xfId="0" applyNumberFormat="1" applyFont="1" applyFill="1" applyBorder="1" applyAlignment="1">
      <alignment horizontal="center" vertical="center"/>
    </xf>
    <xf numFmtId="165" fontId="60" fillId="7" borderId="4" xfId="1" applyNumberFormat="1" applyFont="1" applyFill="1" applyBorder="1" applyAlignment="1" applyProtection="1">
      <alignment horizontal="center" vertical="center"/>
    </xf>
    <xf numFmtId="10" fontId="60" fillId="5" borderId="1" xfId="0" applyNumberFormat="1" applyFont="1" applyFill="1" applyBorder="1" applyAlignment="1">
      <alignment horizontal="center" vertical="center" wrapText="1"/>
    </xf>
    <xf numFmtId="4" fontId="57" fillId="5" borderId="6" xfId="0" applyNumberFormat="1" applyFont="1" applyFill="1" applyBorder="1" applyAlignment="1">
      <alignment horizontal="center" vertical="center"/>
    </xf>
    <xf numFmtId="0" fontId="60" fillId="7" borderId="4" xfId="0" applyFont="1" applyFill="1" applyBorder="1" applyAlignment="1">
      <alignment horizontal="center" vertical="center" wrapText="1"/>
    </xf>
    <xf numFmtId="14" fontId="57" fillId="5" borderId="4" xfId="0" applyNumberFormat="1" applyFont="1" applyFill="1" applyBorder="1" applyAlignment="1">
      <alignment horizontal="center" vertical="center"/>
    </xf>
    <xf numFmtId="0" fontId="57" fillId="7" borderId="1" xfId="0" applyFont="1" applyFill="1" applyBorder="1" applyAlignment="1">
      <alignment horizontal="left" vertical="center" wrapText="1"/>
    </xf>
    <xf numFmtId="0" fontId="21" fillId="9" borderId="1" xfId="0" applyFont="1" applyFill="1" applyBorder="1" applyAlignment="1">
      <alignment horizontal="center" vertical="center"/>
    </xf>
    <xf numFmtId="0" fontId="60" fillId="7" borderId="1" xfId="0" applyFont="1" applyFill="1" applyBorder="1" applyAlignment="1">
      <alignment horizontal="center" vertical="center"/>
    </xf>
    <xf numFmtId="10" fontId="21" fillId="5" borderId="1" xfId="0" applyNumberFormat="1" applyFont="1" applyFill="1" applyBorder="1" applyAlignment="1">
      <alignment horizontal="center" vertical="center"/>
    </xf>
    <xf numFmtId="8" fontId="21" fillId="5" borderId="1" xfId="0" applyNumberFormat="1" applyFont="1" applyFill="1" applyBorder="1" applyAlignment="1">
      <alignment horizontal="center" vertical="center" wrapText="1"/>
    </xf>
    <xf numFmtId="1" fontId="37" fillId="4" borderId="1" xfId="0" quotePrefix="1" applyNumberFormat="1" applyFont="1" applyFill="1" applyBorder="1" applyAlignment="1">
      <alignment horizontal="center" vertical="center"/>
    </xf>
    <xf numFmtId="8" fontId="21" fillId="7" borderId="4" xfId="1" applyNumberFormat="1" applyFont="1" applyFill="1" applyBorder="1" applyAlignment="1" applyProtection="1">
      <alignment horizontal="center" vertical="center"/>
    </xf>
    <xf numFmtId="0" fontId="21" fillId="13" borderId="4" xfId="0" applyFont="1" applyFill="1" applyBorder="1" applyAlignment="1">
      <alignment horizontal="center" vertical="center" wrapText="1"/>
    </xf>
    <xf numFmtId="165" fontId="36" fillId="21" borderId="1" xfId="1" applyNumberFormat="1" applyFont="1" applyFill="1" applyBorder="1" applyAlignment="1" applyProtection="1">
      <alignment horizontal="center" vertical="center"/>
    </xf>
    <xf numFmtId="10" fontId="36" fillId="21" borderId="1" xfId="0" applyNumberFormat="1" applyFont="1" applyFill="1" applyBorder="1" applyAlignment="1">
      <alignment horizontal="center" vertical="center"/>
    </xf>
    <xf numFmtId="0" fontId="36" fillId="22" borderId="1" xfId="0" applyFont="1" applyFill="1" applyBorder="1" applyAlignment="1">
      <alignment horizontal="center" vertical="center"/>
    </xf>
    <xf numFmtId="14" fontId="36" fillId="21" borderId="1" xfId="0" applyNumberFormat="1" applyFont="1" applyFill="1" applyBorder="1" applyAlignment="1">
      <alignment horizontal="center" vertical="center"/>
    </xf>
    <xf numFmtId="4" fontId="36" fillId="21" borderId="1" xfId="0" applyNumberFormat="1" applyFont="1" applyFill="1" applyBorder="1" applyAlignment="1">
      <alignment horizontal="center" vertical="center"/>
    </xf>
    <xf numFmtId="0" fontId="0" fillId="0" borderId="0" xfId="0" applyAlignment="1">
      <alignment vertical="center"/>
    </xf>
    <xf numFmtId="0" fontId="61" fillId="0" borderId="0" xfId="0" applyFont="1" applyAlignment="1">
      <alignment horizontal="center" vertical="center"/>
    </xf>
    <xf numFmtId="0" fontId="19" fillId="0" borderId="0" xfId="0" applyFont="1" applyAlignment="1">
      <alignment vertical="center" wrapText="1"/>
    </xf>
    <xf numFmtId="2" fontId="19" fillId="7" borderId="1" xfId="0" applyNumberFormat="1" applyFont="1" applyFill="1" applyBorder="1" applyAlignment="1">
      <alignment vertical="center"/>
    </xf>
    <xf numFmtId="0" fontId="20" fillId="0" borderId="11" xfId="0" applyFont="1" applyBorder="1" applyAlignment="1">
      <alignment horizontal="center" vertical="center" wrapText="1"/>
    </xf>
    <xf numFmtId="0" fontId="19" fillId="0" borderId="1" xfId="31" applyFont="1" applyBorder="1" applyAlignment="1">
      <alignment vertical="center" wrapText="1"/>
    </xf>
    <xf numFmtId="10" fontId="19" fillId="0" borderId="1" xfId="31" applyNumberFormat="1" applyFont="1" applyBorder="1" applyAlignment="1">
      <alignment horizontal="center" vertical="center"/>
    </xf>
    <xf numFmtId="10" fontId="19" fillId="0" borderId="1" xfId="32" applyNumberFormat="1" applyFont="1" applyBorder="1" applyAlignment="1">
      <alignment horizontal="center" vertical="center"/>
    </xf>
    <xf numFmtId="0" fontId="58" fillId="0" borderId="1" xfId="0" applyFont="1" applyBorder="1" applyAlignment="1">
      <alignment vertical="center" wrapText="1"/>
    </xf>
    <xf numFmtId="2" fontId="19" fillId="9" borderId="1" xfId="0" applyNumberFormat="1" applyFont="1" applyFill="1" applyBorder="1" applyAlignment="1">
      <alignment vertical="center"/>
    </xf>
    <xf numFmtId="2" fontId="57" fillId="7" borderId="1" xfId="0" applyNumberFormat="1" applyFont="1" applyFill="1" applyBorder="1" applyAlignment="1">
      <alignment vertical="center"/>
    </xf>
    <xf numFmtId="0" fontId="20" fillId="0" borderId="1" xfId="39" applyFont="1" applyBorder="1" applyAlignment="1">
      <alignment horizontal="center" vertical="center" wrapText="1"/>
    </xf>
    <xf numFmtId="0" fontId="21" fillId="0" borderId="11" xfId="34" applyFont="1" applyBorder="1" applyAlignment="1">
      <alignment horizontal="center" vertical="center" wrapText="1"/>
    </xf>
    <xf numFmtId="166" fontId="19" fillId="0" borderId="1" xfId="34" applyNumberFormat="1" applyFont="1" applyBorder="1" applyAlignment="1">
      <alignment horizontal="left" vertical="center" wrapText="1"/>
    </xf>
    <xf numFmtId="0" fontId="20" fillId="6" borderId="6" xfId="0" applyFont="1" applyFill="1" applyBorder="1" applyAlignment="1">
      <alignment vertical="center" wrapText="1"/>
    </xf>
    <xf numFmtId="0" fontId="20" fillId="0" borderId="4" xfId="0" applyFont="1" applyBorder="1" applyAlignment="1">
      <alignment vertical="center" wrapText="1"/>
    </xf>
    <xf numFmtId="0" fontId="21" fillId="0" borderId="11" xfId="31" applyFont="1" applyBorder="1" applyAlignment="1">
      <alignment horizontal="left" vertical="center" wrapText="1"/>
    </xf>
    <xf numFmtId="0" fontId="36" fillId="21" borderId="1" xfId="0" applyFont="1" applyFill="1" applyBorder="1" applyAlignment="1">
      <alignment horizontal="center" vertical="center" wrapText="1"/>
    </xf>
    <xf numFmtId="0" fontId="58" fillId="0" borderId="0" xfId="0" applyFont="1" applyAlignment="1">
      <alignment vertical="center" wrapText="1"/>
    </xf>
    <xf numFmtId="0" fontId="20" fillId="7" borderId="0" xfId="0" applyFont="1" applyFill="1" applyAlignment="1">
      <alignment vertical="center" wrapText="1"/>
    </xf>
    <xf numFmtId="0" fontId="21" fillId="0" borderId="0" xfId="31" applyFont="1" applyAlignment="1">
      <alignment horizontal="left" vertical="center" wrapText="1"/>
    </xf>
    <xf numFmtId="0" fontId="19" fillId="0" borderId="1" xfId="0" applyFont="1" applyBorder="1" applyAlignment="1">
      <alignment vertical="center" wrapText="1"/>
    </xf>
    <xf numFmtId="0" fontId="20" fillId="0" borderId="0" xfId="0" applyFont="1" applyAlignment="1">
      <alignment vertical="center" wrapText="1"/>
    </xf>
    <xf numFmtId="0" fontId="57" fillId="7" borderId="1" xfId="0" applyFont="1" applyFill="1" applyBorder="1" applyAlignment="1">
      <alignment vertical="center" wrapText="1"/>
    </xf>
    <xf numFmtId="166" fontId="19" fillId="7" borderId="1" xfId="34" applyNumberFormat="1" applyFont="1" applyFill="1" applyBorder="1" applyAlignment="1">
      <alignment horizontal="left" vertical="center" wrapText="1"/>
    </xf>
    <xf numFmtId="0" fontId="0" fillId="0" borderId="0" xfId="0" applyAlignment="1">
      <alignment wrapText="1"/>
    </xf>
    <xf numFmtId="0" fontId="61" fillId="0" borderId="0" xfId="0" applyFont="1" applyAlignment="1">
      <alignment horizontal="center" vertical="center" wrapText="1"/>
    </xf>
    <xf numFmtId="0" fontId="21" fillId="23" borderId="1" xfId="0" applyFont="1" applyFill="1" applyBorder="1" applyAlignment="1">
      <alignment horizontal="center" vertical="center"/>
    </xf>
    <xf numFmtId="14" fontId="21" fillId="23" borderId="1" xfId="0" applyNumberFormat="1" applyFont="1" applyFill="1" applyBorder="1" applyAlignment="1">
      <alignment horizontal="center" vertical="center"/>
    </xf>
    <xf numFmtId="0" fontId="21" fillId="23" borderId="0" xfId="0" applyFont="1" applyFill="1" applyAlignment="1">
      <alignment vertical="center"/>
    </xf>
    <xf numFmtId="0" fontId="63" fillId="0" borderId="1" xfId="0" applyFont="1" applyBorder="1" applyAlignment="1">
      <alignment vertical="center"/>
    </xf>
    <xf numFmtId="0" fontId="63" fillId="0" borderId="1" xfId="0" applyFont="1" applyBorder="1" applyAlignment="1">
      <alignment vertical="center" wrapText="1"/>
    </xf>
    <xf numFmtId="0" fontId="15" fillId="0" borderId="0" xfId="0" applyFont="1" applyAlignment="1">
      <alignment vertical="center"/>
    </xf>
    <xf numFmtId="0" fontId="15" fillId="0" borderId="1" xfId="0" applyFont="1" applyBorder="1" applyAlignment="1">
      <alignment vertical="center"/>
    </xf>
    <xf numFmtId="0" fontId="15" fillId="0" borderId="1" xfId="0" applyFont="1" applyBorder="1" applyAlignment="1">
      <alignment vertical="center" wrapText="1"/>
    </xf>
    <xf numFmtId="0" fontId="15" fillId="0" borderId="0" xfId="0" applyFont="1" applyAlignment="1">
      <alignment vertical="center" wrapText="1"/>
    </xf>
    <xf numFmtId="0" fontId="64" fillId="0" borderId="0" xfId="0" applyFont="1"/>
    <xf numFmtId="0" fontId="62" fillId="24" borderId="1" xfId="0" applyFont="1" applyFill="1" applyBorder="1" applyAlignment="1">
      <alignment horizontal="center" vertical="center"/>
    </xf>
    <xf numFmtId="0" fontId="62" fillId="26" borderId="1" xfId="0" applyFont="1" applyFill="1" applyBorder="1" applyAlignment="1">
      <alignment horizontal="center" vertical="center"/>
    </xf>
    <xf numFmtId="0" fontId="0" fillId="2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wrapText="1"/>
    </xf>
    <xf numFmtId="0" fontId="0" fillId="0" borderId="4" xfId="0"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horizontal="center" vertical="center"/>
    </xf>
    <xf numFmtId="10" fontId="16" fillId="0" borderId="1" xfId="3" applyNumberFormat="1" applyBorder="1" applyAlignment="1">
      <alignment horizontal="center" vertical="center"/>
    </xf>
    <xf numFmtId="0" fontId="16" fillId="0" borderId="1" xfId="3" applyNumberFormat="1" applyBorder="1" applyAlignment="1">
      <alignment horizontal="center" vertical="center"/>
    </xf>
    <xf numFmtId="0" fontId="65" fillId="26" borderId="1" xfId="0" applyFont="1" applyFill="1" applyBorder="1" applyAlignment="1">
      <alignment horizontal="center" vertical="center"/>
    </xf>
    <xf numFmtId="10"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165" fontId="21" fillId="0" borderId="1" xfId="1" applyNumberFormat="1" applyFont="1" applyBorder="1" applyAlignment="1" applyProtection="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horizontal="left" vertical="center"/>
    </xf>
    <xf numFmtId="0" fontId="21" fillId="0" borderId="1" xfId="5" applyFont="1" applyBorder="1" applyAlignment="1">
      <alignment horizontal="center" vertical="center"/>
    </xf>
    <xf numFmtId="4" fontId="21" fillId="0" borderId="1" xfId="0" applyNumberFormat="1" applyFont="1" applyBorder="1" applyAlignment="1">
      <alignment horizontal="center" vertical="center"/>
    </xf>
    <xf numFmtId="0" fontId="21" fillId="0" borderId="0" xfId="0" applyFont="1" applyAlignment="1">
      <alignment vertical="center"/>
    </xf>
    <xf numFmtId="0" fontId="21" fillId="0" borderId="1" xfId="0" applyFont="1" applyBorder="1" applyAlignment="1">
      <alignment vertical="center"/>
    </xf>
    <xf numFmtId="2" fontId="21" fillId="0" borderId="1" xfId="0" applyNumberFormat="1" applyFont="1" applyBorder="1" applyAlignment="1">
      <alignment vertical="center"/>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5" applyFont="1" applyBorder="1" applyAlignment="1">
      <alignment horizontal="center" vertical="center" wrapText="1"/>
    </xf>
    <xf numFmtId="10" fontId="21" fillId="0" borderId="1" xfId="0" applyNumberFormat="1" applyFont="1" applyBorder="1" applyAlignment="1">
      <alignment horizontal="center" vertical="center" wrapText="1"/>
    </xf>
    <xf numFmtId="0" fontId="21" fillId="0" borderId="1" xfId="18" applyFont="1" applyBorder="1" applyAlignment="1">
      <alignment vertical="center" wrapText="1"/>
    </xf>
    <xf numFmtId="166" fontId="21" fillId="0" borderId="1" xfId="34" applyNumberFormat="1" applyFont="1" applyBorder="1" applyAlignment="1">
      <alignment horizontal="left" vertical="center" wrapText="1"/>
    </xf>
    <xf numFmtId="0" fontId="21" fillId="0" borderId="0" xfId="0" applyFont="1" applyAlignment="1">
      <alignment horizontal="center" vertical="center"/>
    </xf>
    <xf numFmtId="0" fontId="21" fillId="0" borderId="0" xfId="0" applyFont="1" applyAlignment="1">
      <alignment horizontal="center" vertical="center" wrapText="1"/>
    </xf>
    <xf numFmtId="14" fontId="21" fillId="0" borderId="0" xfId="0" applyNumberFormat="1" applyFont="1" applyAlignment="1">
      <alignment horizontal="center" vertical="center"/>
    </xf>
    <xf numFmtId="165" fontId="21" fillId="0" borderId="0" xfId="1" applyNumberFormat="1" applyFont="1" applyBorder="1" applyAlignment="1" applyProtection="1">
      <alignment horizontal="center" vertical="center"/>
    </xf>
    <xf numFmtId="4" fontId="21" fillId="0" borderId="0" xfId="0" applyNumberFormat="1" applyFont="1" applyAlignment="1">
      <alignment horizontal="center" vertical="center"/>
    </xf>
    <xf numFmtId="0" fontId="21" fillId="0" borderId="0" xfId="0" applyFont="1" applyAlignment="1">
      <alignment horizontal="left" vertical="center" wrapText="1"/>
    </xf>
    <xf numFmtId="49" fontId="21" fillId="0" borderId="1" xfId="0" applyNumberFormat="1" applyFont="1" applyBorder="1" applyAlignment="1">
      <alignment horizontal="center" vertical="center"/>
    </xf>
    <xf numFmtId="0" fontId="36" fillId="2" borderId="2" xfId="0" applyFont="1" applyFill="1" applyBorder="1" applyAlignment="1">
      <alignment horizontal="center" vertical="center" wrapText="1"/>
    </xf>
    <xf numFmtId="0" fontId="36" fillId="22" borderId="2" xfId="0" applyFont="1" applyFill="1" applyBorder="1" applyAlignment="1">
      <alignment horizontal="center" vertical="center" wrapText="1"/>
    </xf>
    <xf numFmtId="14" fontId="36" fillId="21" borderId="2" xfId="0" applyNumberFormat="1" applyFont="1" applyFill="1" applyBorder="1" applyAlignment="1">
      <alignment horizontal="center" vertical="center" wrapText="1"/>
    </xf>
    <xf numFmtId="0" fontId="36" fillId="21" borderId="2" xfId="0" applyFont="1" applyFill="1" applyBorder="1" applyAlignment="1">
      <alignment horizontal="center" vertical="center" wrapText="1"/>
    </xf>
    <xf numFmtId="10" fontId="36" fillId="21" borderId="2" xfId="0" applyNumberFormat="1" applyFont="1" applyFill="1" applyBorder="1" applyAlignment="1">
      <alignment horizontal="center" vertical="center" wrapText="1"/>
    </xf>
    <xf numFmtId="4" fontId="36" fillId="21" borderId="2" xfId="0" applyNumberFormat="1" applyFont="1" applyFill="1" applyBorder="1" applyAlignment="1">
      <alignment horizontal="center" vertical="center" wrapText="1"/>
    </xf>
    <xf numFmtId="0" fontId="36" fillId="3" borderId="2" xfId="0" applyFont="1" applyFill="1" applyBorder="1" applyAlignment="1">
      <alignment horizontal="center" vertical="center" wrapText="1"/>
    </xf>
    <xf numFmtId="49" fontId="60" fillId="0" borderId="1" xfId="0" applyNumberFormat="1" applyFont="1" applyBorder="1" applyAlignment="1">
      <alignment horizontal="center" vertical="center"/>
    </xf>
    <xf numFmtId="0" fontId="21" fillId="0" borderId="1" xfId="0" applyFont="1" applyBorder="1"/>
    <xf numFmtId="165" fontId="36" fillId="21" borderId="2" xfId="1" applyNumberFormat="1" applyFont="1" applyFill="1" applyBorder="1" applyAlignment="1" applyProtection="1">
      <alignment horizontal="center" vertical="center"/>
    </xf>
    <xf numFmtId="8" fontId="21" fillId="0" borderId="1" xfId="1" applyNumberFormat="1" applyFont="1" applyBorder="1" applyAlignment="1" applyProtection="1">
      <alignment horizontal="center" vertical="center"/>
    </xf>
    <xf numFmtId="0" fontId="21" fillId="0" borderId="1" xfId="0" applyFont="1" applyBorder="1" applyAlignment="1">
      <alignment vertical="center"/>
      <extLst>
        <ext xmlns:xfpb="http://schemas.microsoft.com/office/spreadsheetml/2022/featurepropertybag" uri="{C7286773-470A-42A8-94C5-96B5CB345126}">
          <xfpb:xfComplement i="0"/>
        </ext>
      </extLst>
    </xf>
    <xf numFmtId="0" fontId="21" fillId="0" borderId="1" xfId="0" applyFont="1" applyBorder="1" applyAlignment="1">
      <alignment horizontal="center" vertical="center"/>
      <extLst>
        <ext xmlns:xfpb="http://schemas.microsoft.com/office/spreadsheetml/2022/featurepropertybag" uri="{C7286773-470A-42A8-94C5-96B5CB345126}">
          <xfpb:xfComplement i="0"/>
        </ext>
      </extLst>
    </xf>
    <xf numFmtId="10" fontId="16" fillId="0" borderId="1" xfId="3" applyNumberFormat="1" applyBorder="1" applyAlignment="1">
      <alignment horizontal="center"/>
    </xf>
    <xf numFmtId="10" fontId="16" fillId="0" borderId="1" xfId="3" applyNumberFormat="1" applyBorder="1" applyAlignment="1">
      <alignment horizontal="center" vertical="center" wrapText="1"/>
    </xf>
    <xf numFmtId="0" fontId="21" fillId="23" borderId="1" xfId="0" applyFont="1" applyFill="1" applyBorder="1" applyAlignment="1">
      <alignment vertical="center"/>
    </xf>
    <xf numFmtId="165" fontId="21" fillId="23" borderId="1" xfId="1" applyNumberFormat="1" applyFont="1" applyFill="1" applyBorder="1" applyAlignment="1" applyProtection="1">
      <alignment horizontal="center" vertical="center"/>
    </xf>
    <xf numFmtId="0" fontId="21" fillId="23" borderId="1" xfId="0" applyFont="1" applyFill="1" applyBorder="1" applyAlignment="1">
      <alignment vertical="center"/>
      <extLst>
        <ext xmlns:xfpb="http://schemas.microsoft.com/office/spreadsheetml/2022/featurepropertybag" uri="{C7286773-470A-42A8-94C5-96B5CB345126}">
          <xfpb:xfComplement i="0"/>
        </ext>
      </extLst>
    </xf>
    <xf numFmtId="0" fontId="21" fillId="23" borderId="1" xfId="5" applyFont="1" applyFill="1" applyBorder="1" applyAlignment="1">
      <alignment horizontal="center" vertical="center"/>
    </xf>
    <xf numFmtId="10" fontId="21" fillId="23" borderId="1" xfId="0" applyNumberFormat="1" applyFont="1" applyFill="1" applyBorder="1" applyAlignment="1">
      <alignment horizontal="center" vertical="center"/>
    </xf>
    <xf numFmtId="0" fontId="21" fillId="23" borderId="1" xfId="0" applyFont="1" applyFill="1" applyBorder="1" applyAlignment="1">
      <alignment horizontal="left" vertical="center"/>
    </xf>
    <xf numFmtId="0" fontId="21" fillId="23" borderId="1" xfId="0" applyFont="1" applyFill="1" applyBorder="1"/>
    <xf numFmtId="0" fontId="62" fillId="26" borderId="1" xfId="0" applyFont="1" applyFill="1" applyBorder="1" applyAlignment="1">
      <alignment horizontal="center" vertical="center"/>
    </xf>
    <xf numFmtId="0" fontId="62" fillId="24" borderId="1" xfId="0" applyFont="1" applyFill="1" applyBorder="1" applyAlignment="1">
      <alignment horizontal="center" vertical="center"/>
    </xf>
    <xf numFmtId="0" fontId="37" fillId="4" borderId="1" xfId="0" applyFont="1" applyFill="1" applyBorder="1" applyAlignment="1">
      <alignment horizontal="center" vertical="center" wrapText="1"/>
    </xf>
    <xf numFmtId="0" fontId="37" fillId="4" borderId="1" xfId="0" applyFont="1" applyFill="1" applyBorder="1" applyAlignment="1">
      <alignment horizontal="center" vertical="center"/>
    </xf>
    <xf numFmtId="1" fontId="37" fillId="4" borderId="1" xfId="0" applyNumberFormat="1" applyFont="1" applyFill="1" applyBorder="1" applyAlignment="1">
      <alignment horizontal="center" vertical="center"/>
    </xf>
    <xf numFmtId="165" fontId="37" fillId="4" borderId="1" xfId="0" applyNumberFormat="1" applyFont="1" applyFill="1" applyBorder="1" applyAlignment="1">
      <alignment horizontal="center" vertical="center"/>
    </xf>
    <xf numFmtId="0" fontId="17" fillId="9" borderId="5" xfId="0" applyFont="1" applyFill="1" applyBorder="1" applyAlignment="1">
      <alignment wrapText="1"/>
    </xf>
    <xf numFmtId="0" fontId="17" fillId="9" borderId="6" xfId="0" applyFont="1" applyFill="1" applyBorder="1" applyAlignment="1">
      <alignment wrapText="1"/>
    </xf>
    <xf numFmtId="0" fontId="21" fillId="0" borderId="1" xfId="0" applyFont="1" applyFill="1" applyBorder="1" applyAlignment="1">
      <alignment horizontal="center" vertical="center"/>
    </xf>
    <xf numFmtId="14" fontId="21" fillId="0" borderId="1" xfId="0" applyNumberFormat="1" applyFont="1" applyFill="1" applyBorder="1" applyAlignment="1">
      <alignment horizontal="center" vertical="center"/>
    </xf>
    <xf numFmtId="0" fontId="21" fillId="0" borderId="1" xfId="0" applyFont="1" applyFill="1" applyBorder="1" applyAlignment="1">
      <alignment vertical="center"/>
    </xf>
    <xf numFmtId="0" fontId="21" fillId="0" borderId="1" xfId="5" applyFont="1" applyFill="1" applyBorder="1" applyAlignment="1">
      <alignment horizontal="center" vertical="center"/>
    </xf>
    <xf numFmtId="165" fontId="21" fillId="0" borderId="1" xfId="1" applyNumberFormat="1" applyFont="1" applyFill="1" applyBorder="1" applyAlignment="1" applyProtection="1">
      <alignment horizontal="center" vertical="center"/>
    </xf>
    <xf numFmtId="10" fontId="21" fillId="0" borderId="1" xfId="0" applyNumberFormat="1" applyFont="1" applyFill="1" applyBorder="1" applyAlignment="1">
      <alignment horizontal="center" vertical="center"/>
    </xf>
    <xf numFmtId="0" fontId="21" fillId="0" borderId="1" xfId="0" applyFont="1" applyFill="1" applyBorder="1" applyAlignment="1">
      <alignment horizontal="left" vertical="center"/>
    </xf>
    <xf numFmtId="0" fontId="21" fillId="0" borderId="1" xfId="0" applyFont="1" applyFill="1" applyBorder="1" applyAlignment="1">
      <alignment vertical="center"/>
      <extLst>
        <ext xmlns:xfpb="http://schemas.microsoft.com/office/spreadsheetml/2022/featurepropertybag" uri="{C7286773-470A-42A8-94C5-96B5CB345126}">
          <xfpb:xfComplement i="0"/>
        </ext>
      </extLst>
    </xf>
    <xf numFmtId="0" fontId="21" fillId="0" borderId="0" xfId="0" applyFont="1" applyFill="1" applyAlignment="1">
      <alignment vertical="center"/>
    </xf>
    <xf numFmtId="0" fontId="21" fillId="0" borderId="1" xfId="0" applyFont="1" applyFill="1" applyBorder="1" applyAlignment="1">
      <alignment horizontal="center" vertical="center" wrapText="1"/>
    </xf>
    <xf numFmtId="0" fontId="21" fillId="0" borderId="1" xfId="5" applyFont="1" applyFill="1" applyBorder="1" applyAlignment="1">
      <alignment horizontal="center" vertical="center" wrapText="1"/>
    </xf>
    <xf numFmtId="10" fontId="21" fillId="0" borderId="1" xfId="0" applyNumberFormat="1" applyFont="1" applyFill="1" applyBorder="1" applyAlignment="1">
      <alignment horizontal="center" vertical="center" wrapText="1"/>
    </xf>
    <xf numFmtId="0" fontId="21" fillId="0" borderId="1" xfId="0" applyFont="1" applyFill="1" applyBorder="1" applyAlignment="1">
      <alignment horizontal="left" vertical="center" wrapText="1"/>
    </xf>
  </cellXfs>
  <cellStyles count="68">
    <cellStyle name="Accent" xfId="38" xr:uid="{1CBC3DA4-C74C-45F5-9254-E5FBDF1208B4}"/>
    <cellStyle name="Accent 1" xfId="40" xr:uid="{C9D113F9-B5F6-4211-B15D-B36A6C5A951A}"/>
    <cellStyle name="Accent 2" xfId="41" xr:uid="{A3E36887-6CEE-4FF9-8D78-911FB93379CC}"/>
    <cellStyle name="Accent 3" xfId="42" xr:uid="{2F69E966-3A11-4C86-A919-3646B0E08F75}"/>
    <cellStyle name="Bad" xfId="43" xr:uid="{EB8D52EB-E5F2-4A95-B0A0-A4AB3BF2836D}"/>
    <cellStyle name="Default" xfId="44" xr:uid="{31C77A3D-12E7-471F-BDEC-6345595F892B}"/>
    <cellStyle name="Error" xfId="45" xr:uid="{A88C6E27-C471-4AC0-8E84-935D4E1E9450}"/>
    <cellStyle name="Footnote" xfId="46" xr:uid="{F6899D72-D226-4482-B566-6E8D1EE9119E}"/>
    <cellStyle name="Good" xfId="47" xr:uid="{85156611-ECED-4993-BC06-6193B233064A}"/>
    <cellStyle name="Heading" xfId="48" xr:uid="{E5CAAB47-8E30-42EE-8152-C16B57B517B0}"/>
    <cellStyle name="Heading 1" xfId="49" xr:uid="{960847B6-CF7D-406C-9C7E-F085BC82376D}"/>
    <cellStyle name="Heading 2" xfId="50" xr:uid="{DFEDE331-8AB7-455A-9F09-599922DC793A}"/>
    <cellStyle name="Hyperlink" xfId="51" xr:uid="{F8637733-5301-490A-AF1C-6390FFA6CD94}"/>
    <cellStyle name="Moeda" xfId="2" builtinId="4"/>
    <cellStyle name="Moeda 2" xfId="4" xr:uid="{00000000-0005-0000-0000-000006000000}"/>
    <cellStyle name="Moeda 3" xfId="12" xr:uid="{B8517F2A-54E9-4551-8A3D-6EEB4454EDD6}"/>
    <cellStyle name="Moeda 4" xfId="17" xr:uid="{EC9F0DBE-7680-4EC2-AC28-55408B1219AC}"/>
    <cellStyle name="Moeda 5" xfId="33" xr:uid="{067EA923-75BA-4319-90E5-C6B0F3CC910B}"/>
    <cellStyle name="Moeda 6" xfId="52" xr:uid="{6413C1A8-BFBD-4091-856D-3B3457F8AB19}"/>
    <cellStyle name="Moeda 7" xfId="64" xr:uid="{0D5E7607-3860-417B-9184-4DE81955FE9D}"/>
    <cellStyle name="Neutral" xfId="53" xr:uid="{9C05DD47-E04C-4DBC-BB08-4062FD58809C}"/>
    <cellStyle name="Normal" xfId="0" builtinId="0"/>
    <cellStyle name="Normal 10" xfId="31" xr:uid="{5DADC304-3646-4533-AF22-4381CB2AC442}"/>
    <cellStyle name="Normal 11" xfId="39" xr:uid="{5C5893BA-8CC4-4D3C-B5C9-82F30E098E6B}"/>
    <cellStyle name="Normal 12" xfId="59" xr:uid="{641FD18B-FDB3-4417-AC8A-B405302C21F9}"/>
    <cellStyle name="Normal 13" xfId="61" xr:uid="{D7081A88-8922-4CED-8A5D-641B8E16F281}"/>
    <cellStyle name="Normal 14" xfId="62" xr:uid="{23D197A9-110B-4FDF-9974-DFE49239F1EA}"/>
    <cellStyle name="Normal 15" xfId="65" xr:uid="{C9255F27-6F25-491B-9062-11361A08C2D8}"/>
    <cellStyle name="Normal 18" xfId="67" xr:uid="{14CB200E-5124-4C41-BA05-F84A9BE8BA14}"/>
    <cellStyle name="Normal 2" xfId="5" xr:uid="{00000000-0005-0000-0000-000007000000}"/>
    <cellStyle name="Normal 2 2" xfId="20" xr:uid="{8E13D469-436C-42B2-840F-228E1E83E6C4}"/>
    <cellStyle name="Normal 2 3" xfId="26" xr:uid="{4C46E67A-9724-4E08-82D8-30C1C66D81EC}"/>
    <cellStyle name="Normal 2 4" xfId="34" xr:uid="{230C98A8-B1FB-49DC-ADAA-BDB138CFB898}"/>
    <cellStyle name="Normal 3" xfId="8" xr:uid="{6A97036D-028E-43ED-AF71-9437EBF6C4A7}"/>
    <cellStyle name="Normal 3 2" xfId="14" xr:uid="{DB04199D-93AB-4DFB-A3A2-634534F93FC9}"/>
    <cellStyle name="Normal 3 3" xfId="22" xr:uid="{0F5D8C9B-F8D3-4C01-9CD1-3998DA3CDB46}"/>
    <cellStyle name="Normal 3 4" xfId="28" xr:uid="{1CB1EE2F-6DBD-4C67-A016-FBE367D485FC}"/>
    <cellStyle name="Normal 3 5" xfId="36" xr:uid="{2E73F692-E6B2-4028-8C9D-AA6339B4B83E}"/>
    <cellStyle name="Normal 4" xfId="10" xr:uid="{EDC08DB9-4A1D-4E99-AF8B-BF5CA8621502}"/>
    <cellStyle name="Normal 5" xfId="9" xr:uid="{BDF4053F-7CAD-4AE5-B65E-6B1D05BD9A7A}"/>
    <cellStyle name="Normal 6" xfId="15" xr:uid="{D9645B54-9AF1-4666-B2F5-5FF1875F4242}"/>
    <cellStyle name="Normal 7" xfId="18" xr:uid="{61BA9154-BAFF-4181-A375-F96616284D18}"/>
    <cellStyle name="Normal 8" xfId="25" xr:uid="{A01B9D46-BD6A-4506-BD57-7425A0FF9779}"/>
    <cellStyle name="Normal 9" xfId="30" xr:uid="{5E32F855-E93A-4D40-AD88-9ABBD497A665}"/>
    <cellStyle name="Note" xfId="54" xr:uid="{C7A3B5BA-CD90-43A2-B652-E1D8A80F5819}"/>
    <cellStyle name="Porcentagem" xfId="3" builtinId="5"/>
    <cellStyle name="Porcentagem 2" xfId="6" xr:uid="{00000000-0005-0000-0000-000008000000}"/>
    <cellStyle name="Porcentagem 2 2" xfId="21" xr:uid="{C5DA71E2-3031-46AE-ACA6-E94D3FB821CA}"/>
    <cellStyle name="Porcentagem 2 3" xfId="27" xr:uid="{E14667CA-B017-4731-90B7-16D243E56832}"/>
    <cellStyle name="Porcentagem 2 4" xfId="35" xr:uid="{C92F0A4C-822E-4D8C-AB8F-653243913139}"/>
    <cellStyle name="Porcentagem 3" xfId="13" xr:uid="{5450BE59-5476-4B8E-BD13-3014ACFE9FB1}"/>
    <cellStyle name="Porcentagem 3 2" xfId="23" xr:uid="{11BCA803-6C24-4B47-A113-B7B2C7A557A2}"/>
    <cellStyle name="Porcentagem 3 3" xfId="29" xr:uid="{8BCD93CE-1CE4-4EAE-9B25-B918668D05CE}"/>
    <cellStyle name="Porcentagem 3 4" xfId="37" xr:uid="{0579ADC7-CB74-4203-9E8E-70F7C25DD383}"/>
    <cellStyle name="Porcentagem 4" xfId="16" xr:uid="{B924572E-D678-457D-8539-521AC1519B1E}"/>
    <cellStyle name="Porcentagem 5" xfId="19" xr:uid="{E34DE0F8-FA7F-4B03-9968-68C9657B7196}"/>
    <cellStyle name="Porcentagem 6" xfId="24" xr:uid="{32D4CF17-7FD4-4FAB-BF22-041F87D06392}"/>
    <cellStyle name="Porcentagem 7" xfId="32" xr:uid="{A61B9358-3843-4002-A467-D8229B551FD6}"/>
    <cellStyle name="Porcentagem 8" xfId="63" xr:uid="{4AE7110C-D589-45AC-BE59-A6B1F2E5B552}"/>
    <cellStyle name="Porcentagem 9" xfId="66" xr:uid="{49DEDB35-92E2-4CAF-8BE6-8BA20027AA6E}"/>
    <cellStyle name="Result" xfId="55" xr:uid="{E35C27AA-1349-4FB4-8CFF-BF93126B31EE}"/>
    <cellStyle name="Status" xfId="56" xr:uid="{94A25FEE-C3D5-4AAE-BEBA-DB7C9FA034C2}"/>
    <cellStyle name="Text" xfId="57" xr:uid="{87892171-948A-4BE4-A69D-E9F58C0702F5}"/>
    <cellStyle name="Vírgula" xfId="1" builtinId="3"/>
    <cellStyle name="Vírgula 2" xfId="7" xr:uid="{00000000-0005-0000-0000-000009000000}"/>
    <cellStyle name="Vírgula 3" xfId="11" xr:uid="{DCE3188E-EB62-44F9-A34C-845318FA48E8}"/>
    <cellStyle name="Vírgula 4" xfId="60" xr:uid="{FDF06261-A4BB-4CCF-A31F-1D11283FA531}"/>
    <cellStyle name="Warning" xfId="58" xr:uid="{2FA68858-8B46-4467-BAAB-A65F843CABB3}"/>
  </cellStyles>
  <dxfs count="11">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rgb="FFF7C7AC"/>
        </patternFill>
      </fill>
    </dxf>
    <dxf>
      <font>
        <b/>
        <i val="0"/>
      </font>
      <fill>
        <patternFill>
          <bgColor rgb="FFF7C7AC"/>
        </patternFill>
      </fill>
    </dxf>
    <dxf>
      <font>
        <b/>
        <i val="0"/>
      </font>
      <fill>
        <patternFill>
          <bgColor rgb="FFF7C7AC"/>
        </patternFill>
      </fill>
    </dxf>
    <dxf>
      <font>
        <b/>
        <i val="0"/>
      </font>
      <fill>
        <patternFill>
          <bgColor theme="5" tint="0.59996337778862885"/>
        </patternFill>
      </fill>
    </dxf>
  </dxfs>
  <tableStyles count="0" defaultTableStyle="TableStyleMedium2" defaultPivotStyle="PivotStyleLight16"/>
  <colors>
    <indexedColors>
      <rgbColor rgb="FF000000"/>
      <rgbColor rgb="FFFFFFFF"/>
      <rgbColor rgb="FFFF0000"/>
      <rgbColor rgb="FFF2F2F2"/>
      <rgbColor rgb="FF0000FF"/>
      <rgbColor rgb="FFFFFF00"/>
      <rgbColor rgb="FFFF00FF"/>
      <rgbColor rgb="FFC1F0C8"/>
      <rgbColor rgb="FF980000"/>
      <rgbColor rgb="FF008000"/>
      <rgbColor rgb="FF212529"/>
      <rgbColor rgb="FFE5DFEC"/>
      <rgbColor rgb="FF800080"/>
      <rgbColor rgb="FF156082"/>
      <rgbColor rgb="FFBFBFBF"/>
      <rgbColor rgb="FFD8D8D8"/>
      <rgbColor rgb="FF8DB3E2"/>
      <rgbColor rgb="FF953734"/>
      <rgbColor rgb="FFEAF1DD"/>
      <rgbColor rgb="FFCAEDFB"/>
      <rgbColor rgb="FF660066"/>
      <rgbColor rgb="FFF2AA84"/>
      <rgbColor rgb="FF0066CC"/>
      <rgbColor rgb="FFB8CCE4"/>
      <rgbColor rgb="FF222222"/>
      <rgbColor rgb="FFFF00FF"/>
      <rgbColor rgb="FFB4E5A2"/>
      <rgbColor rgb="FFE8E8E8"/>
      <rgbColor rgb="FF800080"/>
      <rgbColor rgb="FFC00000"/>
      <rgbColor rgb="FF0F9ED5"/>
      <rgbColor rgb="FF0000FF"/>
      <rgbColor rgb="FFDBE5F1"/>
      <rgbColor rgb="FFDAEEF3"/>
      <rgbColor rgb="FFC2F1C8"/>
      <rgbColor rgb="FFFCE5CD"/>
      <rgbColor rgb="FFB6DDE8"/>
      <rgbColor rgb="FFE59EDD"/>
      <rgbColor rgb="FFF2CFEE"/>
      <rgbColor rgb="FFF6C6AC"/>
      <rgbColor rgb="FFFAE2D5"/>
      <rgbColor rgb="FF46B1E1"/>
      <rgbColor rgb="FF84E291"/>
      <rgbColor rgb="FFFBD4B4"/>
      <rgbColor rgb="FFD9D9D9"/>
      <rgbColor rgb="FFE97132"/>
      <rgbColor rgb="FFDEE2E6"/>
      <rgbColor rgb="FFC4BD97"/>
      <rgbColor rgb="FF002060"/>
      <rgbColor rgb="FF00B050"/>
      <rgbColor rgb="FF0E2841"/>
      <rgbColor rgb="FF262626"/>
      <rgbColor rgb="FFFDE9D9"/>
      <rgbColor rgb="FFFBE3D6"/>
      <rgbColor rgb="FF3F315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9525</xdr:colOff>
      <xdr:row>0</xdr:row>
      <xdr:rowOff>0</xdr:rowOff>
    </xdr:to>
    <xdr:pic>
      <xdr:nvPicPr>
        <xdr:cNvPr id="2" name="Imagem 1">
          <a:extLst>
            <a:ext uri="{FF2B5EF4-FFF2-40B4-BE49-F238E27FC236}">
              <a16:creationId xmlns:a16="http://schemas.microsoft.com/office/drawing/2014/main" id="{85FF873C-EF1A-FE78-11DF-CD9F4FBC37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318075" y="4300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9525</xdr:colOff>
      <xdr:row>1</xdr:row>
      <xdr:rowOff>0</xdr:rowOff>
    </xdr:to>
    <xdr:pic>
      <xdr:nvPicPr>
        <xdr:cNvPr id="2" name="Imagem 1">
          <a:extLst>
            <a:ext uri="{FF2B5EF4-FFF2-40B4-BE49-F238E27FC236}">
              <a16:creationId xmlns:a16="http://schemas.microsoft.com/office/drawing/2014/main" id="{9E892DDE-64F5-4095-8650-C3C870F98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3" filterMode="1">
    <tabColor rgb="FF3F3151"/>
  </sheetPr>
  <dimension ref="A1:S238"/>
  <sheetViews>
    <sheetView showGridLines="0" zoomScale="80" zoomScaleNormal="80" workbookViewId="0">
      <pane xSplit="4" ySplit="1" topLeftCell="E9" activePane="bottomRight" state="frozen"/>
      <selection pane="topRight" activeCell="E1" sqref="E1"/>
      <selection pane="bottomLeft" activeCell="A3" sqref="A3"/>
      <selection pane="bottomRight" activeCell="D66" sqref="D66"/>
    </sheetView>
  </sheetViews>
  <sheetFormatPr defaultColWidth="14.42578125" defaultRowHeight="15"/>
  <cols>
    <col min="1" max="1" width="17.5703125" style="299" customWidth="1"/>
    <col min="2" max="2" width="14.7109375" style="300" customWidth="1"/>
    <col min="3" max="3" width="16.28515625" style="299" hidden="1" customWidth="1"/>
    <col min="4" max="4" width="14.85546875" style="299" customWidth="1"/>
    <col min="5" max="5" width="12.28515625" style="301" customWidth="1"/>
    <col min="6" max="6" width="12" style="301" customWidth="1"/>
    <col min="7" max="7" width="66.28515625" style="301" customWidth="1"/>
    <col min="8" max="8" width="18.5703125" style="299" customWidth="1"/>
    <col min="9" max="9" width="23.140625" style="302" bestFit="1" customWidth="1"/>
    <col min="10" max="10" width="14.85546875" style="300" customWidth="1"/>
    <col min="11" max="11" width="19.140625" style="303" hidden="1" customWidth="1"/>
    <col min="12" max="12" width="10.85546875" style="303" hidden="1" customWidth="1"/>
    <col min="13" max="13" width="19.42578125" style="299" hidden="1" customWidth="1"/>
    <col min="14" max="14" width="32" style="300" hidden="1" customWidth="1"/>
    <col min="15" max="15" width="25.28515625" style="300" customWidth="1"/>
    <col min="16" max="16" width="23.7109375" style="301" customWidth="1"/>
    <col min="17" max="17" width="18.28515625" style="304" bestFit="1" customWidth="1"/>
    <col min="18" max="16384" width="14.42578125" style="290"/>
  </cols>
  <sheetData>
    <row r="1" spans="1:18" s="260" customFormat="1" ht="30">
      <c r="A1" s="306" t="s">
        <v>1421</v>
      </c>
      <c r="B1" s="306" t="s">
        <v>180</v>
      </c>
      <c r="C1" s="306" t="s">
        <v>0</v>
      </c>
      <c r="D1" s="307" t="s">
        <v>1</v>
      </c>
      <c r="E1" s="308" t="s">
        <v>2</v>
      </c>
      <c r="F1" s="308" t="s">
        <v>3</v>
      </c>
      <c r="G1" s="309" t="s">
        <v>45</v>
      </c>
      <c r="H1" s="306" t="s">
        <v>44</v>
      </c>
      <c r="I1" s="315" t="s">
        <v>4</v>
      </c>
      <c r="J1" s="310" t="s">
        <v>54</v>
      </c>
      <c r="K1" s="311" t="s">
        <v>6</v>
      </c>
      <c r="L1" s="311" t="s">
        <v>7</v>
      </c>
      <c r="M1" s="306" t="s">
        <v>8</v>
      </c>
      <c r="N1" s="312" t="s">
        <v>55</v>
      </c>
      <c r="O1" s="306" t="s">
        <v>2501</v>
      </c>
      <c r="P1" s="306" t="s">
        <v>2524</v>
      </c>
      <c r="Q1" s="306" t="s">
        <v>10</v>
      </c>
      <c r="R1" s="306" t="s">
        <v>4533</v>
      </c>
    </row>
    <row r="2" spans="1:18" hidden="1">
      <c r="A2" s="293" t="s">
        <v>58</v>
      </c>
      <c r="B2" s="293">
        <v>7917</v>
      </c>
      <c r="C2" s="305" t="s">
        <v>165</v>
      </c>
      <c r="D2" s="284">
        <v>15332</v>
      </c>
      <c r="E2" s="286">
        <v>45901</v>
      </c>
      <c r="F2" s="286">
        <v>45930</v>
      </c>
      <c r="G2" s="294" t="s">
        <v>620</v>
      </c>
      <c r="H2" s="295" t="s">
        <v>11</v>
      </c>
      <c r="I2" s="285">
        <v>0.01</v>
      </c>
      <c r="J2" s="296">
        <v>0.01</v>
      </c>
      <c r="K2" s="289"/>
      <c r="L2" s="289"/>
      <c r="M2" s="284"/>
      <c r="N2" s="284"/>
      <c r="O2" s="293">
        <v>1744553</v>
      </c>
      <c r="P2" s="286">
        <v>45874.46733796296</v>
      </c>
      <c r="Q2" s="294"/>
      <c r="R2" s="317" t="b">
        <v>1</v>
      </c>
    </row>
    <row r="3" spans="1:18" hidden="1">
      <c r="A3" s="293" t="s">
        <v>58</v>
      </c>
      <c r="B3" s="293">
        <v>7985</v>
      </c>
      <c r="C3" s="305" t="s">
        <v>165</v>
      </c>
      <c r="D3" s="284" t="s">
        <v>1920</v>
      </c>
      <c r="E3" s="286">
        <v>45870</v>
      </c>
      <c r="F3" s="286">
        <v>45930</v>
      </c>
      <c r="G3" s="297" t="s">
        <v>2528</v>
      </c>
      <c r="H3" s="295" t="s">
        <v>1913</v>
      </c>
      <c r="I3" s="285">
        <v>500000</v>
      </c>
      <c r="J3" s="296">
        <v>1.2E-2</v>
      </c>
      <c r="K3" s="289"/>
      <c r="L3" s="289"/>
      <c r="M3" s="284"/>
      <c r="N3" s="284"/>
      <c r="O3" s="293">
        <v>1747448</v>
      </c>
      <c r="P3" s="286" t="s">
        <v>2507</v>
      </c>
      <c r="Q3" s="294" t="s">
        <v>4531</v>
      </c>
      <c r="R3" s="318" t="s">
        <v>4534</v>
      </c>
    </row>
    <row r="4" spans="1:18" hidden="1">
      <c r="A4" s="293" t="s">
        <v>58</v>
      </c>
      <c r="B4" s="293">
        <v>7985</v>
      </c>
      <c r="C4" s="305" t="s">
        <v>165</v>
      </c>
      <c r="D4" s="284" t="s">
        <v>1920</v>
      </c>
      <c r="E4" s="286">
        <v>45870</v>
      </c>
      <c r="F4" s="286">
        <v>45930</v>
      </c>
      <c r="G4" s="297" t="s">
        <v>2528</v>
      </c>
      <c r="H4" s="295" t="s">
        <v>1913</v>
      </c>
      <c r="I4" s="285">
        <v>1000000</v>
      </c>
      <c r="J4" s="296">
        <v>2.1999999999999999E-2</v>
      </c>
      <c r="K4" s="289"/>
      <c r="L4" s="289"/>
      <c r="M4" s="284"/>
      <c r="N4" s="284"/>
      <c r="O4" s="293">
        <v>1747448</v>
      </c>
      <c r="P4" s="286" t="s">
        <v>2507</v>
      </c>
      <c r="Q4" s="294" t="s">
        <v>4531</v>
      </c>
      <c r="R4" s="318" t="s">
        <v>4534</v>
      </c>
    </row>
    <row r="5" spans="1:18" ht="45" hidden="1">
      <c r="A5" s="293" t="s">
        <v>59</v>
      </c>
      <c r="B5" s="284">
        <v>8473</v>
      </c>
      <c r="C5" s="305" t="s">
        <v>165</v>
      </c>
      <c r="D5" s="293">
        <v>6218</v>
      </c>
      <c r="E5" s="286">
        <v>45889</v>
      </c>
      <c r="F5" s="286">
        <v>45930</v>
      </c>
      <c r="G5" s="298" t="s">
        <v>2859</v>
      </c>
      <c r="H5" s="295" t="s">
        <v>197</v>
      </c>
      <c r="I5" s="285">
        <v>0.01</v>
      </c>
      <c r="J5" s="296">
        <v>3.0000000000000001E-3</v>
      </c>
      <c r="K5" s="292"/>
      <c r="L5" s="289"/>
      <c r="M5" s="284"/>
      <c r="N5" s="284"/>
      <c r="O5" s="293">
        <v>1757082</v>
      </c>
      <c r="P5" s="286" t="s">
        <v>2705</v>
      </c>
      <c r="Q5" s="294"/>
      <c r="R5" s="317" t="b">
        <v>1</v>
      </c>
    </row>
    <row r="6" spans="1:18" hidden="1">
      <c r="A6" s="284" t="s">
        <v>58</v>
      </c>
      <c r="B6" s="284">
        <v>8701</v>
      </c>
      <c r="C6" s="305" t="s">
        <v>165</v>
      </c>
      <c r="D6" s="284" t="s">
        <v>4488</v>
      </c>
      <c r="E6" s="286">
        <v>45901</v>
      </c>
      <c r="F6" s="286">
        <v>45930</v>
      </c>
      <c r="G6" s="291" t="s">
        <v>4575</v>
      </c>
      <c r="H6" s="288"/>
      <c r="I6" s="285">
        <v>1000</v>
      </c>
      <c r="J6" s="283">
        <v>3.0000000000000001E-3</v>
      </c>
      <c r="K6" s="292"/>
      <c r="L6" s="289"/>
      <c r="M6" s="284"/>
      <c r="N6" s="284"/>
      <c r="O6" s="284">
        <v>1761547</v>
      </c>
      <c r="P6" s="286" t="s">
        <v>4498</v>
      </c>
      <c r="Q6" s="287"/>
      <c r="R6" s="317" t="b">
        <v>1</v>
      </c>
    </row>
    <row r="7" spans="1:18" hidden="1">
      <c r="A7" s="293" t="s">
        <v>59</v>
      </c>
      <c r="B7" s="284">
        <v>8506</v>
      </c>
      <c r="C7" s="305" t="s">
        <v>165</v>
      </c>
      <c r="D7" s="284">
        <v>17097</v>
      </c>
      <c r="E7" s="286">
        <v>45901</v>
      </c>
      <c r="F7" s="286">
        <v>45930</v>
      </c>
      <c r="G7" s="291" t="s">
        <v>76</v>
      </c>
      <c r="H7" s="295" t="s">
        <v>11</v>
      </c>
      <c r="I7" s="285">
        <v>0.01</v>
      </c>
      <c r="J7" s="296">
        <v>6.0000000000000001E-3</v>
      </c>
      <c r="K7" s="292"/>
      <c r="L7" s="289"/>
      <c r="M7" s="284"/>
      <c r="N7" s="284"/>
      <c r="O7" s="293">
        <v>1762550</v>
      </c>
      <c r="P7" s="286" t="s">
        <v>2891</v>
      </c>
      <c r="Q7" s="294"/>
      <c r="R7" s="317" t="b">
        <v>1</v>
      </c>
    </row>
    <row r="8" spans="1:18" hidden="1">
      <c r="A8" s="293" t="s">
        <v>58</v>
      </c>
      <c r="B8" s="284">
        <v>8524</v>
      </c>
      <c r="C8" s="305" t="s">
        <v>165</v>
      </c>
      <c r="D8" s="284">
        <v>16131</v>
      </c>
      <c r="E8" s="286">
        <v>45901</v>
      </c>
      <c r="F8" s="286">
        <v>45930</v>
      </c>
      <c r="G8" s="291" t="s">
        <v>2918</v>
      </c>
      <c r="H8" s="295" t="s">
        <v>11</v>
      </c>
      <c r="I8" s="285">
        <v>1000</v>
      </c>
      <c r="J8" s="296">
        <v>1.4999999999999999E-2</v>
      </c>
      <c r="K8" s="292"/>
      <c r="L8" s="289"/>
      <c r="M8" s="284"/>
      <c r="N8" s="284"/>
      <c r="O8" s="293">
        <v>1762584</v>
      </c>
      <c r="P8" s="286" t="s">
        <v>2890</v>
      </c>
      <c r="Q8" s="294"/>
      <c r="R8" s="317" t="b">
        <v>1</v>
      </c>
    </row>
    <row r="9" spans="1:18">
      <c r="A9" s="293" t="s">
        <v>58</v>
      </c>
      <c r="B9" s="284">
        <v>8531</v>
      </c>
      <c r="C9" s="305" t="s">
        <v>165</v>
      </c>
      <c r="D9" s="284">
        <v>17938</v>
      </c>
      <c r="E9" s="286">
        <v>45901</v>
      </c>
      <c r="F9" s="286">
        <v>45930</v>
      </c>
      <c r="G9" s="291" t="s">
        <v>2917</v>
      </c>
      <c r="H9" s="295" t="s">
        <v>11</v>
      </c>
      <c r="I9" s="285">
        <v>0.01</v>
      </c>
      <c r="J9" s="296">
        <v>0.01</v>
      </c>
      <c r="K9" s="292"/>
      <c r="L9" s="289"/>
      <c r="M9" s="284"/>
      <c r="N9" s="284"/>
      <c r="O9" s="293">
        <v>1763007</v>
      </c>
      <c r="P9" s="286" t="s">
        <v>2889</v>
      </c>
      <c r="Q9" s="294"/>
      <c r="R9" s="317" t="b">
        <v>0</v>
      </c>
    </row>
    <row r="10" spans="1:18">
      <c r="A10" s="293" t="s">
        <v>58</v>
      </c>
      <c r="B10" s="284">
        <v>8523</v>
      </c>
      <c r="C10" s="305" t="s">
        <v>165</v>
      </c>
      <c r="D10" s="284">
        <v>12156</v>
      </c>
      <c r="E10" s="286">
        <v>45901</v>
      </c>
      <c r="F10" s="286">
        <v>45930</v>
      </c>
      <c r="G10" s="291" t="s">
        <v>2916</v>
      </c>
      <c r="H10" s="295" t="s">
        <v>11</v>
      </c>
      <c r="I10" s="285">
        <v>1000</v>
      </c>
      <c r="J10" s="296">
        <v>3.0000000000000001E-3</v>
      </c>
      <c r="K10" s="292"/>
      <c r="L10" s="289"/>
      <c r="M10" s="284"/>
      <c r="N10" s="284"/>
      <c r="O10" s="293">
        <v>1763045</v>
      </c>
      <c r="P10" s="286" t="s">
        <v>2888</v>
      </c>
      <c r="Q10" s="294"/>
      <c r="R10" s="317" t="b">
        <v>0</v>
      </c>
    </row>
    <row r="11" spans="1:18" ht="30">
      <c r="A11" s="293" t="s">
        <v>58</v>
      </c>
      <c r="B11" s="284">
        <v>8522</v>
      </c>
      <c r="C11" s="305" t="s">
        <v>165</v>
      </c>
      <c r="D11" s="284">
        <v>12776</v>
      </c>
      <c r="E11" s="286">
        <v>45901</v>
      </c>
      <c r="F11" s="286">
        <v>45930</v>
      </c>
      <c r="G11" s="291" t="s">
        <v>2915</v>
      </c>
      <c r="H11" s="295" t="s">
        <v>23</v>
      </c>
      <c r="I11" s="285">
        <v>0.01</v>
      </c>
      <c r="J11" s="296">
        <v>2E-3</v>
      </c>
      <c r="K11" s="292"/>
      <c r="L11" s="289"/>
      <c r="M11" s="284"/>
      <c r="N11" s="284"/>
      <c r="O11" s="293">
        <v>1763268</v>
      </c>
      <c r="P11" s="286" t="s">
        <v>2887</v>
      </c>
      <c r="Q11" s="294"/>
      <c r="R11" s="317" t="b">
        <v>0</v>
      </c>
    </row>
    <row r="12" spans="1:18" ht="30" hidden="1">
      <c r="A12" s="293" t="s">
        <v>58</v>
      </c>
      <c r="B12" s="284">
        <v>8520</v>
      </c>
      <c r="C12" s="305" t="s">
        <v>165</v>
      </c>
      <c r="D12" s="284">
        <v>14722</v>
      </c>
      <c r="E12" s="286">
        <v>45901</v>
      </c>
      <c r="F12" s="286">
        <v>45930</v>
      </c>
      <c r="G12" s="291" t="s">
        <v>2912</v>
      </c>
      <c r="H12" s="295" t="s">
        <v>23</v>
      </c>
      <c r="I12" s="285">
        <v>10000</v>
      </c>
      <c r="J12" s="296">
        <v>5.0000000000000001E-3</v>
      </c>
      <c r="K12" s="292"/>
      <c r="L12" s="289"/>
      <c r="M12" s="284"/>
      <c r="N12" s="284"/>
      <c r="O12" s="293">
        <v>1763273</v>
      </c>
      <c r="P12" s="286" t="s">
        <v>2886</v>
      </c>
      <c r="Q12" s="294"/>
      <c r="R12" s="317" t="b">
        <v>1</v>
      </c>
    </row>
    <row r="13" spans="1:18" ht="30" hidden="1">
      <c r="A13" s="293" t="s">
        <v>59</v>
      </c>
      <c r="B13" s="284">
        <v>8505</v>
      </c>
      <c r="C13" s="305" t="s">
        <v>165</v>
      </c>
      <c r="D13" s="284">
        <v>14722</v>
      </c>
      <c r="E13" s="286">
        <v>45901</v>
      </c>
      <c r="F13" s="286">
        <v>45930</v>
      </c>
      <c r="G13" s="291" t="s">
        <v>2913</v>
      </c>
      <c r="H13" s="295" t="s">
        <v>23</v>
      </c>
      <c r="I13" s="285">
        <v>10000</v>
      </c>
      <c r="J13" s="296">
        <v>7.4999999999999997E-3</v>
      </c>
      <c r="K13" s="292"/>
      <c r="L13" s="289"/>
      <c r="M13" s="284"/>
      <c r="N13" s="284"/>
      <c r="O13" s="293">
        <v>1763273</v>
      </c>
      <c r="P13" s="286" t="s">
        <v>2886</v>
      </c>
      <c r="Q13" s="294"/>
      <c r="R13" s="317" t="b">
        <v>1</v>
      </c>
    </row>
    <row r="14" spans="1:18" ht="30" hidden="1">
      <c r="A14" s="293" t="s">
        <v>58</v>
      </c>
      <c r="B14" s="284">
        <v>8521</v>
      </c>
      <c r="C14" s="305" t="s">
        <v>165</v>
      </c>
      <c r="D14" s="284">
        <v>14722</v>
      </c>
      <c r="E14" s="286">
        <v>45901</v>
      </c>
      <c r="F14" s="286">
        <v>45930</v>
      </c>
      <c r="G14" s="291" t="s">
        <v>2914</v>
      </c>
      <c r="H14" s="295" t="s">
        <v>23</v>
      </c>
      <c r="I14" s="285">
        <v>10000</v>
      </c>
      <c r="J14" s="296">
        <v>5.0000000000000001E-3</v>
      </c>
      <c r="K14" s="292"/>
      <c r="L14" s="289"/>
      <c r="M14" s="284"/>
      <c r="N14" s="284"/>
      <c r="O14" s="293">
        <v>1763273</v>
      </c>
      <c r="P14" s="286" t="s">
        <v>2886</v>
      </c>
      <c r="Q14" s="294"/>
      <c r="R14" s="317" t="b">
        <v>1</v>
      </c>
    </row>
    <row r="15" spans="1:18">
      <c r="A15" s="293" t="s">
        <v>58</v>
      </c>
      <c r="B15" s="284">
        <v>8516</v>
      </c>
      <c r="C15" s="305" t="s">
        <v>165</v>
      </c>
      <c r="D15" s="284">
        <v>12288</v>
      </c>
      <c r="E15" s="286">
        <v>45901</v>
      </c>
      <c r="F15" s="286">
        <v>45930</v>
      </c>
      <c r="G15" s="291" t="s">
        <v>2906</v>
      </c>
      <c r="H15" s="295" t="s">
        <v>11</v>
      </c>
      <c r="I15" s="285">
        <v>0.01</v>
      </c>
      <c r="J15" s="296">
        <v>2E-3</v>
      </c>
      <c r="K15" s="292"/>
      <c r="L15" s="289"/>
      <c r="M15" s="284"/>
      <c r="N15" s="284"/>
      <c r="O15" s="293">
        <v>1763294</v>
      </c>
      <c r="P15" s="286" t="s">
        <v>2885</v>
      </c>
      <c r="Q15" s="294"/>
      <c r="R15" s="317" t="b">
        <v>0</v>
      </c>
    </row>
    <row r="16" spans="1:18">
      <c r="A16" s="293" t="s">
        <v>58</v>
      </c>
      <c r="B16" s="284">
        <v>8517</v>
      </c>
      <c r="C16" s="305" t="s">
        <v>165</v>
      </c>
      <c r="D16" s="284">
        <v>12288</v>
      </c>
      <c r="E16" s="286">
        <v>45901</v>
      </c>
      <c r="F16" s="286">
        <v>45930</v>
      </c>
      <c r="G16" s="291" t="s">
        <v>2907</v>
      </c>
      <c r="H16" s="295" t="s">
        <v>11</v>
      </c>
      <c r="I16" s="285">
        <v>0.01</v>
      </c>
      <c r="J16" s="296">
        <v>2E-3</v>
      </c>
      <c r="K16" s="292"/>
      <c r="L16" s="289"/>
      <c r="M16" s="284"/>
      <c r="N16" s="284"/>
      <c r="O16" s="293">
        <v>1763294</v>
      </c>
      <c r="P16" s="286" t="s">
        <v>2885</v>
      </c>
      <c r="Q16" s="294"/>
      <c r="R16" s="317" t="b">
        <v>0</v>
      </c>
    </row>
    <row r="17" spans="1:18">
      <c r="A17" s="293" t="s">
        <v>58</v>
      </c>
      <c r="B17" s="284">
        <v>8518</v>
      </c>
      <c r="C17" s="305" t="s">
        <v>165</v>
      </c>
      <c r="D17" s="284">
        <v>12288</v>
      </c>
      <c r="E17" s="286">
        <v>45901</v>
      </c>
      <c r="F17" s="286">
        <v>45930</v>
      </c>
      <c r="G17" s="291" t="s">
        <v>2908</v>
      </c>
      <c r="H17" s="295" t="s">
        <v>11</v>
      </c>
      <c r="I17" s="285">
        <v>0.01</v>
      </c>
      <c r="J17" s="296">
        <v>2E-3</v>
      </c>
      <c r="K17" s="292"/>
      <c r="L17" s="289"/>
      <c r="M17" s="284"/>
      <c r="N17" s="284"/>
      <c r="O17" s="293">
        <v>1763294</v>
      </c>
      <c r="P17" s="286" t="s">
        <v>2885</v>
      </c>
      <c r="Q17" s="294"/>
      <c r="R17" s="317" t="b">
        <v>0</v>
      </c>
    </row>
    <row r="18" spans="1:18">
      <c r="A18" s="293" t="s">
        <v>58</v>
      </c>
      <c r="B18" s="284">
        <v>8519</v>
      </c>
      <c r="C18" s="305" t="s">
        <v>165</v>
      </c>
      <c r="D18" s="284">
        <v>12288</v>
      </c>
      <c r="E18" s="286">
        <v>45901</v>
      </c>
      <c r="F18" s="286">
        <v>45930</v>
      </c>
      <c r="G18" s="291" t="s">
        <v>2909</v>
      </c>
      <c r="H18" s="295" t="s">
        <v>11</v>
      </c>
      <c r="I18" s="285">
        <v>0.01</v>
      </c>
      <c r="J18" s="296">
        <v>5.0000000000000001E-3</v>
      </c>
      <c r="K18" s="292"/>
      <c r="L18" s="289"/>
      <c r="M18" s="284"/>
      <c r="N18" s="284"/>
      <c r="O18" s="293">
        <v>1763294</v>
      </c>
      <c r="P18" s="286" t="s">
        <v>2885</v>
      </c>
      <c r="Q18" s="294"/>
      <c r="R18" s="317" t="b">
        <v>0</v>
      </c>
    </row>
    <row r="19" spans="1:18">
      <c r="A19" s="293" t="s">
        <v>58</v>
      </c>
      <c r="B19" s="284">
        <v>8509</v>
      </c>
      <c r="C19" s="305" t="s">
        <v>165</v>
      </c>
      <c r="D19" s="284">
        <v>12288</v>
      </c>
      <c r="E19" s="286">
        <v>45901</v>
      </c>
      <c r="F19" s="286">
        <v>45930</v>
      </c>
      <c r="G19" s="291" t="s">
        <v>2910</v>
      </c>
      <c r="H19" s="295" t="s">
        <v>11</v>
      </c>
      <c r="I19" s="285">
        <v>0.01</v>
      </c>
      <c r="J19" s="296">
        <v>0.02</v>
      </c>
      <c r="K19" s="292"/>
      <c r="L19" s="289"/>
      <c r="M19" s="284"/>
      <c r="N19" s="284"/>
      <c r="O19" s="293">
        <v>1763294</v>
      </c>
      <c r="P19" s="286" t="s">
        <v>2885</v>
      </c>
      <c r="Q19" s="294"/>
      <c r="R19" s="317" t="b">
        <v>0</v>
      </c>
    </row>
    <row r="20" spans="1:18">
      <c r="A20" s="293" t="s">
        <v>58</v>
      </c>
      <c r="B20" s="284">
        <v>8510</v>
      </c>
      <c r="C20" s="305" t="s">
        <v>165</v>
      </c>
      <c r="D20" s="284">
        <v>12288</v>
      </c>
      <c r="E20" s="286">
        <v>45901</v>
      </c>
      <c r="F20" s="286">
        <v>45930</v>
      </c>
      <c r="G20" s="291" t="s">
        <v>2911</v>
      </c>
      <c r="H20" s="295" t="s">
        <v>11</v>
      </c>
      <c r="I20" s="285">
        <v>0.01</v>
      </c>
      <c r="J20" s="296">
        <v>1.7500000000000002E-2</v>
      </c>
      <c r="K20" s="292"/>
      <c r="L20" s="289"/>
      <c r="M20" s="284"/>
      <c r="N20" s="284"/>
      <c r="O20" s="293">
        <v>1763294</v>
      </c>
      <c r="P20" s="286" t="s">
        <v>2885</v>
      </c>
      <c r="Q20" s="294"/>
      <c r="R20" s="317" t="b">
        <v>0</v>
      </c>
    </row>
    <row r="21" spans="1:18">
      <c r="A21" s="293" t="s">
        <v>58</v>
      </c>
      <c r="B21" s="284">
        <v>8515</v>
      </c>
      <c r="C21" s="305" t="s">
        <v>165</v>
      </c>
      <c r="D21" s="284">
        <v>15366</v>
      </c>
      <c r="E21" s="286">
        <v>45901</v>
      </c>
      <c r="F21" s="286">
        <v>45930</v>
      </c>
      <c r="G21" s="291" t="s">
        <v>2905</v>
      </c>
      <c r="H21" s="295" t="s">
        <v>11</v>
      </c>
      <c r="I21" s="285">
        <v>0.01</v>
      </c>
      <c r="J21" s="296">
        <v>3.5000000000000001E-3</v>
      </c>
      <c r="K21" s="292"/>
      <c r="L21" s="289"/>
      <c r="M21" s="284"/>
      <c r="N21" s="284"/>
      <c r="O21" s="293">
        <v>1763301</v>
      </c>
      <c r="P21" s="286" t="s">
        <v>2884</v>
      </c>
      <c r="Q21" s="294"/>
      <c r="R21" s="317" t="b">
        <v>0</v>
      </c>
    </row>
    <row r="22" spans="1:18">
      <c r="A22" s="293" t="s">
        <v>58</v>
      </c>
      <c r="B22" s="284">
        <v>8514</v>
      </c>
      <c r="C22" s="305" t="s">
        <v>165</v>
      </c>
      <c r="D22" s="284">
        <v>17154</v>
      </c>
      <c r="E22" s="286">
        <v>45901</v>
      </c>
      <c r="F22" s="286">
        <v>45930</v>
      </c>
      <c r="G22" s="291" t="s">
        <v>2905</v>
      </c>
      <c r="H22" s="295" t="s">
        <v>11</v>
      </c>
      <c r="I22" s="285">
        <v>0.01</v>
      </c>
      <c r="J22" s="296">
        <v>2.5000000000000001E-3</v>
      </c>
      <c r="K22" s="292"/>
      <c r="L22" s="289"/>
      <c r="M22" s="284"/>
      <c r="N22" s="284"/>
      <c r="O22" s="293">
        <v>1763303</v>
      </c>
      <c r="P22" s="286" t="s">
        <v>2883</v>
      </c>
      <c r="Q22" s="294"/>
      <c r="R22" s="317" t="b">
        <v>0</v>
      </c>
    </row>
    <row r="23" spans="1:18" hidden="1">
      <c r="A23" s="293" t="s">
        <v>59</v>
      </c>
      <c r="B23" s="284">
        <v>8513</v>
      </c>
      <c r="C23" s="305" t="s">
        <v>165</v>
      </c>
      <c r="D23" s="284">
        <v>11730</v>
      </c>
      <c r="E23" s="286">
        <v>45901</v>
      </c>
      <c r="F23" s="286">
        <v>45930</v>
      </c>
      <c r="G23" s="314" t="s">
        <v>2920</v>
      </c>
      <c r="H23" s="295" t="s">
        <v>11</v>
      </c>
      <c r="I23" s="285">
        <v>1000</v>
      </c>
      <c r="J23" s="296">
        <v>2.5000000000000001E-3</v>
      </c>
      <c r="K23" s="292"/>
      <c r="L23" s="289"/>
      <c r="M23" s="284"/>
      <c r="N23" s="284"/>
      <c r="O23" s="293">
        <v>1763311</v>
      </c>
      <c r="P23" s="286" t="s">
        <v>2881</v>
      </c>
      <c r="Q23" s="294"/>
      <c r="R23" s="317" t="b">
        <v>1</v>
      </c>
    </row>
    <row r="24" spans="1:18" hidden="1">
      <c r="A24" s="293" t="s">
        <v>59</v>
      </c>
      <c r="B24" s="284">
        <v>8504</v>
      </c>
      <c r="C24" s="305" t="s">
        <v>165</v>
      </c>
      <c r="D24" s="284">
        <v>9212</v>
      </c>
      <c r="E24" s="286">
        <v>45901</v>
      </c>
      <c r="F24" s="286">
        <v>45930</v>
      </c>
      <c r="G24" s="291" t="s">
        <v>232</v>
      </c>
      <c r="H24" s="295" t="s">
        <v>11</v>
      </c>
      <c r="I24" s="285">
        <v>0.01</v>
      </c>
      <c r="J24" s="296">
        <v>7.4999999999999997E-3</v>
      </c>
      <c r="K24" s="292"/>
      <c r="L24" s="289"/>
      <c r="M24" s="284"/>
      <c r="N24" s="284"/>
      <c r="O24" s="293">
        <v>1763312</v>
      </c>
      <c r="P24" s="286" t="s">
        <v>2882</v>
      </c>
      <c r="Q24" s="294"/>
      <c r="R24" s="317" t="b">
        <v>1</v>
      </c>
    </row>
    <row r="25" spans="1:18" hidden="1">
      <c r="A25" s="293" t="s">
        <v>58</v>
      </c>
      <c r="B25" s="284">
        <v>8527</v>
      </c>
      <c r="C25" s="305" t="s">
        <v>165</v>
      </c>
      <c r="D25" s="284">
        <v>9212</v>
      </c>
      <c r="E25" s="286">
        <v>45901</v>
      </c>
      <c r="F25" s="286">
        <v>45930</v>
      </c>
      <c r="G25" s="291" t="s">
        <v>2902</v>
      </c>
      <c r="H25" s="295" t="s">
        <v>11</v>
      </c>
      <c r="I25" s="285">
        <v>0.01</v>
      </c>
      <c r="J25" s="296">
        <v>1.4999999999999999E-2</v>
      </c>
      <c r="K25" s="292"/>
      <c r="L25" s="289"/>
      <c r="M25" s="284"/>
      <c r="N25" s="284"/>
      <c r="O25" s="293">
        <v>1763312</v>
      </c>
      <c r="P25" s="286" t="s">
        <v>2882</v>
      </c>
      <c r="Q25" s="294"/>
      <c r="R25" s="317" t="b">
        <v>1</v>
      </c>
    </row>
    <row r="26" spans="1:18" hidden="1">
      <c r="A26" s="293" t="s">
        <v>58</v>
      </c>
      <c r="B26" s="284">
        <v>8526</v>
      </c>
      <c r="C26" s="305" t="s">
        <v>165</v>
      </c>
      <c r="D26" s="284">
        <v>9212</v>
      </c>
      <c r="E26" s="286">
        <v>45901</v>
      </c>
      <c r="F26" s="286">
        <v>45930</v>
      </c>
      <c r="G26" s="291" t="s">
        <v>2903</v>
      </c>
      <c r="H26" s="295" t="s">
        <v>11</v>
      </c>
      <c r="I26" s="285">
        <v>0.01</v>
      </c>
      <c r="J26" s="296">
        <v>5.0000000000000001E-3</v>
      </c>
      <c r="K26" s="292"/>
      <c r="L26" s="289"/>
      <c r="M26" s="284"/>
      <c r="N26" s="284"/>
      <c r="O26" s="293">
        <v>1763312</v>
      </c>
      <c r="P26" s="286" t="s">
        <v>2882</v>
      </c>
      <c r="Q26" s="294"/>
      <c r="R26" s="317" t="b">
        <v>1</v>
      </c>
    </row>
    <row r="27" spans="1:18" hidden="1">
      <c r="A27" s="293" t="s">
        <v>58</v>
      </c>
      <c r="B27" s="284">
        <v>8525</v>
      </c>
      <c r="C27" s="305" t="s">
        <v>165</v>
      </c>
      <c r="D27" s="284">
        <v>9212</v>
      </c>
      <c r="E27" s="286">
        <v>45901</v>
      </c>
      <c r="F27" s="286">
        <v>45930</v>
      </c>
      <c r="G27" s="291" t="s">
        <v>2904</v>
      </c>
      <c r="H27" s="295" t="s">
        <v>11</v>
      </c>
      <c r="I27" s="285">
        <v>0.01</v>
      </c>
      <c r="J27" s="296">
        <v>7.0000000000000001E-3</v>
      </c>
      <c r="K27" s="292"/>
      <c r="L27" s="289"/>
      <c r="M27" s="284"/>
      <c r="N27" s="284"/>
      <c r="O27" s="293">
        <v>1763312</v>
      </c>
      <c r="P27" s="286" t="s">
        <v>2882</v>
      </c>
      <c r="Q27" s="294"/>
      <c r="R27" s="317" t="b">
        <v>1</v>
      </c>
    </row>
    <row r="28" spans="1:18">
      <c r="A28" s="293" t="s">
        <v>58</v>
      </c>
      <c r="B28" s="284">
        <v>8512</v>
      </c>
      <c r="C28" s="305" t="s">
        <v>165</v>
      </c>
      <c r="D28" s="284">
        <v>12586</v>
      </c>
      <c r="E28" s="286">
        <v>45901</v>
      </c>
      <c r="F28" s="286">
        <v>45930</v>
      </c>
      <c r="G28" s="291" t="s">
        <v>2892</v>
      </c>
      <c r="H28" s="295" t="s">
        <v>11</v>
      </c>
      <c r="I28" s="285">
        <v>0.01</v>
      </c>
      <c r="J28" s="296">
        <v>2.5000000000000001E-3</v>
      </c>
      <c r="K28" s="292"/>
      <c r="L28" s="289"/>
      <c r="M28" s="284"/>
      <c r="N28" s="284"/>
      <c r="O28" s="293">
        <v>1763314</v>
      </c>
      <c r="P28" s="286" t="s">
        <v>2880</v>
      </c>
      <c r="Q28" s="294"/>
      <c r="R28" s="317" t="b">
        <v>0</v>
      </c>
    </row>
    <row r="29" spans="1:18" hidden="1">
      <c r="A29" s="293" t="s">
        <v>59</v>
      </c>
      <c r="B29" s="284">
        <v>8503</v>
      </c>
      <c r="C29" s="305" t="s">
        <v>165</v>
      </c>
      <c r="D29" s="284">
        <v>17309</v>
      </c>
      <c r="E29" s="286">
        <v>45901</v>
      </c>
      <c r="F29" s="286">
        <v>45930</v>
      </c>
      <c r="G29" s="291" t="s">
        <v>76</v>
      </c>
      <c r="H29" s="295" t="s">
        <v>11</v>
      </c>
      <c r="I29" s="285">
        <v>10000</v>
      </c>
      <c r="J29" s="296">
        <v>7.4999999999999997E-3</v>
      </c>
      <c r="K29" s="292"/>
      <c r="L29" s="289"/>
      <c r="M29" s="284"/>
      <c r="N29" s="284"/>
      <c r="O29" s="293">
        <v>1763561</v>
      </c>
      <c r="P29" s="286" t="s">
        <v>2879</v>
      </c>
      <c r="Q29" s="294"/>
      <c r="R29" s="317" t="b">
        <v>1</v>
      </c>
    </row>
    <row r="30" spans="1:18" hidden="1">
      <c r="A30" s="293" t="s">
        <v>59</v>
      </c>
      <c r="B30" s="284">
        <v>8502</v>
      </c>
      <c r="C30" s="305" t="s">
        <v>165</v>
      </c>
      <c r="D30" s="284">
        <v>13929</v>
      </c>
      <c r="E30" s="286">
        <v>45901</v>
      </c>
      <c r="F30" s="286">
        <v>45930</v>
      </c>
      <c r="G30" s="291" t="s">
        <v>76</v>
      </c>
      <c r="H30" s="295" t="s">
        <v>11</v>
      </c>
      <c r="I30" s="285">
        <v>10000</v>
      </c>
      <c r="J30" s="296">
        <v>6.0000000000000001E-3</v>
      </c>
      <c r="K30" s="292"/>
      <c r="L30" s="289"/>
      <c r="M30" s="284"/>
      <c r="N30" s="284"/>
      <c r="O30" s="293">
        <v>1763579</v>
      </c>
      <c r="P30" s="286" t="s">
        <v>2878</v>
      </c>
      <c r="Q30" s="294"/>
      <c r="R30" s="317" t="b">
        <v>1</v>
      </c>
    </row>
    <row r="31" spans="1:18">
      <c r="A31" s="293" t="s">
        <v>58</v>
      </c>
      <c r="B31" s="284">
        <v>8508</v>
      </c>
      <c r="C31" s="305" t="s">
        <v>165</v>
      </c>
      <c r="D31" s="284" t="s">
        <v>755</v>
      </c>
      <c r="E31" s="286">
        <v>45901</v>
      </c>
      <c r="F31" s="286">
        <v>45930</v>
      </c>
      <c r="G31" s="291" t="s">
        <v>2900</v>
      </c>
      <c r="H31" s="295" t="s">
        <v>11</v>
      </c>
      <c r="I31" s="285">
        <v>0.01</v>
      </c>
      <c r="J31" s="296">
        <v>1.4999999999999999E-2</v>
      </c>
      <c r="K31" s="292"/>
      <c r="L31" s="289"/>
      <c r="M31" s="284"/>
      <c r="N31" s="284"/>
      <c r="O31" s="293">
        <v>1763583</v>
      </c>
      <c r="P31" s="286" t="s">
        <v>2877</v>
      </c>
      <c r="Q31" s="294" t="s">
        <v>2901</v>
      </c>
      <c r="R31" s="317" t="b">
        <v>0</v>
      </c>
    </row>
    <row r="32" spans="1:18">
      <c r="A32" s="293" t="s">
        <v>58</v>
      </c>
      <c r="B32" s="284">
        <v>8508</v>
      </c>
      <c r="C32" s="305"/>
      <c r="D32" s="284" t="s">
        <v>755</v>
      </c>
      <c r="E32" s="286">
        <v>45901</v>
      </c>
      <c r="F32" s="286">
        <v>45930</v>
      </c>
      <c r="G32" s="291" t="s">
        <v>2900</v>
      </c>
      <c r="H32" s="295" t="s">
        <v>11</v>
      </c>
      <c r="I32" s="285">
        <v>1000000</v>
      </c>
      <c r="J32" s="296">
        <v>1.7000000000000001E-2</v>
      </c>
      <c r="K32" s="292"/>
      <c r="L32" s="289"/>
      <c r="M32" s="284"/>
      <c r="N32" s="284"/>
      <c r="O32" s="293">
        <v>1763583</v>
      </c>
      <c r="P32" s="286" t="s">
        <v>2877</v>
      </c>
      <c r="Q32" s="294" t="s">
        <v>2901</v>
      </c>
      <c r="R32" s="317" t="b">
        <v>0</v>
      </c>
    </row>
    <row r="33" spans="1:18" hidden="1">
      <c r="A33" s="293" t="s">
        <v>59</v>
      </c>
      <c r="B33" s="284">
        <v>8501</v>
      </c>
      <c r="C33" s="305" t="s">
        <v>165</v>
      </c>
      <c r="D33" s="284">
        <v>8835</v>
      </c>
      <c r="E33" s="286">
        <v>45901</v>
      </c>
      <c r="F33" s="286">
        <v>45930</v>
      </c>
      <c r="G33" s="291" t="s">
        <v>76</v>
      </c>
      <c r="H33" s="295" t="s">
        <v>11</v>
      </c>
      <c r="I33" s="285">
        <v>10000</v>
      </c>
      <c r="J33" s="296">
        <v>6.0000000000000001E-3</v>
      </c>
      <c r="K33" s="292"/>
      <c r="L33" s="289"/>
      <c r="M33" s="284"/>
      <c r="N33" s="284"/>
      <c r="O33" s="293">
        <v>1763612</v>
      </c>
      <c r="P33" s="286" t="s">
        <v>2876</v>
      </c>
      <c r="Q33" s="294"/>
      <c r="R33" s="317" t="b">
        <v>1</v>
      </c>
    </row>
    <row r="34" spans="1:18" hidden="1">
      <c r="A34" s="293" t="s">
        <v>59</v>
      </c>
      <c r="B34" s="284">
        <v>8500</v>
      </c>
      <c r="C34" s="305" t="s">
        <v>165</v>
      </c>
      <c r="D34" s="284">
        <v>17614</v>
      </c>
      <c r="E34" s="286">
        <v>45901</v>
      </c>
      <c r="F34" s="286">
        <v>45930</v>
      </c>
      <c r="G34" s="291" t="s">
        <v>76</v>
      </c>
      <c r="H34" s="295" t="s">
        <v>11</v>
      </c>
      <c r="I34" s="285">
        <v>10000</v>
      </c>
      <c r="J34" s="296">
        <v>7.4999999999999997E-3</v>
      </c>
      <c r="K34" s="292"/>
      <c r="L34" s="289"/>
      <c r="M34" s="284"/>
      <c r="N34" s="284"/>
      <c r="O34" s="293">
        <v>1763618</v>
      </c>
      <c r="P34" s="286" t="s">
        <v>2875</v>
      </c>
      <c r="Q34" s="294"/>
      <c r="R34" s="317" t="b">
        <v>1</v>
      </c>
    </row>
    <row r="35" spans="1:18" s="263" customFormat="1" hidden="1">
      <c r="A35" s="293" t="s">
        <v>58</v>
      </c>
      <c r="B35" s="284">
        <v>8530</v>
      </c>
      <c r="C35" s="305" t="s">
        <v>165</v>
      </c>
      <c r="D35" s="284">
        <v>12466</v>
      </c>
      <c r="E35" s="286">
        <v>45901</v>
      </c>
      <c r="F35" s="286">
        <v>45930</v>
      </c>
      <c r="G35" s="291" t="s">
        <v>2894</v>
      </c>
      <c r="H35" s="295" t="s">
        <v>11</v>
      </c>
      <c r="I35" s="285">
        <v>0.01</v>
      </c>
      <c r="J35" s="296">
        <v>1.4999999999999999E-2</v>
      </c>
      <c r="K35" s="292"/>
      <c r="L35" s="289"/>
      <c r="M35" s="284"/>
      <c r="N35" s="284"/>
      <c r="O35" s="293">
        <v>1763627</v>
      </c>
      <c r="P35" s="286" t="s">
        <v>2874</v>
      </c>
      <c r="Q35" s="294"/>
      <c r="R35" s="317" t="b">
        <v>1</v>
      </c>
    </row>
    <row r="36" spans="1:18" s="344" customFormat="1" hidden="1">
      <c r="A36" s="345" t="s">
        <v>59</v>
      </c>
      <c r="B36" s="336">
        <v>8497</v>
      </c>
      <c r="C36" s="313" t="s">
        <v>165</v>
      </c>
      <c r="D36" s="336">
        <v>13611</v>
      </c>
      <c r="E36" s="337">
        <v>45901</v>
      </c>
      <c r="F36" s="337">
        <v>45930</v>
      </c>
      <c r="G36" s="338" t="s">
        <v>2895</v>
      </c>
      <c r="H36" s="346" t="s">
        <v>11</v>
      </c>
      <c r="I36" s="340">
        <v>0.01</v>
      </c>
      <c r="J36" s="347">
        <v>7.4999999999999997E-3</v>
      </c>
      <c r="K36" s="292"/>
      <c r="L36" s="289"/>
      <c r="M36" s="284"/>
      <c r="N36" s="284"/>
      <c r="O36" s="345">
        <v>1763627</v>
      </c>
      <c r="P36" s="337" t="s">
        <v>2874</v>
      </c>
      <c r="Q36" s="348"/>
      <c r="R36" s="343" t="b">
        <v>1</v>
      </c>
    </row>
    <row r="37" spans="1:18" s="344" customFormat="1" hidden="1">
      <c r="A37" s="345" t="s">
        <v>58</v>
      </c>
      <c r="B37" s="336">
        <v>8511</v>
      </c>
      <c r="C37" s="305" t="s">
        <v>165</v>
      </c>
      <c r="D37" s="336">
        <v>13611</v>
      </c>
      <c r="E37" s="337">
        <v>45901</v>
      </c>
      <c r="F37" s="337">
        <v>45930</v>
      </c>
      <c r="G37" s="338" t="s">
        <v>2919</v>
      </c>
      <c r="H37" s="346" t="s">
        <v>11</v>
      </c>
      <c r="I37" s="340">
        <v>0.01</v>
      </c>
      <c r="J37" s="347">
        <v>2E-3</v>
      </c>
      <c r="K37" s="292"/>
      <c r="L37" s="289"/>
      <c r="M37" s="284"/>
      <c r="N37" s="284"/>
      <c r="O37" s="345">
        <v>1763627</v>
      </c>
      <c r="P37" s="337" t="s">
        <v>2874</v>
      </c>
      <c r="Q37" s="348"/>
      <c r="R37" s="343" t="b">
        <v>1</v>
      </c>
    </row>
    <row r="38" spans="1:18" s="344" customFormat="1" hidden="1">
      <c r="A38" s="345" t="s">
        <v>59</v>
      </c>
      <c r="B38" s="336">
        <v>8529</v>
      </c>
      <c r="C38" s="313" t="s">
        <v>165</v>
      </c>
      <c r="D38" s="336">
        <v>16029</v>
      </c>
      <c r="E38" s="337">
        <v>45901</v>
      </c>
      <c r="F38" s="337">
        <v>45930</v>
      </c>
      <c r="G38" s="338" t="s">
        <v>2896</v>
      </c>
      <c r="H38" s="346" t="s">
        <v>11</v>
      </c>
      <c r="I38" s="340">
        <v>0.01</v>
      </c>
      <c r="J38" s="347">
        <v>5.0000000000000001E-3</v>
      </c>
      <c r="K38" s="292"/>
      <c r="L38" s="289"/>
      <c r="M38" s="284"/>
      <c r="N38" s="284"/>
      <c r="O38" s="345">
        <v>1763627</v>
      </c>
      <c r="P38" s="337" t="s">
        <v>2874</v>
      </c>
      <c r="Q38" s="348"/>
      <c r="R38" s="343" t="b">
        <v>1</v>
      </c>
    </row>
    <row r="39" spans="1:18" s="344" customFormat="1" hidden="1">
      <c r="A39" s="345" t="s">
        <v>58</v>
      </c>
      <c r="B39" s="336">
        <v>8507</v>
      </c>
      <c r="C39" s="305" t="s">
        <v>165</v>
      </c>
      <c r="D39" s="336">
        <v>16029</v>
      </c>
      <c r="E39" s="337">
        <v>45901</v>
      </c>
      <c r="F39" s="337">
        <v>45930</v>
      </c>
      <c r="G39" s="338" t="s">
        <v>2897</v>
      </c>
      <c r="H39" s="346" t="s">
        <v>11</v>
      </c>
      <c r="I39" s="340">
        <v>0.01</v>
      </c>
      <c r="J39" s="347">
        <v>1.4999999999999999E-2</v>
      </c>
      <c r="K39" s="292"/>
      <c r="L39" s="289"/>
      <c r="M39" s="284"/>
      <c r="N39" s="284"/>
      <c r="O39" s="345">
        <v>1763627</v>
      </c>
      <c r="P39" s="337" t="s">
        <v>2874</v>
      </c>
      <c r="Q39" s="348"/>
      <c r="R39" s="343" t="b">
        <v>1</v>
      </c>
    </row>
    <row r="40" spans="1:18" s="344" customFormat="1" ht="60" hidden="1">
      <c r="A40" s="345" t="s">
        <v>59</v>
      </c>
      <c r="B40" s="336">
        <v>8528</v>
      </c>
      <c r="C40" s="313" t="s">
        <v>165</v>
      </c>
      <c r="D40" s="336">
        <v>16029</v>
      </c>
      <c r="E40" s="337">
        <v>45901</v>
      </c>
      <c r="F40" s="337">
        <v>45930</v>
      </c>
      <c r="G40" s="338" t="s">
        <v>2898</v>
      </c>
      <c r="H40" s="346" t="s">
        <v>11</v>
      </c>
      <c r="I40" s="340">
        <v>0.01</v>
      </c>
      <c r="J40" s="347" t="s">
        <v>2893</v>
      </c>
      <c r="K40" s="292"/>
      <c r="L40" s="289"/>
      <c r="M40" s="284"/>
      <c r="N40" s="284"/>
      <c r="O40" s="345">
        <v>1763627</v>
      </c>
      <c r="P40" s="337" t="s">
        <v>2874</v>
      </c>
      <c r="Q40" s="348"/>
      <c r="R40" s="343" t="b">
        <v>1</v>
      </c>
    </row>
    <row r="41" spans="1:18" hidden="1">
      <c r="A41" s="293" t="s">
        <v>59</v>
      </c>
      <c r="B41" s="284">
        <v>8498</v>
      </c>
      <c r="C41" s="305" t="s">
        <v>165</v>
      </c>
      <c r="D41" s="284">
        <v>16029</v>
      </c>
      <c r="E41" s="286">
        <v>45901</v>
      </c>
      <c r="F41" s="286">
        <v>45930</v>
      </c>
      <c r="G41" s="291" t="s">
        <v>2899</v>
      </c>
      <c r="H41" s="295" t="s">
        <v>11</v>
      </c>
      <c r="I41" s="285">
        <v>0.01</v>
      </c>
      <c r="J41" s="296">
        <v>7.4999999999999997E-3</v>
      </c>
      <c r="K41" s="292"/>
      <c r="L41" s="289"/>
      <c r="M41" s="284"/>
      <c r="N41" s="284"/>
      <c r="O41" s="293">
        <v>1763627</v>
      </c>
      <c r="P41" s="286" t="s">
        <v>2874</v>
      </c>
      <c r="Q41" s="294"/>
      <c r="R41" s="317" t="b">
        <v>1</v>
      </c>
    </row>
    <row r="42" spans="1:18" hidden="1">
      <c r="A42" s="293" t="s">
        <v>59</v>
      </c>
      <c r="B42" s="284">
        <v>8499</v>
      </c>
      <c r="C42" s="305" t="s">
        <v>165</v>
      </c>
      <c r="D42" s="284">
        <v>17514</v>
      </c>
      <c r="E42" s="286">
        <v>45901</v>
      </c>
      <c r="F42" s="286">
        <v>45930</v>
      </c>
      <c r="G42" s="291" t="s">
        <v>2895</v>
      </c>
      <c r="H42" s="295" t="s">
        <v>11</v>
      </c>
      <c r="I42" s="285">
        <v>0.01</v>
      </c>
      <c r="J42" s="296">
        <v>7.4999999999999997E-3</v>
      </c>
      <c r="K42" s="292"/>
      <c r="L42" s="289"/>
      <c r="M42" s="284"/>
      <c r="N42" s="284"/>
      <c r="O42" s="293">
        <v>1763627</v>
      </c>
      <c r="P42" s="286" t="s">
        <v>2874</v>
      </c>
      <c r="Q42" s="294"/>
      <c r="R42" s="317" t="b">
        <v>1</v>
      </c>
    </row>
    <row r="43" spans="1:18" hidden="1">
      <c r="A43" s="293" t="s">
        <v>59</v>
      </c>
      <c r="B43" s="284">
        <v>8496</v>
      </c>
      <c r="C43" s="305" t="s">
        <v>165</v>
      </c>
      <c r="D43" s="284">
        <v>17711</v>
      </c>
      <c r="E43" s="286">
        <v>45901</v>
      </c>
      <c r="F43" s="286">
        <v>45930</v>
      </c>
      <c r="G43" s="291" t="s">
        <v>76</v>
      </c>
      <c r="H43" s="295" t="s">
        <v>11</v>
      </c>
      <c r="I43" s="285">
        <v>10000</v>
      </c>
      <c r="J43" s="296">
        <v>7.4999999999999997E-3</v>
      </c>
      <c r="K43" s="292"/>
      <c r="L43" s="289"/>
      <c r="M43" s="284"/>
      <c r="N43" s="284"/>
      <c r="O43" s="293">
        <v>1763628</v>
      </c>
      <c r="P43" s="286" t="s">
        <v>2873</v>
      </c>
      <c r="Q43" s="294"/>
      <c r="R43" s="317" t="b">
        <v>1</v>
      </c>
    </row>
    <row r="44" spans="1:18" hidden="1">
      <c r="A44" s="293" t="s">
        <v>59</v>
      </c>
      <c r="B44" s="284">
        <v>8495</v>
      </c>
      <c r="C44" s="305" t="s">
        <v>165</v>
      </c>
      <c r="D44" s="284">
        <v>16474</v>
      </c>
      <c r="E44" s="286">
        <v>45901</v>
      </c>
      <c r="F44" s="286">
        <v>45930</v>
      </c>
      <c r="G44" s="291" t="s">
        <v>76</v>
      </c>
      <c r="H44" s="295" t="s">
        <v>11</v>
      </c>
      <c r="I44" s="285">
        <v>0.01</v>
      </c>
      <c r="J44" s="296">
        <v>5.0000000000000001E-3</v>
      </c>
      <c r="K44" s="292"/>
      <c r="L44" s="289"/>
      <c r="M44" s="284"/>
      <c r="N44" s="284"/>
      <c r="O44" s="293">
        <v>1763639</v>
      </c>
      <c r="P44" s="286" t="s">
        <v>2872</v>
      </c>
      <c r="Q44" s="294"/>
      <c r="R44" s="317" t="b">
        <v>1</v>
      </c>
    </row>
    <row r="45" spans="1:18">
      <c r="A45" s="293" t="s">
        <v>58</v>
      </c>
      <c r="B45" s="284">
        <v>8558</v>
      </c>
      <c r="C45" s="305" t="s">
        <v>165</v>
      </c>
      <c r="D45" s="284" t="s">
        <v>2956</v>
      </c>
      <c r="E45" s="286">
        <v>45901</v>
      </c>
      <c r="F45" s="286">
        <v>45930</v>
      </c>
      <c r="G45" s="291" t="s">
        <v>2990</v>
      </c>
      <c r="H45" s="295" t="s">
        <v>11</v>
      </c>
      <c r="I45" s="285">
        <v>10000</v>
      </c>
      <c r="J45" s="296">
        <v>1.6E-2</v>
      </c>
      <c r="K45" s="292"/>
      <c r="L45" s="289"/>
      <c r="M45" s="284"/>
      <c r="N45" s="284"/>
      <c r="O45" s="293">
        <v>1763651</v>
      </c>
      <c r="P45" s="286" t="s">
        <v>2940</v>
      </c>
      <c r="Q45" s="294"/>
      <c r="R45" s="317" t="b">
        <v>0</v>
      </c>
    </row>
    <row r="46" spans="1:18">
      <c r="A46" s="293" t="s">
        <v>58</v>
      </c>
      <c r="B46" s="284">
        <v>8557</v>
      </c>
      <c r="C46" s="305" t="s">
        <v>165</v>
      </c>
      <c r="D46" s="284" t="s">
        <v>2955</v>
      </c>
      <c r="E46" s="286">
        <v>45901</v>
      </c>
      <c r="F46" s="286">
        <v>45930</v>
      </c>
      <c r="G46" s="291" t="s">
        <v>2989</v>
      </c>
      <c r="H46" s="295" t="s">
        <v>11</v>
      </c>
      <c r="I46" s="285">
        <v>10000</v>
      </c>
      <c r="J46" s="296">
        <v>0.04</v>
      </c>
      <c r="K46" s="292"/>
      <c r="L46" s="289"/>
      <c r="M46" s="284"/>
      <c r="N46" s="284"/>
      <c r="O46" s="293">
        <v>1763667</v>
      </c>
      <c r="P46" s="286" t="s">
        <v>2939</v>
      </c>
      <c r="Q46" s="294"/>
      <c r="R46" s="317" t="b">
        <v>0</v>
      </c>
    </row>
    <row r="47" spans="1:18" hidden="1">
      <c r="A47" s="293" t="s">
        <v>59</v>
      </c>
      <c r="B47" s="284">
        <v>8556</v>
      </c>
      <c r="C47" s="305" t="s">
        <v>165</v>
      </c>
      <c r="D47" s="284" t="s">
        <v>2954</v>
      </c>
      <c r="E47" s="286">
        <v>45901</v>
      </c>
      <c r="F47" s="286">
        <v>45930</v>
      </c>
      <c r="G47" s="291" t="s">
        <v>2988</v>
      </c>
      <c r="H47" s="295" t="s">
        <v>11</v>
      </c>
      <c r="I47" s="285">
        <v>10000</v>
      </c>
      <c r="J47" s="296">
        <v>7.0000000000000001E-3</v>
      </c>
      <c r="K47" s="292"/>
      <c r="L47" s="289"/>
      <c r="M47" s="284"/>
      <c r="N47" s="284"/>
      <c r="O47" s="293">
        <v>1763671</v>
      </c>
      <c r="P47" s="286" t="s">
        <v>2938</v>
      </c>
      <c r="Q47" s="294"/>
      <c r="R47" s="317" t="b">
        <v>1</v>
      </c>
    </row>
    <row r="48" spans="1:18" hidden="1">
      <c r="A48" s="293" t="s">
        <v>59</v>
      </c>
      <c r="B48" s="284">
        <v>8555</v>
      </c>
      <c r="C48" s="305" t="s">
        <v>165</v>
      </c>
      <c r="D48" s="284" t="s">
        <v>2953</v>
      </c>
      <c r="E48" s="286">
        <v>45901</v>
      </c>
      <c r="F48" s="286">
        <v>45930</v>
      </c>
      <c r="G48" s="291" t="s">
        <v>76</v>
      </c>
      <c r="H48" s="295" t="s">
        <v>11</v>
      </c>
      <c r="I48" s="285">
        <v>0.01</v>
      </c>
      <c r="J48" s="296">
        <v>4.4999999999999997E-3</v>
      </c>
      <c r="K48" s="292"/>
      <c r="L48" s="289"/>
      <c r="M48" s="284"/>
      <c r="N48" s="284"/>
      <c r="O48" s="293">
        <v>1763679</v>
      </c>
      <c r="P48" s="286" t="s">
        <v>2937</v>
      </c>
      <c r="Q48" s="294"/>
      <c r="R48" s="317" t="b">
        <v>1</v>
      </c>
    </row>
    <row r="49" spans="1:18" hidden="1">
      <c r="A49" s="293" t="s">
        <v>59</v>
      </c>
      <c r="B49" s="284">
        <v>8554</v>
      </c>
      <c r="C49" s="305" t="s">
        <v>165</v>
      </c>
      <c r="D49" s="284" t="s">
        <v>2952</v>
      </c>
      <c r="E49" s="286">
        <v>45901</v>
      </c>
      <c r="F49" s="286">
        <v>45930</v>
      </c>
      <c r="G49" s="291" t="s">
        <v>76</v>
      </c>
      <c r="H49" s="295" t="s">
        <v>11</v>
      </c>
      <c r="I49" s="285">
        <v>0.01</v>
      </c>
      <c r="J49" s="296">
        <v>6.0000000000000001E-3</v>
      </c>
      <c r="K49" s="292"/>
      <c r="L49" s="289"/>
      <c r="M49" s="284"/>
      <c r="N49" s="284"/>
      <c r="O49" s="293">
        <v>1763690</v>
      </c>
      <c r="P49" s="286" t="s">
        <v>2936</v>
      </c>
      <c r="Q49" s="294">
        <v>17918</v>
      </c>
      <c r="R49" s="317" t="b">
        <v>1</v>
      </c>
    </row>
    <row r="50" spans="1:18">
      <c r="A50" s="293" t="s">
        <v>58</v>
      </c>
      <c r="B50" s="284">
        <v>8553</v>
      </c>
      <c r="C50" s="305" t="s">
        <v>165</v>
      </c>
      <c r="D50" s="284" t="s">
        <v>2951</v>
      </c>
      <c r="E50" s="286">
        <v>45901</v>
      </c>
      <c r="F50" s="286">
        <v>45930</v>
      </c>
      <c r="G50" s="291" t="s">
        <v>2987</v>
      </c>
      <c r="H50" s="295" t="s">
        <v>11</v>
      </c>
      <c r="I50" s="285">
        <v>0.01</v>
      </c>
      <c r="J50" s="296">
        <v>5.0000000000000001E-3</v>
      </c>
      <c r="K50" s="292"/>
      <c r="L50" s="289"/>
      <c r="M50" s="284"/>
      <c r="N50" s="284"/>
      <c r="O50" s="293">
        <v>1763699</v>
      </c>
      <c r="P50" s="286" t="s">
        <v>2935</v>
      </c>
      <c r="Q50" s="294"/>
      <c r="R50" s="317" t="b">
        <v>0</v>
      </c>
    </row>
    <row r="51" spans="1:18">
      <c r="A51" s="293" t="s">
        <v>58</v>
      </c>
      <c r="B51" s="284">
        <v>8552</v>
      </c>
      <c r="C51" s="305" t="s">
        <v>165</v>
      </c>
      <c r="D51" s="284" t="s">
        <v>2950</v>
      </c>
      <c r="E51" s="286">
        <v>45901</v>
      </c>
      <c r="F51" s="286">
        <v>45930</v>
      </c>
      <c r="G51" s="291" t="s">
        <v>2986</v>
      </c>
      <c r="H51" s="295" t="s">
        <v>11</v>
      </c>
      <c r="I51" s="285">
        <v>50000</v>
      </c>
      <c r="J51" s="296">
        <v>5.0000000000000001E-3</v>
      </c>
      <c r="K51" s="292"/>
      <c r="L51" s="289"/>
      <c r="M51" s="284"/>
      <c r="N51" s="284"/>
      <c r="O51" s="293">
        <v>1763700</v>
      </c>
      <c r="P51" s="286" t="s">
        <v>2934</v>
      </c>
      <c r="Q51" s="294"/>
      <c r="R51" s="317" t="b">
        <v>0</v>
      </c>
    </row>
    <row r="52" spans="1:18">
      <c r="A52" s="293" t="s">
        <v>58</v>
      </c>
      <c r="B52" s="284">
        <v>8551</v>
      </c>
      <c r="C52" s="305" t="s">
        <v>165</v>
      </c>
      <c r="D52" s="284" t="s">
        <v>2949</v>
      </c>
      <c r="E52" s="286">
        <v>45901</v>
      </c>
      <c r="F52" s="286">
        <v>45930</v>
      </c>
      <c r="G52" s="291" t="s">
        <v>2985</v>
      </c>
      <c r="H52" s="295" t="s">
        <v>11</v>
      </c>
      <c r="I52" s="285">
        <v>1000</v>
      </c>
      <c r="J52" s="319">
        <v>1.4999999999999999E-2</v>
      </c>
      <c r="K52" s="292"/>
      <c r="L52" s="289"/>
      <c r="M52" s="284"/>
      <c r="N52" s="284"/>
      <c r="O52" s="293">
        <v>1763723</v>
      </c>
      <c r="P52" s="286" t="s">
        <v>2933</v>
      </c>
      <c r="Q52" s="294"/>
      <c r="R52" s="317" t="b">
        <v>0</v>
      </c>
    </row>
    <row r="53" spans="1:18">
      <c r="A53" s="293" t="s">
        <v>58</v>
      </c>
      <c r="B53" s="284">
        <v>8550</v>
      </c>
      <c r="C53" s="305" t="s">
        <v>165</v>
      </c>
      <c r="D53" s="284" t="s">
        <v>2949</v>
      </c>
      <c r="E53" s="286">
        <v>45901</v>
      </c>
      <c r="F53" s="286">
        <v>45930</v>
      </c>
      <c r="G53" s="291" t="s">
        <v>2993</v>
      </c>
      <c r="H53" s="295" t="s">
        <v>11</v>
      </c>
      <c r="I53" s="285">
        <v>1000</v>
      </c>
      <c r="J53" s="296">
        <v>2.5000000000000001E-3</v>
      </c>
      <c r="K53" s="292"/>
      <c r="L53" s="289"/>
      <c r="M53" s="284"/>
      <c r="N53" s="284"/>
      <c r="O53" s="293">
        <v>1763864</v>
      </c>
      <c r="P53" s="286" t="s">
        <v>2932</v>
      </c>
      <c r="Q53" s="294"/>
      <c r="R53" s="317" t="b">
        <v>0</v>
      </c>
    </row>
    <row r="54" spans="1:18">
      <c r="A54" s="293" t="s">
        <v>58</v>
      </c>
      <c r="B54" s="284">
        <v>8549</v>
      </c>
      <c r="C54" s="305" t="s">
        <v>165</v>
      </c>
      <c r="D54" s="284" t="s">
        <v>2948</v>
      </c>
      <c r="E54" s="286">
        <v>45901</v>
      </c>
      <c r="F54" s="286">
        <v>45930</v>
      </c>
      <c r="G54" s="291" t="s">
        <v>2984</v>
      </c>
      <c r="H54" s="295" t="s">
        <v>11</v>
      </c>
      <c r="I54" s="285">
        <v>500000</v>
      </c>
      <c r="J54" s="296">
        <v>6.0000000000000001E-3</v>
      </c>
      <c r="K54" s="292"/>
      <c r="L54" s="289"/>
      <c r="M54" s="284"/>
      <c r="N54" s="284"/>
      <c r="O54" s="293">
        <v>1763996</v>
      </c>
      <c r="P54" s="286" t="s">
        <v>2931</v>
      </c>
      <c r="Q54" s="294"/>
      <c r="R54" s="317" t="b">
        <v>0</v>
      </c>
    </row>
    <row r="55" spans="1:18" hidden="1">
      <c r="A55" s="293" t="s">
        <v>59</v>
      </c>
      <c r="B55" s="284">
        <v>8548</v>
      </c>
      <c r="C55" s="305" t="s">
        <v>165</v>
      </c>
      <c r="D55" s="284" t="s">
        <v>1429</v>
      </c>
      <c r="E55" s="286">
        <v>45901</v>
      </c>
      <c r="F55" s="286">
        <v>45930</v>
      </c>
      <c r="G55" s="291" t="s">
        <v>76</v>
      </c>
      <c r="H55" s="295" t="s">
        <v>11</v>
      </c>
      <c r="I55" s="316">
        <v>250000</v>
      </c>
      <c r="J55" s="319">
        <v>5.0000000000000001E-3</v>
      </c>
      <c r="K55" s="292"/>
      <c r="L55" s="289"/>
      <c r="M55" s="284"/>
      <c r="N55" s="284"/>
      <c r="O55" s="293">
        <v>1764459</v>
      </c>
      <c r="P55" s="286" t="s">
        <v>2930</v>
      </c>
      <c r="Q55" s="294" t="s">
        <v>2983</v>
      </c>
      <c r="R55" s="317" t="b">
        <v>1</v>
      </c>
    </row>
    <row r="56" spans="1:18">
      <c r="A56" s="293" t="s">
        <v>58</v>
      </c>
      <c r="B56" s="284">
        <v>8547</v>
      </c>
      <c r="C56" s="305" t="s">
        <v>165</v>
      </c>
      <c r="D56" s="284" t="s">
        <v>1429</v>
      </c>
      <c r="E56" s="286">
        <v>45901</v>
      </c>
      <c r="F56" s="286">
        <v>45930</v>
      </c>
      <c r="G56" s="291" t="s">
        <v>2982</v>
      </c>
      <c r="H56" s="295" t="s">
        <v>11</v>
      </c>
      <c r="I56" s="285">
        <v>20000</v>
      </c>
      <c r="J56" s="296">
        <v>0.01</v>
      </c>
      <c r="K56" s="292"/>
      <c r="L56" s="289"/>
      <c r="M56" s="284"/>
      <c r="N56" s="284"/>
      <c r="O56" s="293">
        <v>1764463</v>
      </c>
      <c r="P56" s="286" t="s">
        <v>2929</v>
      </c>
      <c r="Q56" s="294" t="s">
        <v>2981</v>
      </c>
      <c r="R56" s="317" t="b">
        <v>0</v>
      </c>
    </row>
    <row r="57" spans="1:18" hidden="1">
      <c r="A57" s="293" t="s">
        <v>59</v>
      </c>
      <c r="B57" s="284">
        <v>8546</v>
      </c>
      <c r="C57" s="305" t="s">
        <v>165</v>
      </c>
      <c r="D57" s="284" t="s">
        <v>2947</v>
      </c>
      <c r="E57" s="286">
        <v>45901</v>
      </c>
      <c r="F57" s="286">
        <v>45930</v>
      </c>
      <c r="G57" s="291" t="s">
        <v>2980</v>
      </c>
      <c r="H57" s="295" t="s">
        <v>11</v>
      </c>
      <c r="I57" s="285">
        <v>0.01</v>
      </c>
      <c r="J57" s="319">
        <v>1.4999999999999999E-2</v>
      </c>
      <c r="K57" s="292"/>
      <c r="L57" s="289"/>
      <c r="M57" s="284"/>
      <c r="N57" s="284"/>
      <c r="O57" s="293">
        <v>1764465</v>
      </c>
      <c r="P57" s="286" t="s">
        <v>2928</v>
      </c>
      <c r="Q57" s="294"/>
      <c r="R57" s="317" t="b">
        <v>1</v>
      </c>
    </row>
    <row r="58" spans="1:18">
      <c r="A58" s="293" t="s">
        <v>58</v>
      </c>
      <c r="B58" s="284">
        <v>8545</v>
      </c>
      <c r="C58" s="305" t="s">
        <v>165</v>
      </c>
      <c r="D58" s="284" t="s">
        <v>2978</v>
      </c>
      <c r="E58" s="286">
        <v>45901</v>
      </c>
      <c r="F58" s="286">
        <v>45930</v>
      </c>
      <c r="G58" s="291" t="s">
        <v>2979</v>
      </c>
      <c r="H58" s="295" t="s">
        <v>11</v>
      </c>
      <c r="I58" s="316">
        <v>100000</v>
      </c>
      <c r="J58" s="296">
        <v>1.4999999999999999E-2</v>
      </c>
      <c r="K58" s="292"/>
      <c r="L58" s="289"/>
      <c r="M58" s="284"/>
      <c r="N58" s="284"/>
      <c r="O58" s="293">
        <v>1764491</v>
      </c>
      <c r="P58" s="286" t="s">
        <v>2927</v>
      </c>
      <c r="Q58" s="294"/>
      <c r="R58" s="317" t="b">
        <v>0</v>
      </c>
    </row>
    <row r="59" spans="1:18">
      <c r="A59" s="293" t="s">
        <v>58</v>
      </c>
      <c r="B59" s="284">
        <v>8544</v>
      </c>
      <c r="C59" s="305" t="s">
        <v>165</v>
      </c>
      <c r="D59" s="284" t="s">
        <v>2946</v>
      </c>
      <c r="E59" s="286">
        <v>45901</v>
      </c>
      <c r="F59" s="286">
        <v>45930</v>
      </c>
      <c r="G59" s="291" t="s">
        <v>2977</v>
      </c>
      <c r="H59" s="295" t="s">
        <v>11</v>
      </c>
      <c r="I59" s="285">
        <v>1000</v>
      </c>
      <c r="J59" s="296">
        <v>1.4999999999999999E-2</v>
      </c>
      <c r="K59" s="292"/>
      <c r="L59" s="289"/>
      <c r="M59" s="284"/>
      <c r="N59" s="284"/>
      <c r="O59" s="293">
        <v>1764579</v>
      </c>
      <c r="P59" s="286" t="s">
        <v>2926</v>
      </c>
      <c r="Q59" s="294"/>
      <c r="R59" s="317" t="b">
        <v>0</v>
      </c>
    </row>
    <row r="60" spans="1:18">
      <c r="A60" s="293" t="s">
        <v>58</v>
      </c>
      <c r="B60" s="284">
        <v>8543</v>
      </c>
      <c r="C60" s="305" t="s">
        <v>165</v>
      </c>
      <c r="D60" s="284" t="s">
        <v>2945</v>
      </c>
      <c r="E60" s="286">
        <v>45901</v>
      </c>
      <c r="F60" s="286">
        <v>45930</v>
      </c>
      <c r="G60" s="291" t="s">
        <v>2977</v>
      </c>
      <c r="H60" s="295" t="s">
        <v>11</v>
      </c>
      <c r="I60" s="285">
        <v>1000</v>
      </c>
      <c r="J60" s="296">
        <v>1.4999999999999999E-2</v>
      </c>
      <c r="K60" s="292"/>
      <c r="L60" s="289"/>
      <c r="M60" s="284"/>
      <c r="N60" s="284"/>
      <c r="O60" s="293">
        <v>1764582</v>
      </c>
      <c r="P60" s="286" t="s">
        <v>2925</v>
      </c>
      <c r="Q60" s="294"/>
      <c r="R60" s="317" t="b">
        <v>0</v>
      </c>
    </row>
    <row r="61" spans="1:18">
      <c r="A61" s="293" t="s">
        <v>58</v>
      </c>
      <c r="B61" s="284">
        <v>8542</v>
      </c>
      <c r="C61" s="305" t="s">
        <v>165</v>
      </c>
      <c r="D61" s="284" t="s">
        <v>2944</v>
      </c>
      <c r="E61" s="286">
        <v>45901</v>
      </c>
      <c r="F61" s="286">
        <v>45930</v>
      </c>
      <c r="G61" s="291" t="s">
        <v>2977</v>
      </c>
      <c r="H61" s="295" t="s">
        <v>11</v>
      </c>
      <c r="I61" s="285">
        <v>1000</v>
      </c>
      <c r="J61" s="296">
        <v>1.0999999999999999E-2</v>
      </c>
      <c r="K61" s="292"/>
      <c r="L61" s="289"/>
      <c r="M61" s="284"/>
      <c r="N61" s="284"/>
      <c r="O61" s="293">
        <v>1764590</v>
      </c>
      <c r="P61" s="286" t="s">
        <v>2924</v>
      </c>
      <c r="Q61" s="294"/>
      <c r="R61" s="317" t="b">
        <v>0</v>
      </c>
    </row>
    <row r="62" spans="1:18" hidden="1">
      <c r="A62" s="293" t="s">
        <v>59</v>
      </c>
      <c r="B62" s="284">
        <v>8541</v>
      </c>
      <c r="C62" s="305" t="s">
        <v>165</v>
      </c>
      <c r="D62" s="284" t="s">
        <v>2943</v>
      </c>
      <c r="E62" s="286">
        <v>45901</v>
      </c>
      <c r="F62" s="286">
        <v>45930</v>
      </c>
      <c r="G62" s="291" t="s">
        <v>76</v>
      </c>
      <c r="H62" s="295" t="s">
        <v>11</v>
      </c>
      <c r="I62" s="285">
        <v>0.01</v>
      </c>
      <c r="J62" s="296">
        <v>2.5000000000000001E-3</v>
      </c>
      <c r="K62" s="292"/>
      <c r="L62" s="289"/>
      <c r="M62" s="284"/>
      <c r="N62" s="284"/>
      <c r="O62" s="293">
        <v>1764602</v>
      </c>
      <c r="P62" s="286" t="s">
        <v>2923</v>
      </c>
      <c r="Q62" s="294"/>
      <c r="R62" s="317" t="b">
        <v>1</v>
      </c>
    </row>
    <row r="63" spans="1:18">
      <c r="A63" s="293" t="s">
        <v>58</v>
      </c>
      <c r="B63" s="284">
        <v>8539</v>
      </c>
      <c r="C63" s="305" t="s">
        <v>165</v>
      </c>
      <c r="D63" s="284" t="s">
        <v>2942</v>
      </c>
      <c r="E63" s="286">
        <v>45901</v>
      </c>
      <c r="F63" s="286">
        <v>45930</v>
      </c>
      <c r="G63" s="291" t="s">
        <v>2976</v>
      </c>
      <c r="H63" s="295" t="s">
        <v>11</v>
      </c>
      <c r="I63" s="285">
        <v>0.01</v>
      </c>
      <c r="J63" s="296">
        <v>0.01</v>
      </c>
      <c r="K63" s="292"/>
      <c r="L63" s="289"/>
      <c r="M63" s="284"/>
      <c r="N63" s="284"/>
      <c r="O63" s="293">
        <v>1764918</v>
      </c>
      <c r="P63" s="286" t="s">
        <v>2922</v>
      </c>
      <c r="Q63" s="294"/>
      <c r="R63" s="317" t="b">
        <v>0</v>
      </c>
    </row>
    <row r="64" spans="1:18">
      <c r="A64" s="293" t="s">
        <v>58</v>
      </c>
      <c r="B64" s="284">
        <v>8540</v>
      </c>
      <c r="C64" s="305" t="s">
        <v>165</v>
      </c>
      <c r="D64" s="284" t="s">
        <v>2942</v>
      </c>
      <c r="E64" s="286">
        <v>45901</v>
      </c>
      <c r="F64" s="286">
        <v>45930</v>
      </c>
      <c r="G64" s="291" t="s">
        <v>1616</v>
      </c>
      <c r="H64" s="295" t="s">
        <v>11</v>
      </c>
      <c r="I64" s="285">
        <v>0.01</v>
      </c>
      <c r="J64" s="296">
        <v>0.03</v>
      </c>
      <c r="K64" s="292"/>
      <c r="L64" s="289"/>
      <c r="M64" s="284"/>
      <c r="N64" s="284"/>
      <c r="O64" s="293">
        <v>1764918</v>
      </c>
      <c r="P64" s="286" t="s">
        <v>2922</v>
      </c>
      <c r="Q64" s="294"/>
      <c r="R64" s="317" t="b">
        <v>0</v>
      </c>
    </row>
    <row r="65" spans="1:18">
      <c r="A65" s="293" t="s">
        <v>58</v>
      </c>
      <c r="B65" s="305" t="s">
        <v>2991</v>
      </c>
      <c r="C65" s="305" t="s">
        <v>165</v>
      </c>
      <c r="D65" s="284" t="s">
        <v>2941</v>
      </c>
      <c r="E65" s="286">
        <v>45901</v>
      </c>
      <c r="F65" s="286">
        <v>45930</v>
      </c>
      <c r="G65" s="291" t="s">
        <v>2206</v>
      </c>
      <c r="H65" s="295" t="s">
        <v>11</v>
      </c>
      <c r="I65" s="285">
        <v>0.01</v>
      </c>
      <c r="J65" s="296">
        <v>0.01</v>
      </c>
      <c r="K65" s="292"/>
      <c r="L65" s="289"/>
      <c r="M65" s="284"/>
      <c r="N65" s="284"/>
      <c r="O65" s="293">
        <v>1764924</v>
      </c>
      <c r="P65" s="286" t="s">
        <v>2921</v>
      </c>
      <c r="Q65" s="294"/>
      <c r="R65" s="317" t="b">
        <v>0</v>
      </c>
    </row>
    <row r="66" spans="1:18">
      <c r="A66" s="293" t="s">
        <v>58</v>
      </c>
      <c r="B66" s="305" t="s">
        <v>2992</v>
      </c>
      <c r="C66" s="305" t="s">
        <v>165</v>
      </c>
      <c r="D66" s="284" t="s">
        <v>2941</v>
      </c>
      <c r="E66" s="286">
        <v>45901</v>
      </c>
      <c r="F66" s="286">
        <v>45930</v>
      </c>
      <c r="G66" s="291" t="s">
        <v>2973</v>
      </c>
      <c r="H66" s="295" t="s">
        <v>11</v>
      </c>
      <c r="I66" s="285">
        <v>0.01</v>
      </c>
      <c r="J66" s="296">
        <v>5.0000000000000001E-3</v>
      </c>
      <c r="K66" s="292"/>
      <c r="L66" s="289"/>
      <c r="M66" s="284"/>
      <c r="N66" s="284"/>
      <c r="O66" s="293">
        <v>1764924</v>
      </c>
      <c r="P66" s="286" t="s">
        <v>2921</v>
      </c>
      <c r="Q66" s="294"/>
      <c r="R66" s="317" t="b">
        <v>0</v>
      </c>
    </row>
    <row r="67" spans="1:18">
      <c r="A67" s="293" t="s">
        <v>58</v>
      </c>
      <c r="B67" s="284">
        <v>8537</v>
      </c>
      <c r="C67" s="305" t="s">
        <v>165</v>
      </c>
      <c r="D67" s="284" t="s">
        <v>2941</v>
      </c>
      <c r="E67" s="286">
        <v>45901</v>
      </c>
      <c r="F67" s="286">
        <v>45930</v>
      </c>
      <c r="G67" s="291" t="s">
        <v>2974</v>
      </c>
      <c r="H67" s="295" t="s">
        <v>11</v>
      </c>
      <c r="I67" s="285">
        <v>0.01</v>
      </c>
      <c r="J67" s="296">
        <v>0.03</v>
      </c>
      <c r="K67" s="292"/>
      <c r="L67" s="289"/>
      <c r="M67" s="284"/>
      <c r="N67" s="284"/>
      <c r="O67" s="293">
        <v>1764924</v>
      </c>
      <c r="P67" s="286" t="s">
        <v>2921</v>
      </c>
      <c r="Q67" s="294"/>
      <c r="R67" s="317" t="b">
        <v>0</v>
      </c>
    </row>
    <row r="68" spans="1:18">
      <c r="A68" s="293" t="s">
        <v>58</v>
      </c>
      <c r="B68" s="284">
        <v>8538</v>
      </c>
      <c r="C68" s="305" t="s">
        <v>165</v>
      </c>
      <c r="D68" s="284" t="s">
        <v>2941</v>
      </c>
      <c r="E68" s="286">
        <v>45901</v>
      </c>
      <c r="F68" s="286">
        <v>45930</v>
      </c>
      <c r="G68" s="291" t="s">
        <v>2975</v>
      </c>
      <c r="H68" s="295" t="s">
        <v>11</v>
      </c>
      <c r="I68" s="285">
        <v>0.01</v>
      </c>
      <c r="J68" s="296">
        <v>5.0000000000000001E-3</v>
      </c>
      <c r="K68" s="292"/>
      <c r="L68" s="289"/>
      <c r="M68" s="284"/>
      <c r="N68" s="284"/>
      <c r="O68" s="293">
        <v>1764924</v>
      </c>
      <c r="P68" s="286" t="s">
        <v>2921</v>
      </c>
      <c r="Q68" s="294"/>
      <c r="R68" s="317" t="b">
        <v>0</v>
      </c>
    </row>
    <row r="69" spans="1:18" hidden="1">
      <c r="A69" s="293" t="s">
        <v>59</v>
      </c>
      <c r="B69" s="284">
        <v>8565</v>
      </c>
      <c r="C69" s="305" t="s">
        <v>165</v>
      </c>
      <c r="D69" s="284" t="s">
        <v>3032</v>
      </c>
      <c r="E69" s="286">
        <v>45901</v>
      </c>
      <c r="F69" s="286">
        <v>45930</v>
      </c>
      <c r="G69" s="291" t="s">
        <v>3054</v>
      </c>
      <c r="H69" s="295" t="s">
        <v>11</v>
      </c>
      <c r="I69" s="285">
        <v>0.01</v>
      </c>
      <c r="J69" s="296">
        <v>3.0000000000000001E-3</v>
      </c>
      <c r="K69" s="292"/>
      <c r="L69" s="289"/>
      <c r="M69" s="284"/>
      <c r="N69" s="284"/>
      <c r="O69" s="293">
        <v>1765242</v>
      </c>
      <c r="P69" s="286" t="s">
        <v>3013</v>
      </c>
      <c r="Q69" s="294"/>
      <c r="R69" s="317" t="b">
        <v>1</v>
      </c>
    </row>
    <row r="70" spans="1:18" hidden="1">
      <c r="A70" s="293" t="s">
        <v>58</v>
      </c>
      <c r="B70" s="284">
        <v>8587</v>
      </c>
      <c r="C70" s="305" t="s">
        <v>165</v>
      </c>
      <c r="D70" s="284" t="s">
        <v>3032</v>
      </c>
      <c r="E70" s="286">
        <v>45901</v>
      </c>
      <c r="F70" s="286">
        <v>45930</v>
      </c>
      <c r="G70" s="291" t="s">
        <v>3055</v>
      </c>
      <c r="H70" s="295" t="s">
        <v>11</v>
      </c>
      <c r="I70" s="285">
        <v>0.01</v>
      </c>
      <c r="J70" s="296">
        <v>2E-3</v>
      </c>
      <c r="K70" s="292"/>
      <c r="L70" s="289"/>
      <c r="M70" s="284"/>
      <c r="N70" s="284"/>
      <c r="O70" s="293">
        <v>1765242</v>
      </c>
      <c r="P70" s="286" t="s">
        <v>3013</v>
      </c>
      <c r="Q70" s="294"/>
      <c r="R70" s="317" t="b">
        <v>1</v>
      </c>
    </row>
    <row r="71" spans="1:18" ht="30">
      <c r="A71" s="293" t="s">
        <v>58</v>
      </c>
      <c r="B71" s="284">
        <v>8576</v>
      </c>
      <c r="C71" s="305" t="s">
        <v>165</v>
      </c>
      <c r="D71" s="284" t="s">
        <v>3031</v>
      </c>
      <c r="E71" s="286">
        <v>45901</v>
      </c>
      <c r="F71" s="286">
        <v>45930</v>
      </c>
      <c r="G71" s="291" t="s">
        <v>3048</v>
      </c>
      <c r="H71" s="295" t="s">
        <v>11</v>
      </c>
      <c r="I71" s="285">
        <v>0.01</v>
      </c>
      <c r="J71" s="296" t="s">
        <v>3053</v>
      </c>
      <c r="K71" s="292"/>
      <c r="L71" s="289"/>
      <c r="M71" s="284"/>
      <c r="N71" s="284"/>
      <c r="O71" s="293">
        <v>1765248</v>
      </c>
      <c r="P71" s="286" t="s">
        <v>3012</v>
      </c>
      <c r="Q71" s="294"/>
      <c r="R71" s="317" t="b">
        <v>0</v>
      </c>
    </row>
    <row r="72" spans="1:18">
      <c r="A72" s="293" t="s">
        <v>58</v>
      </c>
      <c r="B72" s="284">
        <v>8572</v>
      </c>
      <c r="C72" s="305" t="s">
        <v>165</v>
      </c>
      <c r="D72" s="284" t="s">
        <v>3031</v>
      </c>
      <c r="E72" s="286">
        <v>45901</v>
      </c>
      <c r="F72" s="286">
        <v>45930</v>
      </c>
      <c r="G72" s="291" t="s">
        <v>3049</v>
      </c>
      <c r="H72" s="295" t="s">
        <v>11</v>
      </c>
      <c r="I72" s="285">
        <v>0.01</v>
      </c>
      <c r="J72" s="296">
        <v>3.5000000000000003E-2</v>
      </c>
      <c r="K72" s="292"/>
      <c r="L72" s="289"/>
      <c r="M72" s="284"/>
      <c r="N72" s="284"/>
      <c r="O72" s="293">
        <v>1765248</v>
      </c>
      <c r="P72" s="286" t="s">
        <v>3012</v>
      </c>
      <c r="Q72" s="294"/>
      <c r="R72" s="317" t="b">
        <v>0</v>
      </c>
    </row>
    <row r="73" spans="1:18">
      <c r="A73" s="293" t="s">
        <v>58</v>
      </c>
      <c r="B73" s="284">
        <v>8575</v>
      </c>
      <c r="C73" s="305" t="s">
        <v>165</v>
      </c>
      <c r="D73" s="284" t="s">
        <v>3031</v>
      </c>
      <c r="E73" s="286">
        <v>45901</v>
      </c>
      <c r="F73" s="286">
        <v>45930</v>
      </c>
      <c r="G73" s="291" t="s">
        <v>3050</v>
      </c>
      <c r="H73" s="295" t="s">
        <v>11</v>
      </c>
      <c r="I73" s="285">
        <v>0.01</v>
      </c>
      <c r="J73" s="296">
        <v>0.01</v>
      </c>
      <c r="K73" s="292"/>
      <c r="L73" s="289"/>
      <c r="M73" s="284"/>
      <c r="N73" s="284"/>
      <c r="O73" s="293">
        <v>1765248</v>
      </c>
      <c r="P73" s="286" t="s">
        <v>3012</v>
      </c>
      <c r="Q73" s="294"/>
      <c r="R73" s="317" t="b">
        <v>0</v>
      </c>
    </row>
    <row r="74" spans="1:18">
      <c r="A74" s="293" t="s">
        <v>58</v>
      </c>
      <c r="B74" s="284">
        <v>8574</v>
      </c>
      <c r="C74" s="305" t="s">
        <v>165</v>
      </c>
      <c r="D74" s="284" t="s">
        <v>3031</v>
      </c>
      <c r="E74" s="286">
        <v>45901</v>
      </c>
      <c r="F74" s="286">
        <v>45930</v>
      </c>
      <c r="G74" s="291" t="s">
        <v>3051</v>
      </c>
      <c r="H74" s="295" t="s">
        <v>11</v>
      </c>
      <c r="I74" s="285">
        <v>0.01</v>
      </c>
      <c r="J74" s="296">
        <v>7.4999999999999997E-3</v>
      </c>
      <c r="K74" s="292"/>
      <c r="L74" s="289"/>
      <c r="M74" s="284"/>
      <c r="N74" s="284"/>
      <c r="O74" s="293">
        <v>1765248</v>
      </c>
      <c r="P74" s="286" t="s">
        <v>3012</v>
      </c>
      <c r="Q74" s="294"/>
      <c r="R74" s="317" t="b">
        <v>0</v>
      </c>
    </row>
    <row r="75" spans="1:18">
      <c r="A75" s="293" t="s">
        <v>58</v>
      </c>
      <c r="B75" s="284">
        <v>8573</v>
      </c>
      <c r="C75" s="305" t="s">
        <v>165</v>
      </c>
      <c r="D75" s="284" t="s">
        <v>3031</v>
      </c>
      <c r="E75" s="286">
        <v>45901</v>
      </c>
      <c r="F75" s="286">
        <v>45930</v>
      </c>
      <c r="G75" s="291" t="s">
        <v>3052</v>
      </c>
      <c r="H75" s="295" t="s">
        <v>11</v>
      </c>
      <c r="I75" s="285">
        <v>0.01</v>
      </c>
      <c r="J75" s="296">
        <v>2E-3</v>
      </c>
      <c r="K75" s="292"/>
      <c r="L75" s="289"/>
      <c r="M75" s="284"/>
      <c r="N75" s="284"/>
      <c r="O75" s="293">
        <v>1765248</v>
      </c>
      <c r="P75" s="286" t="s">
        <v>3012</v>
      </c>
      <c r="Q75" s="294"/>
      <c r="R75" s="317" t="b">
        <v>0</v>
      </c>
    </row>
    <row r="76" spans="1:18">
      <c r="A76" s="293" t="s">
        <v>58</v>
      </c>
      <c r="B76" s="284">
        <v>8577</v>
      </c>
      <c r="C76" s="305" t="s">
        <v>165</v>
      </c>
      <c r="D76" s="284" t="s">
        <v>3030</v>
      </c>
      <c r="E76" s="286">
        <v>45901</v>
      </c>
      <c r="F76" s="286">
        <v>45930</v>
      </c>
      <c r="G76" s="291" t="s">
        <v>3043</v>
      </c>
      <c r="H76" s="295" t="s">
        <v>11</v>
      </c>
      <c r="I76" s="285">
        <v>0.01</v>
      </c>
      <c r="J76" s="296">
        <v>5.0000000000000001E-3</v>
      </c>
      <c r="K76" s="292"/>
      <c r="L76" s="289"/>
      <c r="M76" s="284"/>
      <c r="N76" s="284"/>
      <c r="O76" s="293">
        <v>1765249</v>
      </c>
      <c r="P76" s="286" t="s">
        <v>3011</v>
      </c>
      <c r="Q76" s="294"/>
      <c r="R76" s="317" t="b">
        <v>0</v>
      </c>
    </row>
    <row r="77" spans="1:18">
      <c r="A77" s="293" t="s">
        <v>58</v>
      </c>
      <c r="B77" s="284">
        <v>8578</v>
      </c>
      <c r="C77" s="305" t="s">
        <v>165</v>
      </c>
      <c r="D77" s="284" t="s">
        <v>3029</v>
      </c>
      <c r="E77" s="286">
        <v>45901</v>
      </c>
      <c r="F77" s="286">
        <v>45930</v>
      </c>
      <c r="G77" s="291" t="s">
        <v>3042</v>
      </c>
      <c r="H77" s="295" t="s">
        <v>11</v>
      </c>
      <c r="I77" s="285">
        <v>0.01</v>
      </c>
      <c r="J77" s="296">
        <v>1.5E-3</v>
      </c>
      <c r="K77" s="292"/>
      <c r="L77" s="289"/>
      <c r="M77" s="284"/>
      <c r="N77" s="284"/>
      <c r="O77" s="293">
        <v>1765250</v>
      </c>
      <c r="P77" s="286" t="s">
        <v>3010</v>
      </c>
      <c r="Q77" s="294"/>
      <c r="R77" s="317" t="b">
        <v>0</v>
      </c>
    </row>
    <row r="78" spans="1:18">
      <c r="A78" s="293" t="s">
        <v>58</v>
      </c>
      <c r="B78" s="284">
        <v>8580</v>
      </c>
      <c r="C78" s="305" t="s">
        <v>165</v>
      </c>
      <c r="D78" s="284" t="s">
        <v>3028</v>
      </c>
      <c r="E78" s="286">
        <v>45901</v>
      </c>
      <c r="F78" s="286">
        <v>45930</v>
      </c>
      <c r="G78" s="291" t="s">
        <v>3045</v>
      </c>
      <c r="H78" s="295" t="s">
        <v>11</v>
      </c>
      <c r="I78" s="285">
        <v>0.01</v>
      </c>
      <c r="J78" s="296">
        <v>0.02</v>
      </c>
      <c r="K78" s="292"/>
      <c r="L78" s="289"/>
      <c r="M78" s="284"/>
      <c r="N78" s="284"/>
      <c r="O78" s="293">
        <v>1765845</v>
      </c>
      <c r="P78" s="286" t="s">
        <v>3009</v>
      </c>
      <c r="Q78" s="294"/>
      <c r="R78" s="317" t="b">
        <v>0</v>
      </c>
    </row>
    <row r="79" spans="1:18">
      <c r="A79" s="293" t="s">
        <v>58</v>
      </c>
      <c r="B79" s="284">
        <v>8571</v>
      </c>
      <c r="C79" s="305" t="s">
        <v>165</v>
      </c>
      <c r="D79" s="284" t="s">
        <v>3028</v>
      </c>
      <c r="E79" s="286">
        <v>45901</v>
      </c>
      <c r="F79" s="286">
        <v>45930</v>
      </c>
      <c r="G79" s="291" t="s">
        <v>3046</v>
      </c>
      <c r="H79" s="295" t="s">
        <v>11</v>
      </c>
      <c r="I79" s="285">
        <v>0.01</v>
      </c>
      <c r="J79" s="296">
        <v>0.04</v>
      </c>
      <c r="K79" s="292"/>
      <c r="L79" s="289"/>
      <c r="M79" s="284"/>
      <c r="N79" s="284"/>
      <c r="O79" s="293">
        <v>1765845</v>
      </c>
      <c r="P79" s="286" t="s">
        <v>3009</v>
      </c>
      <c r="Q79" s="294"/>
      <c r="R79" s="317" t="b">
        <v>0</v>
      </c>
    </row>
    <row r="80" spans="1:18">
      <c r="A80" s="293" t="s">
        <v>58</v>
      </c>
      <c r="B80" s="284">
        <v>8579</v>
      </c>
      <c r="C80" s="305" t="s">
        <v>165</v>
      </c>
      <c r="D80" s="284" t="s">
        <v>3028</v>
      </c>
      <c r="E80" s="286">
        <v>45901</v>
      </c>
      <c r="F80" s="286">
        <v>45930</v>
      </c>
      <c r="G80" s="291" t="s">
        <v>3047</v>
      </c>
      <c r="H80" s="295" t="s">
        <v>11</v>
      </c>
      <c r="I80" s="285">
        <v>0.01</v>
      </c>
      <c r="J80" s="296">
        <v>0.02</v>
      </c>
      <c r="K80" s="292"/>
      <c r="L80" s="289"/>
      <c r="M80" s="284"/>
      <c r="N80" s="284"/>
      <c r="O80" s="293">
        <v>1765845</v>
      </c>
      <c r="P80" s="286" t="s">
        <v>3009</v>
      </c>
      <c r="Q80" s="294"/>
      <c r="R80" s="317" t="b">
        <v>0</v>
      </c>
    </row>
    <row r="81" spans="1:18">
      <c r="A81" s="293" t="s">
        <v>58</v>
      </c>
      <c r="B81" s="284">
        <v>8564</v>
      </c>
      <c r="C81" s="305" t="s">
        <v>165</v>
      </c>
      <c r="D81" s="284" t="s">
        <v>3027</v>
      </c>
      <c r="E81" s="286">
        <v>45901</v>
      </c>
      <c r="F81" s="286">
        <v>45930</v>
      </c>
      <c r="G81" s="291" t="s">
        <v>232</v>
      </c>
      <c r="H81" s="295" t="s">
        <v>11</v>
      </c>
      <c r="I81" s="285">
        <v>0.01</v>
      </c>
      <c r="J81" s="296">
        <v>5.0000000000000001E-3</v>
      </c>
      <c r="K81" s="292"/>
      <c r="L81" s="289"/>
      <c r="M81" s="284"/>
      <c r="N81" s="284"/>
      <c r="O81" s="293">
        <v>1765852</v>
      </c>
      <c r="P81" s="286" t="s">
        <v>3008</v>
      </c>
      <c r="Q81" s="294"/>
      <c r="R81" s="317" t="b">
        <v>0</v>
      </c>
    </row>
    <row r="82" spans="1:18">
      <c r="A82" s="293" t="s">
        <v>58</v>
      </c>
      <c r="B82" s="284">
        <v>8570</v>
      </c>
      <c r="C82" s="305" t="s">
        <v>165</v>
      </c>
      <c r="D82" s="284" t="s">
        <v>3027</v>
      </c>
      <c r="E82" s="286">
        <v>45901</v>
      </c>
      <c r="F82" s="286">
        <v>45930</v>
      </c>
      <c r="G82" s="291" t="s">
        <v>3044</v>
      </c>
      <c r="H82" s="295" t="s">
        <v>11</v>
      </c>
      <c r="I82" s="285">
        <v>0.01</v>
      </c>
      <c r="J82" s="296">
        <v>0.01</v>
      </c>
      <c r="K82" s="292"/>
      <c r="L82" s="289"/>
      <c r="M82" s="284"/>
      <c r="N82" s="284"/>
      <c r="O82" s="293">
        <v>1765852</v>
      </c>
      <c r="P82" s="286" t="s">
        <v>3008</v>
      </c>
      <c r="Q82" s="294"/>
      <c r="R82" s="317" t="b">
        <v>0</v>
      </c>
    </row>
    <row r="83" spans="1:18">
      <c r="A83" s="293" t="s">
        <v>58</v>
      </c>
      <c r="B83" s="284">
        <v>8569</v>
      </c>
      <c r="C83" s="305" t="s">
        <v>165</v>
      </c>
      <c r="D83" s="284" t="s">
        <v>3026</v>
      </c>
      <c r="E83" s="286">
        <v>45901</v>
      </c>
      <c r="F83" s="286">
        <v>45930</v>
      </c>
      <c r="G83" s="291" t="s">
        <v>3041</v>
      </c>
      <c r="H83" s="295" t="s">
        <v>11</v>
      </c>
      <c r="I83" s="285">
        <v>0.01</v>
      </c>
      <c r="J83" s="296">
        <v>0.01</v>
      </c>
      <c r="K83" s="292"/>
      <c r="L83" s="289"/>
      <c r="M83" s="284"/>
      <c r="N83" s="284"/>
      <c r="O83" s="293">
        <v>1765854</v>
      </c>
      <c r="P83" s="286" t="s">
        <v>3007</v>
      </c>
      <c r="Q83" s="294"/>
      <c r="R83" s="317" t="b">
        <v>0</v>
      </c>
    </row>
    <row r="84" spans="1:18">
      <c r="A84" s="293" t="s">
        <v>58</v>
      </c>
      <c r="B84" s="284">
        <v>8568</v>
      </c>
      <c r="C84" s="305" t="s">
        <v>165</v>
      </c>
      <c r="D84" s="284" t="s">
        <v>3025</v>
      </c>
      <c r="E84" s="286">
        <v>45901</v>
      </c>
      <c r="F84" s="286">
        <v>45930</v>
      </c>
      <c r="G84" s="291" t="s">
        <v>3040</v>
      </c>
      <c r="H84" s="295" t="s">
        <v>11</v>
      </c>
      <c r="I84" s="285">
        <v>0.01</v>
      </c>
      <c r="J84" s="296">
        <v>0.01</v>
      </c>
      <c r="K84" s="292"/>
      <c r="L84" s="289"/>
      <c r="M84" s="284"/>
      <c r="N84" s="284"/>
      <c r="O84" s="293">
        <v>1765858</v>
      </c>
      <c r="P84" s="286" t="s">
        <v>3006</v>
      </c>
      <c r="Q84" s="294"/>
      <c r="R84" s="317" t="b">
        <v>0</v>
      </c>
    </row>
    <row r="85" spans="1:18">
      <c r="A85" s="293" t="s">
        <v>58</v>
      </c>
      <c r="B85" s="284">
        <v>8566</v>
      </c>
      <c r="C85" s="305" t="s">
        <v>165</v>
      </c>
      <c r="D85" s="284">
        <v>16153</v>
      </c>
      <c r="E85" s="286">
        <v>45901</v>
      </c>
      <c r="F85" s="286">
        <v>45930</v>
      </c>
      <c r="G85" s="291" t="s">
        <v>3040</v>
      </c>
      <c r="H85" s="295" t="s">
        <v>11</v>
      </c>
      <c r="I85" s="285">
        <v>0.01</v>
      </c>
      <c r="J85" s="296">
        <v>0.01</v>
      </c>
      <c r="K85" s="292"/>
      <c r="L85" s="289"/>
      <c r="M85" s="284"/>
      <c r="N85" s="284"/>
      <c r="O85" s="293">
        <v>1765863</v>
      </c>
      <c r="P85" s="286" t="s">
        <v>3005</v>
      </c>
      <c r="Q85" s="294"/>
      <c r="R85" s="317" t="b">
        <v>0</v>
      </c>
    </row>
    <row r="86" spans="1:18">
      <c r="A86" s="293" t="s">
        <v>58</v>
      </c>
      <c r="B86" s="284">
        <v>8567</v>
      </c>
      <c r="C86" s="305" t="s">
        <v>165</v>
      </c>
      <c r="D86" s="284">
        <v>16502</v>
      </c>
      <c r="E86" s="286">
        <v>45901</v>
      </c>
      <c r="F86" s="286">
        <v>45930</v>
      </c>
      <c r="G86" s="291" t="s">
        <v>3040</v>
      </c>
      <c r="H86" s="295" t="s">
        <v>11</v>
      </c>
      <c r="I86" s="285">
        <v>0.01</v>
      </c>
      <c r="J86" s="296">
        <v>0.01</v>
      </c>
      <c r="K86" s="292"/>
      <c r="L86" s="289"/>
      <c r="M86" s="284"/>
      <c r="N86" s="284"/>
      <c r="O86" s="293">
        <v>1765863</v>
      </c>
      <c r="P86" s="286" t="s">
        <v>3005</v>
      </c>
      <c r="Q86" s="294"/>
      <c r="R86" s="317" t="b">
        <v>0</v>
      </c>
    </row>
    <row r="87" spans="1:18" hidden="1">
      <c r="A87" s="293" t="s">
        <v>59</v>
      </c>
      <c r="B87" s="284">
        <v>8581</v>
      </c>
      <c r="C87" s="305" t="s">
        <v>165</v>
      </c>
      <c r="D87" s="284" t="s">
        <v>3024</v>
      </c>
      <c r="E87" s="286">
        <v>45901</v>
      </c>
      <c r="F87" s="286">
        <v>45930</v>
      </c>
      <c r="G87" s="291" t="s">
        <v>3039</v>
      </c>
      <c r="H87" s="295" t="s">
        <v>11</v>
      </c>
      <c r="I87" s="285">
        <v>0.01</v>
      </c>
      <c r="J87" s="296">
        <v>1.4999999999999999E-2</v>
      </c>
      <c r="K87" s="292"/>
      <c r="L87" s="289"/>
      <c r="M87" s="284"/>
      <c r="N87" s="284"/>
      <c r="O87" s="293">
        <v>1765866</v>
      </c>
      <c r="P87" s="286" t="s">
        <v>3004</v>
      </c>
      <c r="Q87" s="294"/>
      <c r="R87" s="317" t="b">
        <v>1</v>
      </c>
    </row>
    <row r="88" spans="1:18">
      <c r="A88" s="293" t="s">
        <v>58</v>
      </c>
      <c r="B88" s="284">
        <v>8582</v>
      </c>
      <c r="C88" s="305" t="s">
        <v>165</v>
      </c>
      <c r="D88" s="284" t="s">
        <v>3023</v>
      </c>
      <c r="E88" s="286">
        <v>45901</v>
      </c>
      <c r="F88" s="286">
        <v>45930</v>
      </c>
      <c r="G88" s="291" t="s">
        <v>3038</v>
      </c>
      <c r="H88" s="295" t="s">
        <v>11</v>
      </c>
      <c r="I88" s="285">
        <v>1000</v>
      </c>
      <c r="J88" s="296">
        <v>5.0000000000000001E-3</v>
      </c>
      <c r="K88" s="292"/>
      <c r="L88" s="289"/>
      <c r="M88" s="284"/>
      <c r="N88" s="284"/>
      <c r="O88" s="293">
        <v>1765872</v>
      </c>
      <c r="P88" s="286" t="s">
        <v>3003</v>
      </c>
      <c r="Q88" s="294"/>
      <c r="R88" s="317" t="b">
        <v>0</v>
      </c>
    </row>
    <row r="89" spans="1:18">
      <c r="A89" s="293" t="s">
        <v>58</v>
      </c>
      <c r="B89" s="284">
        <v>8583</v>
      </c>
      <c r="C89" s="305" t="s">
        <v>165</v>
      </c>
      <c r="D89" s="284" t="s">
        <v>3022</v>
      </c>
      <c r="E89" s="286">
        <v>45901</v>
      </c>
      <c r="F89" s="286">
        <v>45930</v>
      </c>
      <c r="G89" s="291" t="s">
        <v>3037</v>
      </c>
      <c r="H89" s="295" t="s">
        <v>11</v>
      </c>
      <c r="I89" s="285">
        <v>100000</v>
      </c>
      <c r="J89" s="296">
        <v>5.0000000000000001E-3</v>
      </c>
      <c r="K89" s="292"/>
      <c r="L89" s="289"/>
      <c r="M89" s="284"/>
      <c r="N89" s="284"/>
      <c r="O89" s="293">
        <v>1765877</v>
      </c>
      <c r="P89" s="286" t="s">
        <v>3002</v>
      </c>
      <c r="Q89" s="294"/>
      <c r="R89" s="317" t="b">
        <v>0</v>
      </c>
    </row>
    <row r="90" spans="1:18" hidden="1">
      <c r="A90" s="293" t="s">
        <v>59</v>
      </c>
      <c r="B90" s="284">
        <v>8563</v>
      </c>
      <c r="C90" s="305" t="s">
        <v>165</v>
      </c>
      <c r="D90" s="284" t="s">
        <v>3021</v>
      </c>
      <c r="E90" s="286">
        <v>45901</v>
      </c>
      <c r="F90" s="286">
        <v>45930</v>
      </c>
      <c r="G90" s="291" t="s">
        <v>3036</v>
      </c>
      <c r="H90" s="295" t="s">
        <v>11</v>
      </c>
      <c r="I90" s="285">
        <v>0.01</v>
      </c>
      <c r="J90" s="296">
        <v>7.4999999999999997E-3</v>
      </c>
      <c r="K90" s="292"/>
      <c r="L90" s="289"/>
      <c r="M90" s="284"/>
      <c r="N90" s="284"/>
      <c r="O90" s="293">
        <v>1765911</v>
      </c>
      <c r="P90" s="286" t="s">
        <v>3001</v>
      </c>
      <c r="Q90" s="294"/>
      <c r="R90" s="317" t="b">
        <v>1</v>
      </c>
    </row>
    <row r="91" spans="1:18" hidden="1">
      <c r="A91" s="293" t="s">
        <v>59</v>
      </c>
      <c r="B91" s="284">
        <v>8562</v>
      </c>
      <c r="C91" s="305" t="s">
        <v>165</v>
      </c>
      <c r="D91" s="284" t="s">
        <v>3020</v>
      </c>
      <c r="E91" s="286">
        <v>45901</v>
      </c>
      <c r="F91" s="286">
        <v>45930</v>
      </c>
      <c r="G91" s="291" t="s">
        <v>76</v>
      </c>
      <c r="H91" s="295" t="s">
        <v>11</v>
      </c>
      <c r="I91" s="285">
        <v>0.01</v>
      </c>
      <c r="J91" s="296">
        <v>5.0000000000000001E-3</v>
      </c>
      <c r="K91" s="292"/>
      <c r="L91" s="289"/>
      <c r="M91" s="284"/>
      <c r="N91" s="284"/>
      <c r="O91" s="293">
        <v>1766024</v>
      </c>
      <c r="P91" s="286" t="s">
        <v>3000</v>
      </c>
      <c r="Q91" s="294"/>
      <c r="R91" s="317" t="b">
        <v>1</v>
      </c>
    </row>
    <row r="92" spans="1:18" hidden="1">
      <c r="A92" s="293" t="s">
        <v>59</v>
      </c>
      <c r="B92" s="284">
        <v>8561</v>
      </c>
      <c r="C92" s="305" t="s">
        <v>165</v>
      </c>
      <c r="D92" s="284" t="s">
        <v>3019</v>
      </c>
      <c r="E92" s="286">
        <v>45901</v>
      </c>
      <c r="F92" s="286">
        <v>45930</v>
      </c>
      <c r="G92" s="291" t="s">
        <v>3035</v>
      </c>
      <c r="H92" s="295" t="s">
        <v>11</v>
      </c>
      <c r="I92" s="285">
        <v>1000</v>
      </c>
      <c r="J92" s="296">
        <v>3.0000000000000001E-3</v>
      </c>
      <c r="K92" s="292"/>
      <c r="L92" s="289"/>
      <c r="M92" s="284"/>
      <c r="N92" s="284"/>
      <c r="O92" s="293">
        <v>1766163</v>
      </c>
      <c r="P92" s="286" t="s">
        <v>2999</v>
      </c>
      <c r="Q92" s="294"/>
      <c r="R92" s="317" t="b">
        <v>1</v>
      </c>
    </row>
    <row r="93" spans="1:18" hidden="1">
      <c r="A93" s="293" t="s">
        <v>59</v>
      </c>
      <c r="B93" s="284">
        <v>8560</v>
      </c>
      <c r="C93" s="305" t="s">
        <v>165</v>
      </c>
      <c r="D93" s="284" t="s">
        <v>3018</v>
      </c>
      <c r="E93" s="286">
        <v>45901</v>
      </c>
      <c r="F93" s="286">
        <v>45930</v>
      </c>
      <c r="G93" s="291" t="s">
        <v>76</v>
      </c>
      <c r="H93" s="295" t="s">
        <v>11</v>
      </c>
      <c r="I93" s="285">
        <v>0.01</v>
      </c>
      <c r="J93" s="296">
        <v>5.0000000000000001E-3</v>
      </c>
      <c r="K93" s="292"/>
      <c r="L93" s="289"/>
      <c r="M93" s="284"/>
      <c r="N93" s="284"/>
      <c r="O93" s="293">
        <v>1766424</v>
      </c>
      <c r="P93" s="286" t="s">
        <v>2998</v>
      </c>
      <c r="Q93" s="294"/>
      <c r="R93" s="317" t="b">
        <v>1</v>
      </c>
    </row>
    <row r="94" spans="1:18">
      <c r="A94" s="293" t="s">
        <v>58</v>
      </c>
      <c r="B94" s="284">
        <v>8584</v>
      </c>
      <c r="C94" s="305" t="s">
        <v>165</v>
      </c>
      <c r="D94" s="284" t="s">
        <v>3017</v>
      </c>
      <c r="E94" s="286">
        <v>45901</v>
      </c>
      <c r="F94" s="286">
        <v>45930</v>
      </c>
      <c r="G94" s="291" t="s">
        <v>1401</v>
      </c>
      <c r="H94" s="295" t="s">
        <v>11</v>
      </c>
      <c r="I94" s="285">
        <v>100000</v>
      </c>
      <c r="J94" s="296">
        <v>5.0000000000000001E-3</v>
      </c>
      <c r="K94" s="292"/>
      <c r="L94" s="289"/>
      <c r="M94" s="284"/>
      <c r="N94" s="284"/>
      <c r="O94" s="293">
        <v>1766442</v>
      </c>
      <c r="P94" s="286" t="s">
        <v>2997</v>
      </c>
      <c r="Q94" s="294"/>
      <c r="R94" s="317" t="b">
        <v>0</v>
      </c>
    </row>
    <row r="95" spans="1:18">
      <c r="A95" s="293" t="s">
        <v>58</v>
      </c>
      <c r="B95" s="284">
        <v>8585</v>
      </c>
      <c r="C95" s="305" t="s">
        <v>165</v>
      </c>
      <c r="D95" s="284" t="s">
        <v>3016</v>
      </c>
      <c r="E95" s="286">
        <v>45901</v>
      </c>
      <c r="F95" s="286">
        <v>45930</v>
      </c>
      <c r="G95" s="291" t="s">
        <v>1505</v>
      </c>
      <c r="H95" s="295" t="s">
        <v>11</v>
      </c>
      <c r="I95" s="285">
        <v>30000</v>
      </c>
      <c r="J95" s="296">
        <v>5.0000000000000001E-3</v>
      </c>
      <c r="K95" s="292"/>
      <c r="L95" s="289"/>
      <c r="M95" s="284"/>
      <c r="N95" s="284"/>
      <c r="O95" s="293">
        <v>1766458</v>
      </c>
      <c r="P95" s="286" t="s">
        <v>2996</v>
      </c>
      <c r="Q95" s="294"/>
      <c r="R95" s="317" t="b">
        <v>0</v>
      </c>
    </row>
    <row r="96" spans="1:18">
      <c r="A96" s="293" t="s">
        <v>58</v>
      </c>
      <c r="B96" s="284">
        <v>8586</v>
      </c>
      <c r="C96" s="305" t="s">
        <v>165</v>
      </c>
      <c r="D96" s="284" t="s">
        <v>3015</v>
      </c>
      <c r="E96" s="286">
        <v>45901</v>
      </c>
      <c r="F96" s="286">
        <v>45930</v>
      </c>
      <c r="G96" s="291" t="s">
        <v>1473</v>
      </c>
      <c r="H96" s="295" t="s">
        <v>11</v>
      </c>
      <c r="I96" s="285">
        <v>30000</v>
      </c>
      <c r="J96" s="296">
        <v>2.5000000000000001E-3</v>
      </c>
      <c r="K96" s="292"/>
      <c r="L96" s="289"/>
      <c r="M96" s="284"/>
      <c r="N96" s="284"/>
      <c r="O96" s="293">
        <v>1766471</v>
      </c>
      <c r="P96" s="286" t="s">
        <v>2995</v>
      </c>
      <c r="Q96" s="294"/>
      <c r="R96" s="317" t="b">
        <v>0</v>
      </c>
    </row>
    <row r="97" spans="1:18" hidden="1">
      <c r="A97" s="293" t="s">
        <v>59</v>
      </c>
      <c r="B97" s="284">
        <v>8559</v>
      </c>
      <c r="C97" s="305" t="s">
        <v>165</v>
      </c>
      <c r="D97" s="284" t="s">
        <v>3014</v>
      </c>
      <c r="E97" s="286">
        <v>45901</v>
      </c>
      <c r="F97" s="286">
        <v>45930</v>
      </c>
      <c r="G97" s="291" t="s">
        <v>76</v>
      </c>
      <c r="H97" s="295" t="s">
        <v>11</v>
      </c>
      <c r="I97" s="285">
        <v>0.01</v>
      </c>
      <c r="J97" s="296">
        <v>7.4999999999999997E-3</v>
      </c>
      <c r="K97" s="292"/>
      <c r="L97" s="289"/>
      <c r="M97" s="284"/>
      <c r="N97" s="284"/>
      <c r="O97" s="293">
        <v>1766482</v>
      </c>
      <c r="P97" s="286" t="s">
        <v>2994</v>
      </c>
      <c r="Q97" s="294"/>
      <c r="R97" s="317" t="b">
        <v>1</v>
      </c>
    </row>
    <row r="98" spans="1:18">
      <c r="A98" s="284" t="s">
        <v>58</v>
      </c>
      <c r="B98" s="284">
        <v>8313</v>
      </c>
      <c r="C98" s="305" t="s">
        <v>165</v>
      </c>
      <c r="D98" s="284" t="s">
        <v>3027</v>
      </c>
      <c r="E98" s="286">
        <v>45901</v>
      </c>
      <c r="F98" s="286">
        <v>45930</v>
      </c>
      <c r="G98" s="291" t="s">
        <v>3139</v>
      </c>
      <c r="H98" s="288" t="s">
        <v>11</v>
      </c>
      <c r="I98" s="285">
        <v>0.01</v>
      </c>
      <c r="J98" s="283">
        <v>2E-3</v>
      </c>
      <c r="K98" s="292"/>
      <c r="L98" s="289"/>
      <c r="M98" s="284" t="s">
        <v>19</v>
      </c>
      <c r="N98" s="284" t="s">
        <v>85</v>
      </c>
      <c r="O98" s="284">
        <v>1766493</v>
      </c>
      <c r="P98" s="286" t="s">
        <v>3085</v>
      </c>
      <c r="Q98" s="287"/>
      <c r="R98" s="317" t="b">
        <v>0</v>
      </c>
    </row>
    <row r="99" spans="1:18">
      <c r="A99" s="284" t="s">
        <v>58</v>
      </c>
      <c r="B99" s="284">
        <v>8614</v>
      </c>
      <c r="C99" s="305" t="s">
        <v>165</v>
      </c>
      <c r="D99" s="284" t="s">
        <v>3104</v>
      </c>
      <c r="E99" s="286">
        <v>45901</v>
      </c>
      <c r="F99" s="286">
        <v>45991</v>
      </c>
      <c r="G99" s="291" t="s">
        <v>1401</v>
      </c>
      <c r="H99" s="288" t="s">
        <v>11</v>
      </c>
      <c r="I99" s="285">
        <v>0.01</v>
      </c>
      <c r="J99" s="319">
        <v>5.0000000000000001E-3</v>
      </c>
      <c r="K99" s="292"/>
      <c r="L99" s="289"/>
      <c r="M99" s="284" t="s">
        <v>46</v>
      </c>
      <c r="N99" s="284" t="s">
        <v>70</v>
      </c>
      <c r="O99" s="284">
        <v>1766691</v>
      </c>
      <c r="P99" s="286" t="s">
        <v>3079</v>
      </c>
      <c r="Q99" s="287"/>
      <c r="R99" s="317" t="b">
        <v>0</v>
      </c>
    </row>
    <row r="100" spans="1:18">
      <c r="A100" s="284" t="s">
        <v>58</v>
      </c>
      <c r="B100" s="284">
        <v>8612</v>
      </c>
      <c r="C100" s="305" t="s">
        <v>165</v>
      </c>
      <c r="D100" s="284" t="s">
        <v>3103</v>
      </c>
      <c r="E100" s="286">
        <v>45901</v>
      </c>
      <c r="F100" s="286">
        <v>45930</v>
      </c>
      <c r="G100" s="291" t="s">
        <v>3138</v>
      </c>
      <c r="H100" s="288" t="s">
        <v>11</v>
      </c>
      <c r="I100" s="285">
        <v>0.01</v>
      </c>
      <c r="J100" s="319">
        <v>0.02</v>
      </c>
      <c r="K100" s="292"/>
      <c r="L100" s="289"/>
      <c r="M100" s="284" t="s">
        <v>39</v>
      </c>
      <c r="N100" s="284" t="s">
        <v>152</v>
      </c>
      <c r="O100" s="284">
        <v>1766695</v>
      </c>
      <c r="P100" s="286" t="s">
        <v>3078</v>
      </c>
      <c r="Q100" s="287"/>
      <c r="R100" s="317" t="b">
        <v>0</v>
      </c>
    </row>
    <row r="101" spans="1:18">
      <c r="A101" s="284" t="s">
        <v>58</v>
      </c>
      <c r="B101" s="284">
        <v>8611</v>
      </c>
      <c r="C101" s="305" t="s">
        <v>165</v>
      </c>
      <c r="D101" s="284" t="s">
        <v>3102</v>
      </c>
      <c r="E101" s="286">
        <v>45901</v>
      </c>
      <c r="F101" s="286">
        <v>45930</v>
      </c>
      <c r="G101" s="291" t="s">
        <v>3128</v>
      </c>
      <c r="H101" s="288" t="s">
        <v>11</v>
      </c>
      <c r="I101" s="285">
        <v>0.01</v>
      </c>
      <c r="J101" s="319">
        <v>0.02</v>
      </c>
      <c r="K101" s="292"/>
      <c r="L101" s="289"/>
      <c r="M101" s="284" t="s">
        <v>19</v>
      </c>
      <c r="N101" s="284" t="s">
        <v>147</v>
      </c>
      <c r="O101" s="284">
        <v>1766767</v>
      </c>
      <c r="P101" s="286" t="s">
        <v>3077</v>
      </c>
      <c r="Q101" s="287"/>
      <c r="R101" s="317" t="b">
        <v>0</v>
      </c>
    </row>
    <row r="102" spans="1:18">
      <c r="A102" s="284" t="s">
        <v>58</v>
      </c>
      <c r="B102" s="284">
        <v>8610</v>
      </c>
      <c r="C102" s="305" t="s">
        <v>165</v>
      </c>
      <c r="D102" s="284" t="s">
        <v>3101</v>
      </c>
      <c r="E102" s="286">
        <v>45901</v>
      </c>
      <c r="F102" s="286">
        <v>45930</v>
      </c>
      <c r="G102" s="291" t="s">
        <v>3137</v>
      </c>
      <c r="H102" s="288" t="s">
        <v>11</v>
      </c>
      <c r="I102" s="285">
        <v>0.01</v>
      </c>
      <c r="J102" s="283">
        <v>2E-3</v>
      </c>
      <c r="K102" s="292"/>
      <c r="L102" s="289"/>
      <c r="M102" s="284" t="s">
        <v>19</v>
      </c>
      <c r="N102" s="284" t="s">
        <v>85</v>
      </c>
      <c r="O102" s="284">
        <v>1766777</v>
      </c>
      <c r="P102" s="286" t="s">
        <v>3076</v>
      </c>
      <c r="Q102" s="287"/>
      <c r="R102" s="317" t="b">
        <v>0</v>
      </c>
    </row>
    <row r="103" spans="1:18" hidden="1">
      <c r="A103" s="284" t="s">
        <v>59</v>
      </c>
      <c r="B103" s="284">
        <v>8596</v>
      </c>
      <c r="C103" s="305" t="s">
        <v>165</v>
      </c>
      <c r="D103" s="284" t="s">
        <v>3101</v>
      </c>
      <c r="E103" s="286">
        <v>45901</v>
      </c>
      <c r="F103" s="286">
        <v>45930</v>
      </c>
      <c r="G103" s="291" t="s">
        <v>232</v>
      </c>
      <c r="H103" s="288" t="s">
        <v>11</v>
      </c>
      <c r="I103" s="285">
        <v>0.01</v>
      </c>
      <c r="J103" s="283">
        <v>5.0000000000000001E-3</v>
      </c>
      <c r="K103" s="292"/>
      <c r="L103" s="289"/>
      <c r="M103" s="284" t="s">
        <v>19</v>
      </c>
      <c r="N103" s="284" t="s">
        <v>147</v>
      </c>
      <c r="O103" s="284">
        <v>1766777</v>
      </c>
      <c r="P103" s="286" t="s">
        <v>3076</v>
      </c>
      <c r="Q103" s="287"/>
      <c r="R103" s="317" t="b">
        <v>1</v>
      </c>
    </row>
    <row r="104" spans="1:18" hidden="1">
      <c r="A104" s="284" t="s">
        <v>59</v>
      </c>
      <c r="B104" s="284">
        <v>8595</v>
      </c>
      <c r="C104" s="305" t="s">
        <v>165</v>
      </c>
      <c r="D104" s="284" t="s">
        <v>3100</v>
      </c>
      <c r="E104" s="286">
        <v>45901</v>
      </c>
      <c r="F104" s="286">
        <v>45930</v>
      </c>
      <c r="G104" s="291" t="s">
        <v>232</v>
      </c>
      <c r="H104" s="288" t="s">
        <v>11</v>
      </c>
      <c r="I104" s="285">
        <v>0.01</v>
      </c>
      <c r="J104" s="283">
        <v>5.0000000000000001E-3</v>
      </c>
      <c r="K104" s="292"/>
      <c r="L104" s="289"/>
      <c r="M104" s="284" t="s">
        <v>17</v>
      </c>
      <c r="N104" s="284" t="s">
        <v>62</v>
      </c>
      <c r="O104" s="284">
        <v>1766787</v>
      </c>
      <c r="P104" s="286" t="s">
        <v>3075</v>
      </c>
      <c r="Q104" s="287"/>
      <c r="R104" s="317" t="b">
        <v>1</v>
      </c>
    </row>
    <row r="105" spans="1:18">
      <c r="A105" s="284" t="s">
        <v>58</v>
      </c>
      <c r="B105" s="284">
        <v>8608</v>
      </c>
      <c r="C105" s="305" t="s">
        <v>165</v>
      </c>
      <c r="D105" s="284" t="s">
        <v>3100</v>
      </c>
      <c r="E105" s="286">
        <v>45901</v>
      </c>
      <c r="F105" s="286">
        <v>45930</v>
      </c>
      <c r="G105" s="291" t="s">
        <v>3135</v>
      </c>
      <c r="H105" s="288" t="s">
        <v>11</v>
      </c>
      <c r="I105" s="285">
        <v>0.01</v>
      </c>
      <c r="J105" s="283">
        <v>3.5000000000000003E-2</v>
      </c>
      <c r="K105" s="292"/>
      <c r="L105" s="289"/>
      <c r="M105" s="284" t="s">
        <v>18</v>
      </c>
      <c r="N105" s="284" t="s">
        <v>2376</v>
      </c>
      <c r="O105" s="284">
        <v>1766787</v>
      </c>
      <c r="P105" s="286" t="s">
        <v>3075</v>
      </c>
      <c r="Q105" s="287"/>
      <c r="R105" s="317" t="b">
        <v>0</v>
      </c>
    </row>
    <row r="106" spans="1:18" hidden="1">
      <c r="A106" s="284" t="s">
        <v>59</v>
      </c>
      <c r="B106" s="284">
        <v>8609</v>
      </c>
      <c r="C106" s="305" t="s">
        <v>165</v>
      </c>
      <c r="D106" s="284" t="s">
        <v>3100</v>
      </c>
      <c r="E106" s="286">
        <v>45901</v>
      </c>
      <c r="F106" s="286">
        <v>45930</v>
      </c>
      <c r="G106" s="291" t="s">
        <v>4536</v>
      </c>
      <c r="H106" s="288" t="s">
        <v>11</v>
      </c>
      <c r="I106" s="285">
        <v>0.01</v>
      </c>
      <c r="J106" s="283" t="s">
        <v>3136</v>
      </c>
      <c r="K106" s="292"/>
      <c r="L106" s="289"/>
      <c r="M106" s="284" t="s">
        <v>19</v>
      </c>
      <c r="N106" s="284" t="s">
        <v>147</v>
      </c>
      <c r="O106" s="284">
        <v>1766787</v>
      </c>
      <c r="P106" s="286" t="s">
        <v>3075</v>
      </c>
      <c r="Q106" s="287"/>
      <c r="R106" s="317" t="b">
        <v>1</v>
      </c>
    </row>
    <row r="107" spans="1:18" hidden="1">
      <c r="A107" s="284" t="s">
        <v>59</v>
      </c>
      <c r="B107" s="284">
        <v>8607</v>
      </c>
      <c r="C107" s="305" t="s">
        <v>165</v>
      </c>
      <c r="D107" s="284" t="s">
        <v>3099</v>
      </c>
      <c r="E107" s="286">
        <v>45901</v>
      </c>
      <c r="F107" s="286">
        <v>45930</v>
      </c>
      <c r="G107" s="291" t="s">
        <v>3127</v>
      </c>
      <c r="H107" s="288" t="s">
        <v>11</v>
      </c>
      <c r="I107" s="285">
        <v>300000</v>
      </c>
      <c r="J107" s="283">
        <v>3.0000000000000001E-3</v>
      </c>
      <c r="K107" s="292"/>
      <c r="L107" s="289"/>
      <c r="M107" s="284" t="s">
        <v>19</v>
      </c>
      <c r="N107" s="284" t="s">
        <v>147</v>
      </c>
      <c r="O107" s="284">
        <v>1766860</v>
      </c>
      <c r="P107" s="286" t="s">
        <v>3074</v>
      </c>
      <c r="Q107" s="287"/>
      <c r="R107" s="317" t="b">
        <v>1</v>
      </c>
    </row>
    <row r="108" spans="1:18">
      <c r="A108" s="284" t="s">
        <v>58</v>
      </c>
      <c r="B108" s="284">
        <v>8606</v>
      </c>
      <c r="C108" s="305" t="s">
        <v>165</v>
      </c>
      <c r="D108" s="284" t="s">
        <v>3098</v>
      </c>
      <c r="E108" s="286">
        <v>45901</v>
      </c>
      <c r="F108" s="286">
        <v>45930</v>
      </c>
      <c r="G108" s="291" t="s">
        <v>3123</v>
      </c>
      <c r="H108" s="288" t="s">
        <v>11</v>
      </c>
      <c r="I108" s="285">
        <v>200000</v>
      </c>
      <c r="J108" s="285">
        <v>200</v>
      </c>
      <c r="K108" s="292"/>
      <c r="L108" s="289"/>
      <c r="M108" s="284" t="s">
        <v>24</v>
      </c>
      <c r="N108" s="284" t="s">
        <v>2378</v>
      </c>
      <c r="O108" s="284">
        <v>1766867</v>
      </c>
      <c r="P108" s="286" t="s">
        <v>3073</v>
      </c>
      <c r="Q108" s="287"/>
      <c r="R108" s="317" t="b">
        <v>0</v>
      </c>
    </row>
    <row r="109" spans="1:18">
      <c r="A109" s="284" t="s">
        <v>58</v>
      </c>
      <c r="B109" s="284">
        <v>8605</v>
      </c>
      <c r="C109" s="305" t="s">
        <v>165</v>
      </c>
      <c r="D109" s="284" t="s">
        <v>3131</v>
      </c>
      <c r="E109" s="286">
        <v>45901</v>
      </c>
      <c r="F109" s="286">
        <v>45930</v>
      </c>
      <c r="G109" s="291" t="s">
        <v>3130</v>
      </c>
      <c r="H109" s="288" t="s">
        <v>11</v>
      </c>
      <c r="I109" s="285">
        <v>200000</v>
      </c>
      <c r="J109" s="285">
        <v>200</v>
      </c>
      <c r="K109" s="292"/>
      <c r="L109" s="289"/>
      <c r="M109" s="284" t="s">
        <v>42</v>
      </c>
      <c r="N109" s="284" t="s">
        <v>1495</v>
      </c>
      <c r="O109" s="284">
        <v>1766884</v>
      </c>
      <c r="P109" s="286" t="s">
        <v>3072</v>
      </c>
      <c r="Q109" s="287" t="s">
        <v>3132</v>
      </c>
      <c r="R109" s="317" t="b">
        <v>0</v>
      </c>
    </row>
    <row r="110" spans="1:18">
      <c r="A110" s="284" t="s">
        <v>58</v>
      </c>
      <c r="B110" s="284">
        <v>8604</v>
      </c>
      <c r="C110" s="305" t="s">
        <v>165</v>
      </c>
      <c r="D110" s="284" t="s">
        <v>3133</v>
      </c>
      <c r="E110" s="286">
        <v>45901</v>
      </c>
      <c r="F110" s="286">
        <v>45930</v>
      </c>
      <c r="G110" s="291" t="s">
        <v>3130</v>
      </c>
      <c r="H110" s="288" t="s">
        <v>11</v>
      </c>
      <c r="I110" s="285">
        <v>200000</v>
      </c>
      <c r="J110" s="285">
        <v>200</v>
      </c>
      <c r="K110" s="292"/>
      <c r="L110" s="289"/>
      <c r="M110" s="284" t="s">
        <v>19</v>
      </c>
      <c r="N110" s="284" t="s">
        <v>1494</v>
      </c>
      <c r="O110" s="284">
        <v>1766890</v>
      </c>
      <c r="P110" s="286" t="s">
        <v>3071</v>
      </c>
      <c r="Q110" s="287" t="s">
        <v>3134</v>
      </c>
      <c r="R110" s="317" t="b">
        <v>0</v>
      </c>
    </row>
    <row r="111" spans="1:18" hidden="1">
      <c r="A111" s="284" t="s">
        <v>59</v>
      </c>
      <c r="B111" s="284">
        <v>8594</v>
      </c>
      <c r="C111" s="305" t="s">
        <v>165</v>
      </c>
      <c r="D111" s="284" t="s">
        <v>3096</v>
      </c>
      <c r="E111" s="286">
        <v>45901</v>
      </c>
      <c r="F111" s="286">
        <v>45930</v>
      </c>
      <c r="G111" s="291" t="s">
        <v>3126</v>
      </c>
      <c r="H111" s="288" t="s">
        <v>11</v>
      </c>
      <c r="I111" s="285">
        <v>500000</v>
      </c>
      <c r="J111" s="283">
        <v>7.0000000000000001E-3</v>
      </c>
      <c r="K111" s="292"/>
      <c r="L111" s="289"/>
      <c r="M111" s="284" t="s">
        <v>19</v>
      </c>
      <c r="N111" s="284" t="s">
        <v>1494</v>
      </c>
      <c r="O111" s="284">
        <v>1766904</v>
      </c>
      <c r="P111" s="286" t="s">
        <v>3070</v>
      </c>
      <c r="Q111" s="287"/>
      <c r="R111" s="317" t="b">
        <v>1</v>
      </c>
    </row>
    <row r="112" spans="1:18">
      <c r="A112" s="284" t="s">
        <v>58</v>
      </c>
      <c r="B112" s="284">
        <v>8603</v>
      </c>
      <c r="C112" s="305" t="s">
        <v>165</v>
      </c>
      <c r="D112" s="284" t="s">
        <v>3097</v>
      </c>
      <c r="E112" s="286">
        <v>45901</v>
      </c>
      <c r="F112" s="286">
        <v>45930</v>
      </c>
      <c r="G112" s="291" t="s">
        <v>3130</v>
      </c>
      <c r="H112" s="288" t="s">
        <v>11</v>
      </c>
      <c r="I112" s="285">
        <v>200000</v>
      </c>
      <c r="J112" s="285">
        <v>200</v>
      </c>
      <c r="K112" s="292"/>
      <c r="L112" s="289"/>
      <c r="M112" s="284" t="s">
        <v>29</v>
      </c>
      <c r="N112" s="284" t="s">
        <v>60</v>
      </c>
      <c r="O112" s="284">
        <v>1766915</v>
      </c>
      <c r="P112" s="286" t="s">
        <v>3069</v>
      </c>
      <c r="Q112" s="287"/>
      <c r="R112" s="317" t="b">
        <v>0</v>
      </c>
    </row>
    <row r="113" spans="1:19">
      <c r="A113" s="284" t="s">
        <v>58</v>
      </c>
      <c r="B113" s="284">
        <v>8602</v>
      </c>
      <c r="C113" s="305" t="s">
        <v>165</v>
      </c>
      <c r="D113" s="284" t="s">
        <v>3096</v>
      </c>
      <c r="E113" s="286">
        <v>45901</v>
      </c>
      <c r="F113" s="286">
        <v>45930</v>
      </c>
      <c r="G113" s="291" t="s">
        <v>3124</v>
      </c>
      <c r="H113" s="288" t="s">
        <v>11</v>
      </c>
      <c r="I113" s="285">
        <v>0.01</v>
      </c>
      <c r="J113" s="283">
        <v>5.0000000000000001E-3</v>
      </c>
      <c r="K113" s="292"/>
      <c r="L113" s="289"/>
      <c r="M113" s="284" t="s">
        <v>39</v>
      </c>
      <c r="N113" s="284" t="s">
        <v>152</v>
      </c>
      <c r="O113" s="284">
        <v>1766919</v>
      </c>
      <c r="P113" s="286" t="s">
        <v>3068</v>
      </c>
      <c r="Q113" s="287"/>
      <c r="R113" s="317" t="b">
        <v>0</v>
      </c>
    </row>
    <row r="114" spans="1:19">
      <c r="A114" s="284" t="s">
        <v>58</v>
      </c>
      <c r="B114" s="284">
        <v>8601</v>
      </c>
      <c r="C114" s="305" t="s">
        <v>165</v>
      </c>
      <c r="D114" s="284" t="s">
        <v>3095</v>
      </c>
      <c r="E114" s="286">
        <v>45901</v>
      </c>
      <c r="F114" s="286">
        <v>45930</v>
      </c>
      <c r="G114" s="291" t="s">
        <v>3130</v>
      </c>
      <c r="H114" s="288" t="s">
        <v>11</v>
      </c>
      <c r="I114" s="285">
        <v>200000</v>
      </c>
      <c r="J114" s="285">
        <v>200</v>
      </c>
      <c r="K114" s="292"/>
      <c r="L114" s="289"/>
      <c r="M114" s="284" t="s">
        <v>19</v>
      </c>
      <c r="N114" s="284" t="s">
        <v>147</v>
      </c>
      <c r="O114" s="284">
        <v>1766921</v>
      </c>
      <c r="P114" s="286" t="s">
        <v>3067</v>
      </c>
      <c r="Q114" s="287"/>
      <c r="R114" s="317" t="b">
        <v>0</v>
      </c>
    </row>
    <row r="115" spans="1:19">
      <c r="A115" s="284" t="s">
        <v>58</v>
      </c>
      <c r="B115" s="284">
        <v>8620</v>
      </c>
      <c r="C115" s="305" t="s">
        <v>165</v>
      </c>
      <c r="D115" s="284" t="s">
        <v>3094</v>
      </c>
      <c r="E115" s="286">
        <v>45901</v>
      </c>
      <c r="F115" s="286">
        <v>46022</v>
      </c>
      <c r="G115" s="291" t="s">
        <v>3122</v>
      </c>
      <c r="H115" s="288" t="s">
        <v>11</v>
      </c>
      <c r="I115" s="285">
        <v>0.01</v>
      </c>
      <c r="J115" s="296">
        <v>0.02</v>
      </c>
      <c r="K115" s="292"/>
      <c r="L115" s="289"/>
      <c r="M115" s="284" t="s">
        <v>19</v>
      </c>
      <c r="N115" s="284" t="s">
        <v>147</v>
      </c>
      <c r="O115" s="284">
        <v>1767092</v>
      </c>
      <c r="P115" s="286" t="s">
        <v>3066</v>
      </c>
      <c r="Q115" s="287"/>
      <c r="R115" s="317" t="b">
        <v>0</v>
      </c>
    </row>
    <row r="116" spans="1:19" hidden="1">
      <c r="A116" s="284" t="s">
        <v>59</v>
      </c>
      <c r="B116" s="284">
        <v>8600</v>
      </c>
      <c r="C116" s="305" t="s">
        <v>165</v>
      </c>
      <c r="D116" s="284" t="s">
        <v>3093</v>
      </c>
      <c r="E116" s="286">
        <v>45901</v>
      </c>
      <c r="F116" s="286">
        <v>45930</v>
      </c>
      <c r="G116" s="291" t="s">
        <v>3121</v>
      </c>
      <c r="H116" s="288" t="s">
        <v>11</v>
      </c>
      <c r="I116" s="285">
        <v>100000</v>
      </c>
      <c r="J116" s="283">
        <v>5.0000000000000001E-3</v>
      </c>
      <c r="K116" s="292"/>
      <c r="L116" s="289"/>
      <c r="M116" s="284" t="s">
        <v>19</v>
      </c>
      <c r="N116" s="284" t="s">
        <v>85</v>
      </c>
      <c r="O116" s="284">
        <v>1767112</v>
      </c>
      <c r="P116" s="286" t="s">
        <v>3065</v>
      </c>
      <c r="Q116" s="287"/>
      <c r="R116" s="317" t="b">
        <v>1</v>
      </c>
    </row>
    <row r="117" spans="1:19" hidden="1">
      <c r="A117" s="284" t="s">
        <v>59</v>
      </c>
      <c r="B117" s="284">
        <v>8593</v>
      </c>
      <c r="C117" s="305" t="s">
        <v>165</v>
      </c>
      <c r="D117" s="284" t="s">
        <v>1670</v>
      </c>
      <c r="E117" s="286">
        <v>45901</v>
      </c>
      <c r="F117" s="286">
        <v>45930</v>
      </c>
      <c r="G117" s="291" t="s">
        <v>76</v>
      </c>
      <c r="H117" s="288" t="s">
        <v>11</v>
      </c>
      <c r="I117" s="285">
        <v>0.01</v>
      </c>
      <c r="J117" s="283">
        <v>2.5000000000000001E-3</v>
      </c>
      <c r="K117" s="292"/>
      <c r="L117" s="289"/>
      <c r="M117" s="284" t="s">
        <v>4586</v>
      </c>
      <c r="N117" s="284" t="s">
        <v>4586</v>
      </c>
      <c r="O117" s="284">
        <v>1767283</v>
      </c>
      <c r="P117" s="286" t="s">
        <v>3064</v>
      </c>
      <c r="Q117" s="287"/>
      <c r="R117" s="317" t="b">
        <v>1</v>
      </c>
    </row>
    <row r="118" spans="1:19" hidden="1">
      <c r="A118" s="284" t="s">
        <v>59</v>
      </c>
      <c r="B118" s="284">
        <v>8592</v>
      </c>
      <c r="C118" s="305" t="s">
        <v>165</v>
      </c>
      <c r="D118" s="284" t="s">
        <v>3092</v>
      </c>
      <c r="E118" s="286">
        <v>45901</v>
      </c>
      <c r="F118" s="286">
        <v>45930</v>
      </c>
      <c r="G118" s="291" t="s">
        <v>76</v>
      </c>
      <c r="H118" s="288" t="s">
        <v>11</v>
      </c>
      <c r="I118" s="285">
        <v>0.01</v>
      </c>
      <c r="J118" s="283">
        <v>6.4999999999999997E-3</v>
      </c>
      <c r="K118" s="292"/>
      <c r="L118" s="289"/>
      <c r="M118" s="284" t="e">
        <v>#REF!</v>
      </c>
      <c r="N118" s="284" t="e">
        <v>#REF!</v>
      </c>
      <c r="O118" s="284">
        <v>1767293</v>
      </c>
      <c r="P118" s="286" t="s">
        <v>3063</v>
      </c>
      <c r="Q118" s="287"/>
      <c r="R118" s="317" t="b">
        <v>1</v>
      </c>
    </row>
    <row r="119" spans="1:19">
      <c r="A119" s="284" t="s">
        <v>58</v>
      </c>
      <c r="B119" s="284">
        <v>8598</v>
      </c>
      <c r="C119" s="305" t="s">
        <v>165</v>
      </c>
      <c r="D119" s="284" t="s">
        <v>3090</v>
      </c>
      <c r="E119" s="286">
        <v>45901</v>
      </c>
      <c r="F119" s="286">
        <v>45930</v>
      </c>
      <c r="G119" s="291" t="s">
        <v>3119</v>
      </c>
      <c r="H119" s="288" t="s">
        <v>11</v>
      </c>
      <c r="I119" s="285">
        <v>0.01</v>
      </c>
      <c r="J119" s="283">
        <v>7.0000000000000001E-3</v>
      </c>
      <c r="K119" s="292"/>
      <c r="L119" s="289"/>
      <c r="M119" s="284" t="e">
        <v>#REF!</v>
      </c>
      <c r="N119" s="284" t="e">
        <v>#REF!</v>
      </c>
      <c r="O119" s="284">
        <v>1767474</v>
      </c>
      <c r="P119" s="286" t="s">
        <v>3061</v>
      </c>
      <c r="Q119" s="287"/>
      <c r="R119" s="317" t="b">
        <v>0</v>
      </c>
    </row>
    <row r="120" spans="1:19">
      <c r="A120" s="284" t="s">
        <v>58</v>
      </c>
      <c r="B120" s="305" t="s">
        <v>3141</v>
      </c>
      <c r="C120" s="305" t="s">
        <v>165</v>
      </c>
      <c r="D120" s="284" t="s">
        <v>3086</v>
      </c>
      <c r="E120" s="286">
        <v>45901</v>
      </c>
      <c r="F120" s="286">
        <v>45930</v>
      </c>
      <c r="G120" s="291" t="s">
        <v>3117</v>
      </c>
      <c r="H120" s="288" t="s">
        <v>11</v>
      </c>
      <c r="I120" s="285">
        <v>0.01</v>
      </c>
      <c r="J120" s="283">
        <v>4.0000000000000001E-3</v>
      </c>
      <c r="K120" s="292"/>
      <c r="L120" s="289"/>
      <c r="M120" s="284" t="s">
        <v>24</v>
      </c>
      <c r="N120" s="284" t="s">
        <v>2378</v>
      </c>
      <c r="O120" s="284">
        <v>1767493</v>
      </c>
      <c r="P120" s="286" t="s">
        <v>3056</v>
      </c>
      <c r="Q120" s="287" t="s">
        <v>4535</v>
      </c>
      <c r="R120" s="317" t="b">
        <v>0</v>
      </c>
    </row>
    <row r="121" spans="1:19" hidden="1">
      <c r="A121" s="284" t="s">
        <v>59</v>
      </c>
      <c r="B121" s="284">
        <v>8597</v>
      </c>
      <c r="C121" s="305" t="s">
        <v>165</v>
      </c>
      <c r="D121" s="284" t="s">
        <v>3087</v>
      </c>
      <c r="E121" s="286">
        <v>45901</v>
      </c>
      <c r="F121" s="286">
        <v>45930</v>
      </c>
      <c r="G121" s="291" t="s">
        <v>3118</v>
      </c>
      <c r="H121" s="288" t="s">
        <v>11</v>
      </c>
      <c r="I121" s="285">
        <v>0.01</v>
      </c>
      <c r="J121" s="283">
        <v>7.0000000000000001E-3</v>
      </c>
      <c r="K121" s="292"/>
      <c r="L121" s="289"/>
      <c r="M121" s="284" t="e">
        <v>#REF!</v>
      </c>
      <c r="N121" s="284" t="e">
        <v>#REF!</v>
      </c>
      <c r="O121" s="284">
        <v>1767504</v>
      </c>
      <c r="P121" s="286" t="s">
        <v>3060</v>
      </c>
      <c r="Q121" s="287" t="s">
        <v>3143</v>
      </c>
      <c r="R121" s="318" t="s">
        <v>4534</v>
      </c>
    </row>
    <row r="122" spans="1:19" hidden="1">
      <c r="A122" s="284" t="s">
        <v>59</v>
      </c>
      <c r="B122" s="284">
        <v>8591</v>
      </c>
      <c r="C122" s="305" t="s">
        <v>165</v>
      </c>
      <c r="D122" s="284" t="s">
        <v>3089</v>
      </c>
      <c r="E122" s="286">
        <v>45901</v>
      </c>
      <c r="F122" s="286">
        <v>45930</v>
      </c>
      <c r="G122" s="291" t="s">
        <v>232</v>
      </c>
      <c r="H122" s="288" t="s">
        <v>11</v>
      </c>
      <c r="I122" s="285">
        <v>0.01</v>
      </c>
      <c r="J122" s="283">
        <v>5.0000000000000001E-3</v>
      </c>
      <c r="K122" s="292"/>
      <c r="L122" s="289"/>
      <c r="M122" s="284" t="s">
        <v>168</v>
      </c>
      <c r="N122" s="284" t="s">
        <v>65</v>
      </c>
      <c r="O122" s="284">
        <v>1767506</v>
      </c>
      <c r="P122" s="286" t="s">
        <v>3059</v>
      </c>
      <c r="Q122" s="287"/>
      <c r="R122" s="317" t="b">
        <v>1</v>
      </c>
    </row>
    <row r="123" spans="1:19" hidden="1">
      <c r="A123" s="284" t="s">
        <v>59</v>
      </c>
      <c r="B123" s="284">
        <v>8590</v>
      </c>
      <c r="C123" s="305" t="s">
        <v>165</v>
      </c>
      <c r="D123" s="284" t="s">
        <v>3088</v>
      </c>
      <c r="E123" s="286">
        <v>45901</v>
      </c>
      <c r="F123" s="286">
        <v>45930</v>
      </c>
      <c r="G123" s="291" t="s">
        <v>232</v>
      </c>
      <c r="H123" s="288" t="s">
        <v>11</v>
      </c>
      <c r="I123" s="285">
        <v>0.01</v>
      </c>
      <c r="J123" s="283">
        <v>5.0000000000000001E-3</v>
      </c>
      <c r="K123" s="292"/>
      <c r="L123" s="289"/>
      <c r="M123" s="284" t="s">
        <v>19</v>
      </c>
      <c r="N123" s="284" t="s">
        <v>147</v>
      </c>
      <c r="O123" s="284">
        <v>1767510</v>
      </c>
      <c r="P123" s="286" t="s">
        <v>3058</v>
      </c>
      <c r="Q123" s="287"/>
      <c r="R123" s="317" t="b">
        <v>1</v>
      </c>
    </row>
    <row r="124" spans="1:19" hidden="1">
      <c r="A124" s="284" t="s">
        <v>59</v>
      </c>
      <c r="B124" s="305" t="s">
        <v>3140</v>
      </c>
      <c r="C124" s="305" t="s">
        <v>165</v>
      </c>
      <c r="D124" s="284" t="s">
        <v>3087</v>
      </c>
      <c r="E124" s="286">
        <v>45901</v>
      </c>
      <c r="F124" s="286">
        <v>45930</v>
      </c>
      <c r="G124" s="291" t="s">
        <v>232</v>
      </c>
      <c r="H124" s="288" t="s">
        <v>11</v>
      </c>
      <c r="I124" s="285">
        <v>0.01</v>
      </c>
      <c r="J124" s="283">
        <v>5.0000000000000001E-3</v>
      </c>
      <c r="K124" s="292"/>
      <c r="L124" s="289"/>
      <c r="M124" s="284" t="s">
        <v>18</v>
      </c>
      <c r="N124" s="284" t="s">
        <v>2376</v>
      </c>
      <c r="O124" s="284">
        <v>1767519</v>
      </c>
      <c r="P124" s="286" t="s">
        <v>3057</v>
      </c>
      <c r="Q124" s="287"/>
      <c r="R124" s="317" t="b">
        <v>1</v>
      </c>
    </row>
    <row r="125" spans="1:19">
      <c r="A125" s="284" t="s">
        <v>58</v>
      </c>
      <c r="B125" s="284">
        <v>8659</v>
      </c>
      <c r="C125" s="305" t="s">
        <v>165</v>
      </c>
      <c r="D125" s="284" t="s">
        <v>4276</v>
      </c>
      <c r="E125" s="286">
        <v>45901</v>
      </c>
      <c r="F125" s="286">
        <v>45930</v>
      </c>
      <c r="G125" s="291" t="s">
        <v>4277</v>
      </c>
      <c r="H125" s="288" t="s">
        <v>11</v>
      </c>
      <c r="I125" s="285">
        <v>1000</v>
      </c>
      <c r="J125" s="283">
        <v>1.7500000000000002E-2</v>
      </c>
      <c r="K125" s="292"/>
      <c r="L125" s="289"/>
      <c r="M125" s="284"/>
      <c r="N125" s="284"/>
      <c r="O125" s="284">
        <v>1767584</v>
      </c>
      <c r="P125" s="286" t="s">
        <v>4275</v>
      </c>
      <c r="Q125" s="287"/>
      <c r="R125" s="317" t="b">
        <v>0</v>
      </c>
    </row>
    <row r="126" spans="1:19" hidden="1">
      <c r="A126" s="284" t="s">
        <v>59</v>
      </c>
      <c r="B126" s="284">
        <v>8630</v>
      </c>
      <c r="C126" s="305" t="s">
        <v>165</v>
      </c>
      <c r="D126" s="284" t="s">
        <v>4271</v>
      </c>
      <c r="E126" s="286">
        <v>45901</v>
      </c>
      <c r="F126" s="286">
        <v>45930</v>
      </c>
      <c r="G126" s="291" t="s">
        <v>4272</v>
      </c>
      <c r="H126" s="288" t="s">
        <v>11</v>
      </c>
      <c r="I126" s="285">
        <v>0.01</v>
      </c>
      <c r="J126" s="283">
        <v>5.0000000000000001E-3</v>
      </c>
      <c r="K126" s="292"/>
      <c r="L126" s="289"/>
      <c r="M126" s="284"/>
      <c r="N126" s="284"/>
      <c r="O126" s="284">
        <v>1767707</v>
      </c>
      <c r="P126" s="286" t="s">
        <v>4270</v>
      </c>
      <c r="Q126" s="287"/>
      <c r="R126" s="317" t="b">
        <v>1</v>
      </c>
    </row>
    <row r="127" spans="1:19" hidden="1">
      <c r="A127" s="284" t="s">
        <v>59</v>
      </c>
      <c r="B127" s="284">
        <v>8641</v>
      </c>
      <c r="C127" s="305" t="s">
        <v>165</v>
      </c>
      <c r="D127" s="284" t="s">
        <v>4267</v>
      </c>
      <c r="E127" s="286">
        <v>45901</v>
      </c>
      <c r="F127" s="286">
        <v>45930</v>
      </c>
      <c r="G127" s="291" t="s">
        <v>4567</v>
      </c>
      <c r="H127" s="288" t="s">
        <v>11</v>
      </c>
      <c r="I127" s="285">
        <v>0.01</v>
      </c>
      <c r="J127" s="283">
        <v>3.5000000000000003E-2</v>
      </c>
      <c r="K127" s="292"/>
      <c r="L127" s="289"/>
      <c r="M127" s="284"/>
      <c r="N127" s="284"/>
      <c r="O127" s="284">
        <v>1767819</v>
      </c>
      <c r="P127" s="286" t="s">
        <v>4266</v>
      </c>
      <c r="Q127" s="287"/>
      <c r="R127" s="317" t="b">
        <v>1</v>
      </c>
      <c r="S127"/>
    </row>
    <row r="128" spans="1:19">
      <c r="A128" s="284" t="s">
        <v>58</v>
      </c>
      <c r="B128" s="284">
        <v>8642</v>
      </c>
      <c r="C128" s="305" t="s">
        <v>165</v>
      </c>
      <c r="D128" s="284" t="s">
        <v>4267</v>
      </c>
      <c r="E128" s="286">
        <v>45901</v>
      </c>
      <c r="F128" s="286">
        <v>45930</v>
      </c>
      <c r="G128" s="291" t="s">
        <v>4568</v>
      </c>
      <c r="H128" s="288" t="s">
        <v>11</v>
      </c>
      <c r="I128" s="285">
        <v>0.01</v>
      </c>
      <c r="J128" s="283">
        <v>5.0000000000000001E-3</v>
      </c>
      <c r="K128" s="292"/>
      <c r="L128" s="289"/>
      <c r="M128" s="284"/>
      <c r="N128" s="284"/>
      <c r="O128" s="284">
        <v>1767819</v>
      </c>
      <c r="P128" s="286" t="s">
        <v>4266</v>
      </c>
      <c r="Q128" s="287"/>
      <c r="R128" s="317" t="b">
        <v>0</v>
      </c>
    </row>
    <row r="129" spans="1:18" hidden="1">
      <c r="A129" s="284" t="s">
        <v>59</v>
      </c>
      <c r="B129" s="284">
        <v>8629</v>
      </c>
      <c r="C129" s="305" t="s">
        <v>165</v>
      </c>
      <c r="D129" s="284" t="s">
        <v>4267</v>
      </c>
      <c r="E129" s="286">
        <v>45901</v>
      </c>
      <c r="F129" s="286">
        <v>45930</v>
      </c>
      <c r="G129" s="291" t="s">
        <v>232</v>
      </c>
      <c r="H129" s="288" t="s">
        <v>11</v>
      </c>
      <c r="I129" s="285">
        <v>0.01</v>
      </c>
      <c r="J129" s="283">
        <v>5.0000000000000001E-3</v>
      </c>
      <c r="K129" s="292"/>
      <c r="L129" s="289"/>
      <c r="M129" s="284"/>
      <c r="N129" s="284"/>
      <c r="O129" s="284">
        <v>1767819</v>
      </c>
      <c r="P129" s="286" t="s">
        <v>4266</v>
      </c>
      <c r="Q129" s="287"/>
      <c r="R129" s="317" t="b">
        <v>1</v>
      </c>
    </row>
    <row r="130" spans="1:18">
      <c r="A130" s="284" t="s">
        <v>58</v>
      </c>
      <c r="B130" s="284">
        <v>8643</v>
      </c>
      <c r="C130" s="305" t="s">
        <v>165</v>
      </c>
      <c r="D130" s="284" t="s">
        <v>4267</v>
      </c>
      <c r="E130" s="286">
        <v>45901</v>
      </c>
      <c r="F130" s="286">
        <v>45930</v>
      </c>
      <c r="G130" s="291" t="s">
        <v>4569</v>
      </c>
      <c r="H130" s="288" t="s">
        <v>11</v>
      </c>
      <c r="I130" s="285">
        <v>0.01</v>
      </c>
      <c r="J130" s="283">
        <v>5.0000000000000001E-3</v>
      </c>
      <c r="K130" s="292"/>
      <c r="L130" s="289"/>
      <c r="M130" s="284"/>
      <c r="N130" s="284"/>
      <c r="O130" s="284">
        <v>1767819</v>
      </c>
      <c r="P130" s="286" t="s">
        <v>4266</v>
      </c>
      <c r="Q130" s="287"/>
      <c r="R130" s="317" t="b">
        <v>0</v>
      </c>
    </row>
    <row r="131" spans="1:18">
      <c r="A131" s="284" t="s">
        <v>58</v>
      </c>
      <c r="B131" s="284">
        <v>8644</v>
      </c>
      <c r="C131" s="305" t="s">
        <v>165</v>
      </c>
      <c r="D131" s="284" t="s">
        <v>4267</v>
      </c>
      <c r="E131" s="286">
        <v>45901</v>
      </c>
      <c r="F131" s="286">
        <v>45930</v>
      </c>
      <c r="G131" s="291" t="s">
        <v>4570</v>
      </c>
      <c r="H131" s="288" t="s">
        <v>11</v>
      </c>
      <c r="I131" s="285">
        <v>0.01</v>
      </c>
      <c r="J131" s="283">
        <v>1.4999999999999999E-2</v>
      </c>
      <c r="K131" s="292"/>
      <c r="L131" s="289"/>
      <c r="M131" s="284"/>
      <c r="N131" s="284"/>
      <c r="O131" s="284">
        <v>1767819</v>
      </c>
      <c r="P131" s="286" t="s">
        <v>4266</v>
      </c>
      <c r="Q131" s="287"/>
      <c r="R131" s="317" t="b">
        <v>0</v>
      </c>
    </row>
    <row r="132" spans="1:18">
      <c r="A132" s="284" t="s">
        <v>58</v>
      </c>
      <c r="B132" s="284">
        <v>8645</v>
      </c>
      <c r="C132" s="305" t="s">
        <v>165</v>
      </c>
      <c r="D132" s="284" t="s">
        <v>4267</v>
      </c>
      <c r="E132" s="286">
        <v>45901</v>
      </c>
      <c r="F132" s="286">
        <v>45930</v>
      </c>
      <c r="G132" s="291" t="s">
        <v>4571</v>
      </c>
      <c r="H132" s="288" t="s">
        <v>11</v>
      </c>
      <c r="I132" s="285">
        <v>0.01</v>
      </c>
      <c r="J132" s="283">
        <v>2E-3</v>
      </c>
      <c r="K132" s="292"/>
      <c r="L132" s="289"/>
      <c r="M132" s="284"/>
      <c r="N132" s="284"/>
      <c r="O132" s="284">
        <v>1767819</v>
      </c>
      <c r="P132" s="286" t="s">
        <v>4266</v>
      </c>
      <c r="Q132" s="287"/>
      <c r="R132" s="317" t="b">
        <v>0</v>
      </c>
    </row>
    <row r="133" spans="1:18" hidden="1">
      <c r="A133" s="284" t="s">
        <v>59</v>
      </c>
      <c r="B133" s="284">
        <v>8628</v>
      </c>
      <c r="C133" s="305" t="s">
        <v>165</v>
      </c>
      <c r="D133" s="284" t="s">
        <v>4089</v>
      </c>
      <c r="E133" s="286">
        <v>45901</v>
      </c>
      <c r="F133" s="286">
        <v>45930</v>
      </c>
      <c r="G133" s="291" t="s">
        <v>3035</v>
      </c>
      <c r="H133" s="288" t="s">
        <v>11</v>
      </c>
      <c r="I133" s="285">
        <v>0.01</v>
      </c>
      <c r="J133" s="283">
        <v>5.0000000000000001E-3</v>
      </c>
      <c r="K133" s="292"/>
      <c r="L133" s="289"/>
      <c r="M133" s="284"/>
      <c r="N133" s="284"/>
      <c r="O133" s="284">
        <v>1767992</v>
      </c>
      <c r="P133" s="286" t="s">
        <v>4262</v>
      </c>
      <c r="Q133" s="287"/>
      <c r="R133" s="317" t="b">
        <v>1</v>
      </c>
    </row>
    <row r="134" spans="1:18" s="263" customFormat="1">
      <c r="A134" s="261"/>
      <c r="B134" s="261">
        <v>8854</v>
      </c>
      <c r="C134" s="305" t="s">
        <v>165</v>
      </c>
      <c r="D134" s="261">
        <v>15311</v>
      </c>
      <c r="E134" s="262">
        <v>45901</v>
      </c>
      <c r="F134" s="262">
        <v>45930</v>
      </c>
      <c r="G134" s="327" t="s">
        <v>4566</v>
      </c>
      <c r="H134" s="324" t="s">
        <v>11</v>
      </c>
      <c r="I134" s="322">
        <v>0.01</v>
      </c>
      <c r="J134" s="325">
        <v>3.0000000000000001E-3</v>
      </c>
      <c r="K134" s="292"/>
      <c r="L134" s="289"/>
      <c r="M134" s="284"/>
      <c r="N134" s="284"/>
      <c r="O134" s="261">
        <v>1768001</v>
      </c>
      <c r="P134" s="262" t="s">
        <v>4564</v>
      </c>
      <c r="Q134" s="326"/>
      <c r="R134" s="323" t="b">
        <v>0</v>
      </c>
    </row>
    <row r="135" spans="1:18" s="263" customFormat="1">
      <c r="A135" s="261"/>
      <c r="B135" s="261">
        <v>8853</v>
      </c>
      <c r="C135" s="305" t="s">
        <v>165</v>
      </c>
      <c r="D135" s="261">
        <v>18243</v>
      </c>
      <c r="E135" s="262">
        <v>45901</v>
      </c>
      <c r="F135" s="262">
        <v>45930</v>
      </c>
      <c r="G135" s="327" t="s">
        <v>4565</v>
      </c>
      <c r="H135" s="324" t="s">
        <v>11</v>
      </c>
      <c r="I135" s="322">
        <v>0.01</v>
      </c>
      <c r="J135" s="325">
        <v>3.0000000000000001E-3</v>
      </c>
      <c r="K135" s="292"/>
      <c r="L135" s="289"/>
      <c r="M135" s="284"/>
      <c r="N135" s="284"/>
      <c r="O135" s="261">
        <v>1768001</v>
      </c>
      <c r="P135" s="262" t="s">
        <v>4564</v>
      </c>
      <c r="Q135" s="326"/>
      <c r="R135" s="323" t="b">
        <v>0</v>
      </c>
    </row>
    <row r="136" spans="1:18">
      <c r="A136" s="284" t="s">
        <v>58</v>
      </c>
      <c r="B136" s="284">
        <v>8658</v>
      </c>
      <c r="C136" s="305" t="s">
        <v>165</v>
      </c>
      <c r="D136" s="284">
        <v>18263</v>
      </c>
      <c r="E136" s="286">
        <v>45901</v>
      </c>
      <c r="F136" s="286">
        <v>45930</v>
      </c>
      <c r="G136" s="291" t="s">
        <v>4563</v>
      </c>
      <c r="H136" s="288" t="s">
        <v>11</v>
      </c>
      <c r="I136" s="285">
        <v>0.01</v>
      </c>
      <c r="J136" s="283">
        <v>3.0000000000000001E-3</v>
      </c>
      <c r="K136" s="292"/>
      <c r="L136" s="289"/>
      <c r="M136" s="284"/>
      <c r="N136" s="284"/>
      <c r="O136" s="284">
        <v>1768001</v>
      </c>
      <c r="P136" s="286" t="s">
        <v>4564</v>
      </c>
      <c r="Q136" s="287"/>
      <c r="R136" s="317" t="b">
        <v>0</v>
      </c>
    </row>
    <row r="137" spans="1:18">
      <c r="A137" s="284" t="s">
        <v>58</v>
      </c>
      <c r="B137" s="284">
        <v>8657</v>
      </c>
      <c r="C137" s="305" t="s">
        <v>165</v>
      </c>
      <c r="D137" s="284" t="s">
        <v>4258</v>
      </c>
      <c r="E137" s="286">
        <v>45901</v>
      </c>
      <c r="F137" s="286">
        <v>45930</v>
      </c>
      <c r="G137" s="291" t="s">
        <v>4259</v>
      </c>
      <c r="H137" s="288" t="s">
        <v>11</v>
      </c>
      <c r="I137" s="285">
        <v>0.01</v>
      </c>
      <c r="J137" s="319">
        <v>5.0000000000000001E-3</v>
      </c>
      <c r="K137" s="292"/>
      <c r="L137" s="289"/>
      <c r="M137" s="284"/>
      <c r="N137" s="284"/>
      <c r="O137" s="284">
        <v>1768011</v>
      </c>
      <c r="P137" s="286" t="s">
        <v>4257</v>
      </c>
      <c r="Q137" s="287"/>
      <c r="R137" s="317" t="b">
        <v>0</v>
      </c>
    </row>
    <row r="138" spans="1:18">
      <c r="A138" s="284" t="s">
        <v>58</v>
      </c>
      <c r="B138" s="284">
        <v>8637</v>
      </c>
      <c r="C138" s="305" t="s">
        <v>165</v>
      </c>
      <c r="D138" s="284" t="s">
        <v>4254</v>
      </c>
      <c r="E138" s="286">
        <v>45901</v>
      </c>
      <c r="F138" s="286">
        <v>45930</v>
      </c>
      <c r="G138" s="291" t="s">
        <v>4557</v>
      </c>
      <c r="H138" s="288" t="s">
        <v>11</v>
      </c>
      <c r="I138" s="285">
        <v>0.01</v>
      </c>
      <c r="J138" s="283">
        <v>5.0000000000000001E-3</v>
      </c>
      <c r="K138" s="292"/>
      <c r="L138" s="289"/>
      <c r="M138" s="284"/>
      <c r="N138" s="284"/>
      <c r="O138" s="284">
        <v>1768110</v>
      </c>
      <c r="P138" s="286" t="s">
        <v>4253</v>
      </c>
      <c r="Q138" s="287" t="s">
        <v>4558</v>
      </c>
      <c r="R138" s="317" t="b">
        <v>0</v>
      </c>
    </row>
    <row r="139" spans="1:18">
      <c r="A139" s="284" t="s">
        <v>58</v>
      </c>
      <c r="B139" s="284">
        <v>8639</v>
      </c>
      <c r="C139" s="305" t="s">
        <v>165</v>
      </c>
      <c r="D139" s="284" t="s">
        <v>4254</v>
      </c>
      <c r="E139" s="286">
        <v>45901</v>
      </c>
      <c r="F139" s="286">
        <v>45930</v>
      </c>
      <c r="G139" s="291" t="s">
        <v>4559</v>
      </c>
      <c r="H139" s="288" t="s">
        <v>11</v>
      </c>
      <c r="I139" s="285">
        <v>0.01</v>
      </c>
      <c r="J139" s="283">
        <v>0.01</v>
      </c>
      <c r="K139" s="292"/>
      <c r="L139" s="289"/>
      <c r="M139" s="284"/>
      <c r="N139" s="284"/>
      <c r="O139" s="284">
        <v>1768110</v>
      </c>
      <c r="P139" s="286" t="s">
        <v>4253</v>
      </c>
      <c r="Q139" s="287" t="s">
        <v>4558</v>
      </c>
      <c r="R139" s="317" t="b">
        <v>0</v>
      </c>
    </row>
    <row r="140" spans="1:18" hidden="1">
      <c r="A140" s="284" t="s">
        <v>59</v>
      </c>
      <c r="B140" s="284">
        <v>8627</v>
      </c>
      <c r="C140" s="305" t="s">
        <v>165</v>
      </c>
      <c r="D140" s="284" t="s">
        <v>4254</v>
      </c>
      <c r="E140" s="286">
        <v>45901</v>
      </c>
      <c r="F140" s="286">
        <v>45930</v>
      </c>
      <c r="G140" s="291" t="s">
        <v>4560</v>
      </c>
      <c r="H140" s="288" t="s">
        <v>11</v>
      </c>
      <c r="I140" s="285">
        <v>0.01</v>
      </c>
      <c r="J140" s="283">
        <v>6.0000000000000001E-3</v>
      </c>
      <c r="K140" s="292"/>
      <c r="L140" s="289"/>
      <c r="M140" s="284"/>
      <c r="N140" s="284"/>
      <c r="O140" s="284">
        <v>1768110</v>
      </c>
      <c r="P140" s="286" t="s">
        <v>4253</v>
      </c>
      <c r="Q140" s="287" t="s">
        <v>4558</v>
      </c>
      <c r="R140" s="317" t="b">
        <v>1</v>
      </c>
    </row>
    <row r="141" spans="1:18">
      <c r="A141" s="284" t="s">
        <v>58</v>
      </c>
      <c r="B141" s="284">
        <v>8638</v>
      </c>
      <c r="C141" s="305" t="s">
        <v>165</v>
      </c>
      <c r="D141" s="284" t="s">
        <v>4254</v>
      </c>
      <c r="E141" s="286">
        <v>45901</v>
      </c>
      <c r="F141" s="286">
        <v>45930</v>
      </c>
      <c r="G141" s="291" t="s">
        <v>4561</v>
      </c>
      <c r="H141" s="288" t="s">
        <v>11</v>
      </c>
      <c r="I141" s="285">
        <v>0.01</v>
      </c>
      <c r="J141" s="283">
        <v>1.4999999999999999E-2</v>
      </c>
      <c r="K141" s="292"/>
      <c r="L141" s="289"/>
      <c r="M141" s="284"/>
      <c r="N141" s="284"/>
      <c r="O141" s="284">
        <v>1768110</v>
      </c>
      <c r="P141" s="286" t="s">
        <v>4253</v>
      </c>
      <c r="Q141" s="287" t="s">
        <v>4558</v>
      </c>
      <c r="R141" s="317" t="b">
        <v>0</v>
      </c>
    </row>
    <row r="142" spans="1:18">
      <c r="A142" s="284" t="s">
        <v>58</v>
      </c>
      <c r="B142" s="284">
        <v>8640</v>
      </c>
      <c r="C142" s="305" t="s">
        <v>165</v>
      </c>
      <c r="D142" s="284" t="s">
        <v>4254</v>
      </c>
      <c r="E142" s="286">
        <v>45901</v>
      </c>
      <c r="F142" s="286">
        <v>45930</v>
      </c>
      <c r="G142" s="291" t="s">
        <v>4562</v>
      </c>
      <c r="H142" s="288" t="s">
        <v>11</v>
      </c>
      <c r="I142" s="285">
        <v>0.01</v>
      </c>
      <c r="J142" s="283">
        <v>5.0000000000000001E-3</v>
      </c>
      <c r="K142" s="292"/>
      <c r="L142" s="289"/>
      <c r="M142" s="284"/>
      <c r="N142" s="284"/>
      <c r="O142" s="284">
        <v>1768110</v>
      </c>
      <c r="P142" s="286" t="s">
        <v>4253</v>
      </c>
      <c r="Q142" s="287" t="s">
        <v>4558</v>
      </c>
      <c r="R142" s="317" t="b">
        <v>0</v>
      </c>
    </row>
    <row r="143" spans="1:18" hidden="1">
      <c r="A143" s="284" t="s">
        <v>59</v>
      </c>
      <c r="B143" s="284">
        <v>8626</v>
      </c>
      <c r="C143" s="305" t="s">
        <v>165</v>
      </c>
      <c r="D143" s="284">
        <v>17204</v>
      </c>
      <c r="E143" s="286">
        <v>45901</v>
      </c>
      <c r="F143" s="286">
        <v>45930</v>
      </c>
      <c r="G143" s="291" t="s">
        <v>4556</v>
      </c>
      <c r="H143" s="288" t="s">
        <v>11</v>
      </c>
      <c r="I143" s="285">
        <v>0.01</v>
      </c>
      <c r="J143" s="283">
        <v>2E-3</v>
      </c>
      <c r="K143" s="292"/>
      <c r="L143" s="289"/>
      <c r="M143" s="284"/>
      <c r="N143" s="284"/>
      <c r="O143" s="284">
        <v>1768243</v>
      </c>
      <c r="P143" s="286" t="s">
        <v>4249</v>
      </c>
      <c r="Q143" s="287"/>
      <c r="R143" s="317" t="b">
        <v>1</v>
      </c>
    </row>
    <row r="144" spans="1:18">
      <c r="A144" s="284" t="s">
        <v>58</v>
      </c>
      <c r="B144" s="284">
        <v>8655</v>
      </c>
      <c r="C144" s="305" t="s">
        <v>165</v>
      </c>
      <c r="D144" s="284" t="s">
        <v>4250</v>
      </c>
      <c r="E144" s="286">
        <v>45901</v>
      </c>
      <c r="F144" s="286">
        <v>45930</v>
      </c>
      <c r="G144" s="291" t="s">
        <v>4554</v>
      </c>
      <c r="H144" s="288" t="s">
        <v>11</v>
      </c>
      <c r="I144" s="285">
        <v>0.01</v>
      </c>
      <c r="J144" s="283">
        <v>1.95E-2</v>
      </c>
      <c r="K144" s="292"/>
      <c r="L144" s="289"/>
      <c r="M144" s="284"/>
      <c r="N144" s="284"/>
      <c r="O144" s="284">
        <v>1768243</v>
      </c>
      <c r="P144" s="286" t="s">
        <v>4249</v>
      </c>
      <c r="Q144" s="287"/>
      <c r="R144" s="317" t="b">
        <v>0</v>
      </c>
    </row>
    <row r="145" spans="1:18">
      <c r="A145" s="284" t="s">
        <v>58</v>
      </c>
      <c r="B145" s="284">
        <v>8656</v>
      </c>
      <c r="C145" s="305" t="s">
        <v>165</v>
      </c>
      <c r="D145" s="284" t="s">
        <v>4250</v>
      </c>
      <c r="E145" s="286">
        <v>45901</v>
      </c>
      <c r="F145" s="286">
        <v>45930</v>
      </c>
      <c r="G145" s="291" t="s">
        <v>4555</v>
      </c>
      <c r="H145" s="288" t="s">
        <v>11</v>
      </c>
      <c r="I145" s="285">
        <v>0.01</v>
      </c>
      <c r="J145" s="283">
        <v>6.3E-3</v>
      </c>
      <c r="K145" s="292"/>
      <c r="L145" s="289"/>
      <c r="M145" s="284"/>
      <c r="N145" s="284"/>
      <c r="O145" s="284">
        <v>1768243</v>
      </c>
      <c r="P145" s="286" t="s">
        <v>4249</v>
      </c>
      <c r="Q145" s="287"/>
      <c r="R145" s="317" t="b">
        <v>0</v>
      </c>
    </row>
    <row r="146" spans="1:18" hidden="1">
      <c r="A146" s="284" t="s">
        <v>59</v>
      </c>
      <c r="B146" s="284">
        <v>8625</v>
      </c>
      <c r="C146" s="305" t="s">
        <v>165</v>
      </c>
      <c r="D146" s="284" t="s">
        <v>4246</v>
      </c>
      <c r="E146" s="286">
        <v>45901</v>
      </c>
      <c r="F146" s="286">
        <v>45930</v>
      </c>
      <c r="G146" s="291" t="s">
        <v>76</v>
      </c>
      <c r="H146" s="288" t="s">
        <v>11</v>
      </c>
      <c r="I146" s="285">
        <v>0.01</v>
      </c>
      <c r="J146" s="283">
        <v>5.0000000000000001E-3</v>
      </c>
      <c r="K146" s="292"/>
      <c r="L146" s="289"/>
      <c r="M146" s="284"/>
      <c r="N146" s="284"/>
      <c r="O146" s="284">
        <v>1768254</v>
      </c>
      <c r="P146" s="286" t="s">
        <v>4245</v>
      </c>
      <c r="Q146" s="287"/>
      <c r="R146" s="317" t="b">
        <v>1</v>
      </c>
    </row>
    <row r="147" spans="1:18">
      <c r="A147" s="284" t="s">
        <v>58</v>
      </c>
      <c r="B147" s="284">
        <v>8653</v>
      </c>
      <c r="C147" s="305" t="s">
        <v>165</v>
      </c>
      <c r="D147" s="284" t="s">
        <v>4246</v>
      </c>
      <c r="E147" s="286">
        <v>45901</v>
      </c>
      <c r="F147" s="286">
        <v>45930</v>
      </c>
      <c r="G147" s="291" t="s">
        <v>4552</v>
      </c>
      <c r="H147" s="288" t="s">
        <v>11</v>
      </c>
      <c r="I147" s="285">
        <v>0.01</v>
      </c>
      <c r="J147" s="283">
        <v>5.0000000000000001E-3</v>
      </c>
      <c r="K147" s="292"/>
      <c r="L147" s="289"/>
      <c r="M147" s="284"/>
      <c r="N147" s="284"/>
      <c r="O147" s="284">
        <v>1768254</v>
      </c>
      <c r="P147" s="286" t="s">
        <v>4245</v>
      </c>
      <c r="Q147" s="287"/>
      <c r="R147" s="317" t="b">
        <v>0</v>
      </c>
    </row>
    <row r="148" spans="1:18">
      <c r="A148" s="284" t="s">
        <v>58</v>
      </c>
      <c r="B148" s="284">
        <v>8654</v>
      </c>
      <c r="C148" s="305" t="s">
        <v>165</v>
      </c>
      <c r="D148" s="284" t="s">
        <v>4246</v>
      </c>
      <c r="E148" s="286">
        <v>45901</v>
      </c>
      <c r="F148" s="286">
        <v>45930</v>
      </c>
      <c r="G148" s="291" t="s">
        <v>4553</v>
      </c>
      <c r="H148" s="288" t="s">
        <v>11</v>
      </c>
      <c r="I148" s="285">
        <v>0.01</v>
      </c>
      <c r="J148" s="283">
        <v>2E-3</v>
      </c>
      <c r="K148" s="292"/>
      <c r="L148" s="289"/>
      <c r="M148" s="284"/>
      <c r="N148" s="284"/>
      <c r="O148" s="284">
        <v>1768254</v>
      </c>
      <c r="P148" s="286" t="s">
        <v>4245</v>
      </c>
      <c r="Q148" s="287"/>
      <c r="R148" s="317" t="b">
        <v>0</v>
      </c>
    </row>
    <row r="149" spans="1:18">
      <c r="A149" s="261" t="s">
        <v>59</v>
      </c>
      <c r="B149" s="261">
        <v>8631</v>
      </c>
      <c r="C149" s="305" t="s">
        <v>165</v>
      </c>
      <c r="D149" s="261">
        <v>16130</v>
      </c>
      <c r="E149" s="262">
        <v>45901</v>
      </c>
      <c r="F149" s="262">
        <v>45930</v>
      </c>
      <c r="G149" s="321" t="s">
        <v>4538</v>
      </c>
      <c r="H149" s="324" t="s">
        <v>11</v>
      </c>
      <c r="I149" s="322">
        <v>0.01</v>
      </c>
      <c r="J149" s="325">
        <v>5.0000000000000001E-3</v>
      </c>
      <c r="K149" s="292"/>
      <c r="L149" s="289"/>
      <c r="M149" s="284"/>
      <c r="N149" s="284"/>
      <c r="O149" s="261">
        <v>1768271</v>
      </c>
      <c r="P149" s="262" t="s">
        <v>4539</v>
      </c>
      <c r="Q149" s="326"/>
      <c r="R149" s="323" t="b">
        <v>0</v>
      </c>
    </row>
    <row r="150" spans="1:18">
      <c r="A150" s="261" t="s">
        <v>59</v>
      </c>
      <c r="B150" s="261">
        <v>8633</v>
      </c>
      <c r="C150" s="305" t="s">
        <v>165</v>
      </c>
      <c r="D150" s="261">
        <v>16130</v>
      </c>
      <c r="E150" s="262">
        <v>45901</v>
      </c>
      <c r="F150" s="262">
        <v>45930</v>
      </c>
      <c r="G150" s="321" t="s">
        <v>4542</v>
      </c>
      <c r="H150" s="324" t="s">
        <v>11</v>
      </c>
      <c r="I150" s="322">
        <v>0.01</v>
      </c>
      <c r="J150" s="325">
        <v>2.75E-2</v>
      </c>
      <c r="K150" s="292"/>
      <c r="L150" s="289"/>
      <c r="M150" s="284"/>
      <c r="N150" s="284"/>
      <c r="O150" s="261">
        <v>1768271</v>
      </c>
      <c r="P150" s="262" t="s">
        <v>4539</v>
      </c>
      <c r="Q150" s="326"/>
      <c r="R150" s="323" t="b">
        <v>0</v>
      </c>
    </row>
    <row r="151" spans="1:18">
      <c r="A151" s="261" t="s">
        <v>59</v>
      </c>
      <c r="B151" s="261">
        <v>8634</v>
      </c>
      <c r="C151" s="305" t="s">
        <v>165</v>
      </c>
      <c r="D151" s="261">
        <v>16130</v>
      </c>
      <c r="E151" s="262">
        <v>45901</v>
      </c>
      <c r="F151" s="262">
        <v>45930</v>
      </c>
      <c r="G151" s="321" t="s">
        <v>4543</v>
      </c>
      <c r="H151" s="324" t="s">
        <v>11</v>
      </c>
      <c r="I151" s="322">
        <v>0.01</v>
      </c>
      <c r="J151" s="325">
        <v>7.4999999999999997E-3</v>
      </c>
      <c r="K151" s="292"/>
      <c r="L151" s="289"/>
      <c r="M151" s="284"/>
      <c r="N151" s="284"/>
      <c r="O151" s="261">
        <v>1768271</v>
      </c>
      <c r="P151" s="262" t="s">
        <v>4539</v>
      </c>
      <c r="Q151" s="326"/>
      <c r="R151" s="323" t="b">
        <v>0</v>
      </c>
    </row>
    <row r="152" spans="1:18" s="263" customFormat="1">
      <c r="A152" s="261" t="s">
        <v>59</v>
      </c>
      <c r="B152" s="261">
        <v>8635</v>
      </c>
      <c r="C152" s="305" t="s">
        <v>165</v>
      </c>
      <c r="D152" s="261">
        <v>16130</v>
      </c>
      <c r="E152" s="262">
        <v>45901</v>
      </c>
      <c r="F152" s="262">
        <v>45930</v>
      </c>
      <c r="G152" s="321" t="s">
        <v>4544</v>
      </c>
      <c r="H152" s="324" t="s">
        <v>11</v>
      </c>
      <c r="I152" s="322">
        <v>0.01</v>
      </c>
      <c r="J152" s="325">
        <v>5.0000000000000001E-3</v>
      </c>
      <c r="K152" s="292"/>
      <c r="L152" s="289"/>
      <c r="M152" s="284"/>
      <c r="N152" s="284"/>
      <c r="O152" s="261">
        <v>1768271</v>
      </c>
      <c r="P152" s="262" t="s">
        <v>4539</v>
      </c>
      <c r="Q152" s="326"/>
      <c r="R152" s="323" t="b">
        <v>0</v>
      </c>
    </row>
    <row r="153" spans="1:18" s="263" customFormat="1">
      <c r="A153" s="284" t="s">
        <v>58</v>
      </c>
      <c r="B153" s="284">
        <v>8636</v>
      </c>
      <c r="C153" s="305" t="s">
        <v>165</v>
      </c>
      <c r="D153" s="284">
        <v>16130</v>
      </c>
      <c r="E153" s="286">
        <v>45901</v>
      </c>
      <c r="F153" s="286">
        <v>45930</v>
      </c>
      <c r="G153" s="291" t="s">
        <v>4545</v>
      </c>
      <c r="H153" s="288" t="s">
        <v>11</v>
      </c>
      <c r="I153" s="285">
        <v>0.01</v>
      </c>
      <c r="J153" s="283">
        <v>5.0000000000000001E-3</v>
      </c>
      <c r="K153" s="292"/>
      <c r="L153" s="289"/>
      <c r="M153" s="284"/>
      <c r="N153" s="284"/>
      <c r="O153" s="284">
        <v>1768271</v>
      </c>
      <c r="P153" s="286" t="s">
        <v>4539</v>
      </c>
      <c r="Q153" s="287"/>
      <c r="R153" s="317" t="b">
        <v>0</v>
      </c>
    </row>
    <row r="154" spans="1:18" s="263" customFormat="1">
      <c r="A154" s="261" t="s">
        <v>59</v>
      </c>
      <c r="B154" s="261">
        <v>8632</v>
      </c>
      <c r="C154" s="305" t="s">
        <v>165</v>
      </c>
      <c r="D154" s="261" t="s">
        <v>4540</v>
      </c>
      <c r="E154" s="262">
        <v>45901</v>
      </c>
      <c r="F154" s="262">
        <v>45930</v>
      </c>
      <c r="G154" s="321" t="s">
        <v>4541</v>
      </c>
      <c r="H154" s="324" t="s">
        <v>11</v>
      </c>
      <c r="I154" s="322">
        <v>0.01</v>
      </c>
      <c r="J154" s="325">
        <v>0.02</v>
      </c>
      <c r="K154" s="292"/>
      <c r="L154" s="289"/>
      <c r="M154" s="284"/>
      <c r="N154" s="284"/>
      <c r="O154" s="261">
        <v>1768271</v>
      </c>
      <c r="P154" s="262" t="s">
        <v>4539</v>
      </c>
      <c r="Q154" s="326"/>
      <c r="R154" s="323" t="b">
        <v>0</v>
      </c>
    </row>
    <row r="155" spans="1:18" s="263" customFormat="1">
      <c r="A155" s="284" t="s">
        <v>58</v>
      </c>
      <c r="B155" s="284">
        <v>8646</v>
      </c>
      <c r="C155" s="305" t="s">
        <v>165</v>
      </c>
      <c r="D155" s="284">
        <v>16130</v>
      </c>
      <c r="E155" s="286">
        <v>45901</v>
      </c>
      <c r="F155" s="286">
        <v>45930</v>
      </c>
      <c r="G155" s="291" t="s">
        <v>4551</v>
      </c>
      <c r="H155" s="288" t="s">
        <v>11</v>
      </c>
      <c r="I155" s="285">
        <v>0.01</v>
      </c>
      <c r="J155" s="283">
        <v>2E-3</v>
      </c>
      <c r="K155" s="292"/>
      <c r="L155" s="289"/>
      <c r="M155" s="284"/>
      <c r="N155" s="284"/>
      <c r="O155" s="284">
        <v>1768275</v>
      </c>
      <c r="P155" s="286" t="s">
        <v>4242</v>
      </c>
      <c r="Q155" s="287"/>
      <c r="R155" s="317" t="b">
        <v>0</v>
      </c>
    </row>
    <row r="156" spans="1:18" s="263" customFormat="1">
      <c r="A156" s="284" t="s">
        <v>58</v>
      </c>
      <c r="B156" s="284">
        <v>8648</v>
      </c>
      <c r="C156" s="305" t="s">
        <v>165</v>
      </c>
      <c r="D156" s="284">
        <v>16130</v>
      </c>
      <c r="E156" s="286">
        <v>45901</v>
      </c>
      <c r="F156" s="286">
        <v>45930</v>
      </c>
      <c r="G156" s="291" t="s">
        <v>4549</v>
      </c>
      <c r="H156" s="288" t="s">
        <v>11</v>
      </c>
      <c r="I156" s="285">
        <v>0.01</v>
      </c>
      <c r="J156" s="283">
        <v>1.95E-2</v>
      </c>
      <c r="K156" s="292"/>
      <c r="L156" s="289"/>
      <c r="M156" s="284"/>
      <c r="N156" s="284"/>
      <c r="O156" s="284">
        <v>1768278</v>
      </c>
      <c r="P156" s="286" t="s">
        <v>4239</v>
      </c>
      <c r="Q156" s="287"/>
      <c r="R156" s="317" t="b">
        <v>0</v>
      </c>
    </row>
    <row r="157" spans="1:18" s="263" customFormat="1">
      <c r="A157" s="284" t="s">
        <v>58</v>
      </c>
      <c r="B157" s="284">
        <v>8647</v>
      </c>
      <c r="C157" s="305" t="s">
        <v>165</v>
      </c>
      <c r="D157" s="284">
        <v>16130</v>
      </c>
      <c r="E157" s="286">
        <v>45901</v>
      </c>
      <c r="F157" s="286">
        <v>45930</v>
      </c>
      <c r="G157" s="291" t="s">
        <v>4550</v>
      </c>
      <c r="H157" s="288" t="s">
        <v>11</v>
      </c>
      <c r="I157" s="285">
        <v>0.01</v>
      </c>
      <c r="J157" s="283">
        <v>4.4999999999999997E-3</v>
      </c>
      <c r="K157" s="292"/>
      <c r="L157" s="289"/>
      <c r="M157" s="284"/>
      <c r="N157" s="284"/>
      <c r="O157" s="284">
        <v>1768278</v>
      </c>
      <c r="P157" s="286" t="s">
        <v>4239</v>
      </c>
      <c r="Q157" s="287"/>
      <c r="R157" s="317" t="b">
        <v>0</v>
      </c>
    </row>
    <row r="158" spans="1:18">
      <c r="A158" s="261" t="s">
        <v>59</v>
      </c>
      <c r="B158" s="261">
        <v>8651</v>
      </c>
      <c r="C158" s="305" t="s">
        <v>165</v>
      </c>
      <c r="D158" s="261">
        <v>16130</v>
      </c>
      <c r="E158" s="262">
        <v>45901</v>
      </c>
      <c r="F158" s="262">
        <v>45930</v>
      </c>
      <c r="G158" s="321" t="s">
        <v>4546</v>
      </c>
      <c r="H158" s="324" t="s">
        <v>11</v>
      </c>
      <c r="I158" s="322">
        <v>0.01</v>
      </c>
      <c r="J158" s="325">
        <v>2E-3</v>
      </c>
      <c r="K158" s="292"/>
      <c r="L158" s="289"/>
      <c r="M158" s="284"/>
      <c r="N158" s="284"/>
      <c r="O158" s="261">
        <v>1768284</v>
      </c>
      <c r="P158" s="262" t="s">
        <v>4236</v>
      </c>
      <c r="Q158" s="326"/>
      <c r="R158" s="323" t="b">
        <v>0</v>
      </c>
    </row>
    <row r="159" spans="1:18" s="263" customFormat="1">
      <c r="A159" s="261" t="s">
        <v>59</v>
      </c>
      <c r="B159" s="261">
        <v>8650</v>
      </c>
      <c r="C159" s="305" t="s">
        <v>165</v>
      </c>
      <c r="D159" s="261">
        <v>16130</v>
      </c>
      <c r="E159" s="262">
        <v>45901</v>
      </c>
      <c r="F159" s="262">
        <v>45930</v>
      </c>
      <c r="G159" s="321" t="s">
        <v>4547</v>
      </c>
      <c r="H159" s="324" t="s">
        <v>11</v>
      </c>
      <c r="I159" s="322">
        <v>0.01</v>
      </c>
      <c r="J159" s="325">
        <v>0.01</v>
      </c>
      <c r="K159" s="292"/>
      <c r="L159" s="289"/>
      <c r="M159" s="284"/>
      <c r="N159" s="284"/>
      <c r="O159" s="261">
        <v>1768284</v>
      </c>
      <c r="P159" s="262" t="s">
        <v>4236</v>
      </c>
      <c r="Q159" s="326"/>
      <c r="R159" s="323" t="b">
        <v>0</v>
      </c>
    </row>
    <row r="160" spans="1:18" s="263" customFormat="1">
      <c r="A160" s="261" t="s">
        <v>59</v>
      </c>
      <c r="B160" s="261">
        <v>8649</v>
      </c>
      <c r="C160" s="305" t="s">
        <v>165</v>
      </c>
      <c r="D160" s="261">
        <v>16130</v>
      </c>
      <c r="E160" s="262">
        <v>45901</v>
      </c>
      <c r="F160" s="262">
        <v>45930</v>
      </c>
      <c r="G160" s="321" t="s">
        <v>4548</v>
      </c>
      <c r="H160" s="324" t="s">
        <v>11</v>
      </c>
      <c r="I160" s="322">
        <v>0.01</v>
      </c>
      <c r="J160" s="325">
        <v>0.03</v>
      </c>
      <c r="K160" s="292"/>
      <c r="L160" s="289"/>
      <c r="M160" s="284"/>
      <c r="N160" s="284"/>
      <c r="O160" s="261">
        <v>1768284</v>
      </c>
      <c r="P160" s="262" t="s">
        <v>4236</v>
      </c>
      <c r="Q160" s="326"/>
      <c r="R160" s="323" t="b">
        <v>0</v>
      </c>
    </row>
    <row r="161" spans="1:18" s="263" customFormat="1">
      <c r="A161" s="284" t="s">
        <v>58</v>
      </c>
      <c r="B161" s="284">
        <v>8653</v>
      </c>
      <c r="C161" s="305" t="s">
        <v>165</v>
      </c>
      <c r="D161" s="284">
        <v>16105</v>
      </c>
      <c r="E161" s="286">
        <v>45901</v>
      </c>
      <c r="F161" s="286">
        <v>45930</v>
      </c>
      <c r="G161" s="291" t="s">
        <v>1489</v>
      </c>
      <c r="H161" s="288" t="s">
        <v>11</v>
      </c>
      <c r="I161" s="285">
        <v>0.01</v>
      </c>
      <c r="J161" s="283">
        <v>1.4999999999999999E-2</v>
      </c>
      <c r="K161" s="292"/>
      <c r="L161" s="289"/>
      <c r="M161" s="284"/>
      <c r="N161" s="284"/>
      <c r="O161" s="284">
        <v>1768356</v>
      </c>
      <c r="P161" s="286" t="s">
        <v>4232</v>
      </c>
      <c r="Q161" s="287"/>
      <c r="R161" s="317" t="b">
        <v>0</v>
      </c>
    </row>
    <row r="162" spans="1:18">
      <c r="A162" s="261" t="s">
        <v>59</v>
      </c>
      <c r="B162" s="261">
        <v>8652</v>
      </c>
      <c r="C162" s="305" t="s">
        <v>165</v>
      </c>
      <c r="D162" s="261">
        <v>16105</v>
      </c>
      <c r="E162" s="262">
        <v>45901</v>
      </c>
      <c r="F162" s="262">
        <v>45930</v>
      </c>
      <c r="G162" s="321" t="s">
        <v>4537</v>
      </c>
      <c r="H162" s="324" t="s">
        <v>11</v>
      </c>
      <c r="I162" s="322">
        <v>0.01</v>
      </c>
      <c r="J162" s="325">
        <v>0.02</v>
      </c>
      <c r="K162" s="292"/>
      <c r="L162" s="289"/>
      <c r="M162" s="284"/>
      <c r="N162" s="284"/>
      <c r="O162" s="261">
        <v>1768356</v>
      </c>
      <c r="P162" s="262" t="s">
        <v>4232</v>
      </c>
      <c r="Q162" s="326"/>
      <c r="R162" s="323" t="b">
        <v>0</v>
      </c>
    </row>
    <row r="163" spans="1:18" hidden="1">
      <c r="A163" s="284" t="s">
        <v>59</v>
      </c>
      <c r="B163" s="284">
        <v>8624</v>
      </c>
      <c r="C163" s="305" t="s">
        <v>165</v>
      </c>
      <c r="D163" s="284">
        <v>17683</v>
      </c>
      <c r="E163" s="286">
        <v>45901</v>
      </c>
      <c r="F163" s="286">
        <v>45930</v>
      </c>
      <c r="G163" s="291" t="s">
        <v>76</v>
      </c>
      <c r="H163" s="288" t="s">
        <v>11</v>
      </c>
      <c r="I163" s="285">
        <v>0.01</v>
      </c>
      <c r="J163" s="283">
        <v>6.4999999999999997E-3</v>
      </c>
      <c r="K163" s="292"/>
      <c r="L163" s="289">
        <v>6.4999999999999997E-3</v>
      </c>
      <c r="M163" s="284"/>
      <c r="N163" s="284"/>
      <c r="O163" s="284">
        <v>1768566</v>
      </c>
      <c r="P163" s="286" t="s">
        <v>4227</v>
      </c>
      <c r="Q163" s="287"/>
      <c r="R163" s="317" t="b">
        <v>1</v>
      </c>
    </row>
    <row r="164" spans="1:18" hidden="1">
      <c r="A164" s="284" t="s">
        <v>59</v>
      </c>
      <c r="B164" s="284">
        <v>8676</v>
      </c>
      <c r="C164" s="305" t="s">
        <v>165</v>
      </c>
      <c r="D164" s="284">
        <v>15008</v>
      </c>
      <c r="E164" s="286">
        <v>45901</v>
      </c>
      <c r="F164" s="286">
        <v>45930</v>
      </c>
      <c r="G164" s="291" t="s">
        <v>76</v>
      </c>
      <c r="H164" s="288"/>
      <c r="I164" s="285">
        <v>0.01</v>
      </c>
      <c r="J164" s="283">
        <v>7.4999999999999997E-3</v>
      </c>
      <c r="K164" s="292"/>
      <c r="L164" s="289"/>
      <c r="M164" s="284"/>
      <c r="N164" s="284"/>
      <c r="O164" s="284">
        <v>1768580</v>
      </c>
      <c r="P164" s="286" t="s">
        <v>4223</v>
      </c>
      <c r="Q164" s="287"/>
      <c r="R164" s="317" t="b">
        <v>1</v>
      </c>
    </row>
    <row r="165" spans="1:18" hidden="1">
      <c r="A165" s="284" t="s">
        <v>59</v>
      </c>
      <c r="B165" s="284">
        <v>8687</v>
      </c>
      <c r="C165" s="305" t="s">
        <v>165</v>
      </c>
      <c r="D165" s="284">
        <v>14003</v>
      </c>
      <c r="E165" s="286">
        <v>45901</v>
      </c>
      <c r="F165" s="286">
        <v>45930</v>
      </c>
      <c r="G165" s="291" t="s">
        <v>76</v>
      </c>
      <c r="H165" s="288"/>
      <c r="I165" s="285">
        <v>150000</v>
      </c>
      <c r="J165" s="283">
        <v>5.0000000000000001E-3</v>
      </c>
      <c r="K165" s="292"/>
      <c r="L165" s="289"/>
      <c r="M165" s="284"/>
      <c r="N165" s="284"/>
      <c r="O165" s="284">
        <v>1768583</v>
      </c>
      <c r="P165" s="286" t="s">
        <v>4218</v>
      </c>
      <c r="Q165" s="287"/>
      <c r="R165" s="317" t="b">
        <v>1</v>
      </c>
    </row>
    <row r="166" spans="1:18" hidden="1">
      <c r="A166" s="284" t="s">
        <v>58</v>
      </c>
      <c r="B166" s="284"/>
      <c r="C166" s="305" t="s">
        <v>165</v>
      </c>
      <c r="D166" s="284">
        <v>9248</v>
      </c>
      <c r="E166" s="286">
        <v>45901</v>
      </c>
      <c r="F166" s="286">
        <v>45930</v>
      </c>
      <c r="G166" s="291" t="s">
        <v>4215</v>
      </c>
      <c r="H166" s="288"/>
      <c r="I166" s="285">
        <v>0.01</v>
      </c>
      <c r="J166" s="283">
        <v>5.0000000000000001E-3</v>
      </c>
      <c r="K166" s="292"/>
      <c r="L166" s="289"/>
      <c r="M166" s="284"/>
      <c r="N166" s="284"/>
      <c r="O166" s="284">
        <v>1768593</v>
      </c>
      <c r="P166" s="286" t="s">
        <v>4214</v>
      </c>
      <c r="Q166" s="287"/>
      <c r="R166" s="317" t="b">
        <v>1</v>
      </c>
    </row>
    <row r="167" spans="1:18">
      <c r="A167" s="284" t="s">
        <v>58</v>
      </c>
      <c r="B167" s="284">
        <v>8702</v>
      </c>
      <c r="C167" s="305" t="s">
        <v>165</v>
      </c>
      <c r="D167" s="284">
        <v>9248</v>
      </c>
      <c r="E167" s="286">
        <v>45901</v>
      </c>
      <c r="F167" s="286">
        <v>45930</v>
      </c>
      <c r="G167" s="291" t="s">
        <v>4215</v>
      </c>
      <c r="H167" s="288"/>
      <c r="I167" s="285">
        <v>0.01</v>
      </c>
      <c r="J167" s="283">
        <v>5.0000000000000001E-3</v>
      </c>
      <c r="K167" s="292"/>
      <c r="L167" s="289"/>
      <c r="M167" s="284"/>
      <c r="N167" s="284"/>
      <c r="O167" s="284">
        <v>1768593</v>
      </c>
      <c r="P167" s="286" t="s">
        <v>4214</v>
      </c>
      <c r="Q167" s="287"/>
      <c r="R167" s="317" t="b">
        <v>0</v>
      </c>
    </row>
    <row r="168" spans="1:18" hidden="1">
      <c r="A168" s="284" t="s">
        <v>59</v>
      </c>
      <c r="B168" s="284">
        <v>8686</v>
      </c>
      <c r="C168" s="305" t="s">
        <v>165</v>
      </c>
      <c r="D168" s="284">
        <v>17865</v>
      </c>
      <c r="E168" s="286">
        <v>45901</v>
      </c>
      <c r="F168" s="286">
        <v>45930</v>
      </c>
      <c r="G168" s="291" t="s">
        <v>3035</v>
      </c>
      <c r="H168" s="288"/>
      <c r="I168" s="285">
        <v>0.01</v>
      </c>
      <c r="J168" s="283">
        <v>7.4999999999999997E-3</v>
      </c>
      <c r="K168" s="292"/>
      <c r="L168" s="289"/>
      <c r="M168" s="284"/>
      <c r="N168" s="284"/>
      <c r="O168" s="284">
        <v>1768594</v>
      </c>
      <c r="P168" s="286" t="s">
        <v>4211</v>
      </c>
      <c r="Q168" s="287"/>
      <c r="R168" s="317" t="b">
        <v>1</v>
      </c>
    </row>
    <row r="169" spans="1:18" hidden="1">
      <c r="A169" s="284" t="s">
        <v>59</v>
      </c>
      <c r="B169" s="284">
        <v>8697</v>
      </c>
      <c r="C169" s="305" t="s">
        <v>165</v>
      </c>
      <c r="D169" s="284">
        <v>17551</v>
      </c>
      <c r="E169" s="286">
        <v>45901</v>
      </c>
      <c r="F169" s="286">
        <v>45930</v>
      </c>
      <c r="G169" s="291" t="s">
        <v>4207</v>
      </c>
      <c r="H169" s="288"/>
      <c r="I169" s="285">
        <v>0.01</v>
      </c>
      <c r="J169" s="283">
        <v>7.0000000000000001E-3</v>
      </c>
      <c r="K169" s="292"/>
      <c r="L169" s="289"/>
      <c r="M169" s="284"/>
      <c r="N169" s="284"/>
      <c r="O169" s="284">
        <v>1768602</v>
      </c>
      <c r="P169" s="286" t="s">
        <v>4205</v>
      </c>
      <c r="Q169" s="287"/>
      <c r="R169" s="317" t="b">
        <v>1</v>
      </c>
    </row>
    <row r="170" spans="1:18" hidden="1">
      <c r="A170" s="284" t="s">
        <v>59</v>
      </c>
      <c r="B170" s="284">
        <v>8695</v>
      </c>
      <c r="C170" s="305" t="s">
        <v>165</v>
      </c>
      <c r="D170" s="284">
        <v>15959</v>
      </c>
      <c r="E170" s="286">
        <v>45901</v>
      </c>
      <c r="F170" s="286">
        <v>45930</v>
      </c>
      <c r="G170" s="291" t="s">
        <v>4580</v>
      </c>
      <c r="H170" s="288"/>
      <c r="I170" s="285">
        <v>10000</v>
      </c>
      <c r="J170" s="283">
        <v>5.0000000000000001E-3</v>
      </c>
      <c r="K170" s="292"/>
      <c r="L170" s="289"/>
      <c r="M170" s="284"/>
      <c r="N170" s="284"/>
      <c r="O170" s="284">
        <v>1768612</v>
      </c>
      <c r="P170" s="286" t="s">
        <v>4199</v>
      </c>
      <c r="Q170" s="287"/>
      <c r="R170" s="317" t="b">
        <v>1</v>
      </c>
    </row>
    <row r="171" spans="1:18">
      <c r="A171" s="284" t="s">
        <v>58</v>
      </c>
      <c r="B171" s="284">
        <v>8691</v>
      </c>
      <c r="C171" s="305" t="s">
        <v>165</v>
      </c>
      <c r="D171" s="284">
        <v>4265</v>
      </c>
      <c r="E171" s="286">
        <v>45901</v>
      </c>
      <c r="F171" s="286">
        <v>45930</v>
      </c>
      <c r="G171" s="291" t="s">
        <v>3040</v>
      </c>
      <c r="H171" s="288"/>
      <c r="I171" s="285">
        <v>30000</v>
      </c>
      <c r="J171" s="283">
        <v>1.2E-2</v>
      </c>
      <c r="K171" s="292"/>
      <c r="L171" s="289"/>
      <c r="M171" s="284"/>
      <c r="N171" s="284"/>
      <c r="O171" s="284">
        <v>1768621</v>
      </c>
      <c r="P171" s="286" t="s">
        <v>4193</v>
      </c>
      <c r="Q171" s="287"/>
      <c r="R171" s="317" t="b">
        <v>0</v>
      </c>
    </row>
    <row r="172" spans="1:18" hidden="1">
      <c r="A172" s="284" t="s">
        <v>59</v>
      </c>
      <c r="B172" s="284">
        <v>8685</v>
      </c>
      <c r="C172" s="305" t="s">
        <v>165</v>
      </c>
      <c r="D172" s="284">
        <v>7882</v>
      </c>
      <c r="E172" s="286">
        <v>45901</v>
      </c>
      <c r="F172" s="286">
        <v>45930</v>
      </c>
      <c r="G172" s="291" t="s">
        <v>4190</v>
      </c>
      <c r="H172" s="288"/>
      <c r="I172" s="285">
        <v>0.01</v>
      </c>
      <c r="J172" s="283">
        <v>7.4999999999999997E-3</v>
      </c>
      <c r="K172" s="292"/>
      <c r="L172" s="289"/>
      <c r="M172" s="284"/>
      <c r="N172" s="284"/>
      <c r="O172" s="284">
        <v>1768705</v>
      </c>
      <c r="P172" s="286" t="s">
        <v>4189</v>
      </c>
      <c r="Q172" s="287"/>
      <c r="R172" s="317" t="b">
        <v>1</v>
      </c>
    </row>
    <row r="173" spans="1:18" hidden="1">
      <c r="A173" s="284" t="s">
        <v>59</v>
      </c>
      <c r="B173" s="284">
        <v>8684</v>
      </c>
      <c r="C173" s="305" t="s">
        <v>165</v>
      </c>
      <c r="D173" s="284">
        <v>18171</v>
      </c>
      <c r="E173" s="286">
        <v>45901</v>
      </c>
      <c r="F173" s="286">
        <v>45930</v>
      </c>
      <c r="G173" s="291" t="s">
        <v>4186</v>
      </c>
      <c r="H173" s="288"/>
      <c r="I173" s="285">
        <v>0.01</v>
      </c>
      <c r="J173" s="283">
        <v>7.4999999999999997E-3</v>
      </c>
      <c r="K173" s="292"/>
      <c r="L173" s="289"/>
      <c r="M173" s="284"/>
      <c r="N173" s="284"/>
      <c r="O173" s="284">
        <v>1768710</v>
      </c>
      <c r="P173" s="286" t="s">
        <v>4184</v>
      </c>
      <c r="Q173" s="287"/>
      <c r="R173" s="317" t="b">
        <v>1</v>
      </c>
    </row>
    <row r="174" spans="1:18" hidden="1">
      <c r="A174" s="284" t="s">
        <v>59</v>
      </c>
      <c r="B174" s="284">
        <v>8694</v>
      </c>
      <c r="C174" s="305" t="s">
        <v>165</v>
      </c>
      <c r="D174" s="284">
        <v>13007</v>
      </c>
      <c r="E174" s="286">
        <v>45901</v>
      </c>
      <c r="F174" s="286">
        <v>45930</v>
      </c>
      <c r="G174" s="291" t="s">
        <v>136</v>
      </c>
      <c r="H174" s="288"/>
      <c r="I174" s="285">
        <v>0.01</v>
      </c>
      <c r="J174" s="283">
        <v>7.0000000000000001E-3</v>
      </c>
      <c r="K174" s="292"/>
      <c r="L174" s="289"/>
      <c r="M174" s="284"/>
      <c r="N174" s="284"/>
      <c r="O174" s="284">
        <v>1768816</v>
      </c>
      <c r="P174" s="286" t="s">
        <v>4179</v>
      </c>
      <c r="Q174" s="287"/>
      <c r="R174" s="317" t="b">
        <v>1</v>
      </c>
    </row>
    <row r="175" spans="1:18" s="344" customFormat="1" hidden="1">
      <c r="A175" s="336"/>
      <c r="B175" s="336"/>
      <c r="C175" s="305" t="s">
        <v>165</v>
      </c>
      <c r="D175" s="336">
        <v>15026</v>
      </c>
      <c r="E175" s="337">
        <v>45901</v>
      </c>
      <c r="F175" s="337">
        <v>45930</v>
      </c>
      <c r="G175" s="338" t="s">
        <v>4573</v>
      </c>
      <c r="H175" s="339"/>
      <c r="I175" s="340">
        <v>1000</v>
      </c>
      <c r="J175" s="341">
        <v>2E-3</v>
      </c>
      <c r="K175" s="292"/>
      <c r="L175" s="289"/>
      <c r="M175" s="284"/>
      <c r="N175" s="284"/>
      <c r="O175" s="336">
        <v>1768880</v>
      </c>
      <c r="P175" s="337" t="s">
        <v>4175</v>
      </c>
      <c r="Q175" s="342"/>
      <c r="R175" s="343" t="b">
        <v>1</v>
      </c>
    </row>
    <row r="176" spans="1:18" s="344" customFormat="1" hidden="1">
      <c r="A176" s="336" t="s">
        <v>59</v>
      </c>
      <c r="B176" s="336">
        <v>8683</v>
      </c>
      <c r="C176" s="305" t="s">
        <v>165</v>
      </c>
      <c r="D176" s="336">
        <v>17288</v>
      </c>
      <c r="E176" s="337">
        <v>45901</v>
      </c>
      <c r="F176" s="337">
        <v>45930</v>
      </c>
      <c r="G176" s="338" t="s">
        <v>4574</v>
      </c>
      <c r="H176" s="339"/>
      <c r="I176" s="340">
        <v>1000</v>
      </c>
      <c r="J176" s="341">
        <v>7.4999999999999997E-3</v>
      </c>
      <c r="K176" s="292"/>
      <c r="L176" s="289"/>
      <c r="M176" s="284"/>
      <c r="N176" s="284"/>
      <c r="O176" s="336">
        <v>1768880</v>
      </c>
      <c r="P176" s="337" t="s">
        <v>4175</v>
      </c>
      <c r="Q176" s="342"/>
      <c r="R176" s="343" t="b">
        <v>1</v>
      </c>
    </row>
    <row r="177" spans="1:18" hidden="1">
      <c r="A177" s="284" t="s">
        <v>59</v>
      </c>
      <c r="B177" s="284">
        <v>8692</v>
      </c>
      <c r="C177" s="305" t="s">
        <v>165</v>
      </c>
      <c r="D177" s="284">
        <v>13053</v>
      </c>
      <c r="E177" s="286">
        <v>45901</v>
      </c>
      <c r="F177" s="286">
        <v>45930</v>
      </c>
      <c r="G177" s="291" t="s">
        <v>4579</v>
      </c>
      <c r="H177" s="288"/>
      <c r="I177" s="285">
        <v>1000</v>
      </c>
      <c r="J177" s="283">
        <v>1.7000000000000001E-2</v>
      </c>
      <c r="K177" s="292"/>
      <c r="L177" s="289"/>
      <c r="M177" s="284"/>
      <c r="N177" s="284"/>
      <c r="O177" s="284">
        <v>1768908</v>
      </c>
      <c r="P177" s="286" t="s">
        <v>4169</v>
      </c>
      <c r="Q177" s="287"/>
      <c r="R177" s="317" t="b">
        <v>1</v>
      </c>
    </row>
    <row r="178" spans="1:18" hidden="1">
      <c r="A178" s="284" t="s">
        <v>59</v>
      </c>
      <c r="B178" s="284">
        <v>8696</v>
      </c>
      <c r="C178" s="305" t="s">
        <v>165</v>
      </c>
      <c r="D178" s="284">
        <v>18144</v>
      </c>
      <c r="E178" s="286">
        <v>45901</v>
      </c>
      <c r="F178" s="286">
        <v>45930</v>
      </c>
      <c r="G178" s="291" t="s">
        <v>4578</v>
      </c>
      <c r="H178" s="288"/>
      <c r="I178" s="285">
        <v>1000</v>
      </c>
      <c r="J178" s="283">
        <v>4.0000000000000001E-3</v>
      </c>
      <c r="K178" s="292"/>
      <c r="L178" s="289"/>
      <c r="M178" s="284"/>
      <c r="N178" s="284"/>
      <c r="O178" s="284">
        <v>1768920</v>
      </c>
      <c r="P178" s="286" t="s">
        <v>4164</v>
      </c>
      <c r="Q178" s="287"/>
      <c r="R178" s="317" t="b">
        <v>1</v>
      </c>
    </row>
    <row r="179" spans="1:18" hidden="1">
      <c r="A179" s="284" t="s">
        <v>59</v>
      </c>
      <c r="B179" s="284">
        <v>8664</v>
      </c>
      <c r="C179" s="305" t="s">
        <v>165</v>
      </c>
      <c r="D179" s="284">
        <v>14702</v>
      </c>
      <c r="E179" s="286">
        <v>45901</v>
      </c>
      <c r="F179" s="286">
        <v>45930</v>
      </c>
      <c r="G179" s="291" t="s">
        <v>76</v>
      </c>
      <c r="H179" s="288"/>
      <c r="I179" s="285">
        <v>0.01</v>
      </c>
      <c r="J179" s="283">
        <v>7.4999999999999997E-3</v>
      </c>
      <c r="K179" s="292"/>
      <c r="L179" s="289"/>
      <c r="M179" s="284"/>
      <c r="N179" s="284"/>
      <c r="O179" s="284">
        <v>1768955</v>
      </c>
      <c r="P179" s="286" t="s">
        <v>4161</v>
      </c>
      <c r="Q179" s="287"/>
      <c r="R179" s="317" t="b">
        <v>1</v>
      </c>
    </row>
    <row r="180" spans="1:18" hidden="1">
      <c r="A180" s="284" t="s">
        <v>59</v>
      </c>
      <c r="B180" s="284">
        <v>8665</v>
      </c>
      <c r="C180" s="305" t="s">
        <v>165</v>
      </c>
      <c r="D180" s="284">
        <v>14703</v>
      </c>
      <c r="E180" s="286">
        <v>45901</v>
      </c>
      <c r="F180" s="286">
        <v>45930</v>
      </c>
      <c r="G180" s="291" t="s">
        <v>76</v>
      </c>
      <c r="H180" s="288"/>
      <c r="I180" s="285">
        <v>0.01</v>
      </c>
      <c r="J180" s="283">
        <v>7.4999999999999997E-3</v>
      </c>
      <c r="K180" s="292"/>
      <c r="L180" s="289"/>
      <c r="M180" s="284"/>
      <c r="N180" s="284"/>
      <c r="O180" s="284">
        <v>1768955</v>
      </c>
      <c r="P180" s="286" t="s">
        <v>4161</v>
      </c>
      <c r="Q180" s="287"/>
      <c r="R180" s="317" t="b">
        <v>1</v>
      </c>
    </row>
    <row r="181" spans="1:18" hidden="1">
      <c r="A181" s="284" t="s">
        <v>59</v>
      </c>
      <c r="B181" s="284">
        <v>8662</v>
      </c>
      <c r="C181" s="305" t="s">
        <v>165</v>
      </c>
      <c r="D181" s="284">
        <v>14704</v>
      </c>
      <c r="E181" s="286">
        <v>45901</v>
      </c>
      <c r="F181" s="286">
        <v>45930</v>
      </c>
      <c r="G181" s="291" t="s">
        <v>76</v>
      </c>
      <c r="H181" s="288"/>
      <c r="I181" s="285">
        <v>0.01</v>
      </c>
      <c r="J181" s="283">
        <v>7.4999999999999997E-3</v>
      </c>
      <c r="K181" s="292"/>
      <c r="L181" s="289"/>
      <c r="M181" s="284"/>
      <c r="N181" s="284"/>
      <c r="O181" s="284">
        <v>1768955</v>
      </c>
      <c r="P181" s="286" t="s">
        <v>4161</v>
      </c>
      <c r="Q181" s="287"/>
      <c r="R181" s="317" t="b">
        <v>1</v>
      </c>
    </row>
    <row r="182" spans="1:18" hidden="1">
      <c r="A182" s="284" t="s">
        <v>59</v>
      </c>
      <c r="B182" s="284">
        <v>8663</v>
      </c>
      <c r="C182" s="305" t="s">
        <v>165</v>
      </c>
      <c r="D182" s="284">
        <v>14706</v>
      </c>
      <c r="E182" s="286">
        <v>45901</v>
      </c>
      <c r="F182" s="286">
        <v>45930</v>
      </c>
      <c r="G182" s="291" t="s">
        <v>76</v>
      </c>
      <c r="H182" s="288"/>
      <c r="I182" s="285">
        <v>0.01</v>
      </c>
      <c r="J182" s="283">
        <v>7.4999999999999997E-3</v>
      </c>
      <c r="K182" s="292"/>
      <c r="L182" s="289"/>
      <c r="M182" s="284"/>
      <c r="N182" s="284"/>
      <c r="O182" s="284">
        <v>1768955</v>
      </c>
      <c r="P182" s="286" t="s">
        <v>4161</v>
      </c>
      <c r="Q182" s="287"/>
      <c r="R182" s="317" t="b">
        <v>1</v>
      </c>
    </row>
    <row r="183" spans="1:18" hidden="1">
      <c r="A183" s="284" t="s">
        <v>59</v>
      </c>
      <c r="B183" s="284">
        <v>8666</v>
      </c>
      <c r="C183" s="305" t="s">
        <v>165</v>
      </c>
      <c r="D183" s="284">
        <v>14729</v>
      </c>
      <c r="E183" s="286">
        <v>45901</v>
      </c>
      <c r="F183" s="286">
        <v>45930</v>
      </c>
      <c r="G183" s="291" t="s">
        <v>76</v>
      </c>
      <c r="H183" s="288"/>
      <c r="I183" s="285">
        <v>0.01</v>
      </c>
      <c r="J183" s="283">
        <v>7.4999999999999997E-3</v>
      </c>
      <c r="K183" s="292"/>
      <c r="L183" s="289"/>
      <c r="M183" s="284"/>
      <c r="N183" s="284"/>
      <c r="O183" s="284">
        <v>1768955</v>
      </c>
      <c r="P183" s="286" t="s">
        <v>4161</v>
      </c>
      <c r="Q183" s="287"/>
      <c r="R183" s="317" t="b">
        <v>1</v>
      </c>
    </row>
    <row r="184" spans="1:18" hidden="1">
      <c r="A184" s="284" t="s">
        <v>59</v>
      </c>
      <c r="B184" s="284">
        <v>8667</v>
      </c>
      <c r="C184" s="305" t="s">
        <v>165</v>
      </c>
      <c r="D184" s="284">
        <v>14730</v>
      </c>
      <c r="E184" s="286">
        <v>45901</v>
      </c>
      <c r="F184" s="286">
        <v>45930</v>
      </c>
      <c r="G184" s="291" t="s">
        <v>76</v>
      </c>
      <c r="H184" s="288"/>
      <c r="I184" s="285">
        <v>0.01</v>
      </c>
      <c r="J184" s="283">
        <v>7.4999999999999997E-3</v>
      </c>
      <c r="K184" s="292"/>
      <c r="L184" s="289"/>
      <c r="M184" s="284"/>
      <c r="N184" s="284"/>
      <c r="O184" s="284">
        <v>1768955</v>
      </c>
      <c r="P184" s="286" t="s">
        <v>4161</v>
      </c>
      <c r="Q184" s="287"/>
      <c r="R184" s="317" t="b">
        <v>1</v>
      </c>
    </row>
    <row r="185" spans="1:18" hidden="1">
      <c r="A185" s="284" t="s">
        <v>59</v>
      </c>
      <c r="B185" s="284">
        <v>8661</v>
      </c>
      <c r="C185" s="305" t="s">
        <v>165</v>
      </c>
      <c r="D185" s="284">
        <v>15282</v>
      </c>
      <c r="E185" s="286">
        <v>45901</v>
      </c>
      <c r="F185" s="286">
        <v>45930</v>
      </c>
      <c r="G185" s="291" t="s">
        <v>76</v>
      </c>
      <c r="H185" s="288"/>
      <c r="I185" s="285">
        <v>0.01</v>
      </c>
      <c r="J185" s="283">
        <v>7.4999999999999997E-3</v>
      </c>
      <c r="K185" s="292"/>
      <c r="L185" s="289"/>
      <c r="M185" s="284"/>
      <c r="N185" s="284"/>
      <c r="O185" s="284">
        <v>1768955</v>
      </c>
      <c r="P185" s="286" t="s">
        <v>4161</v>
      </c>
      <c r="Q185" s="287"/>
      <c r="R185" s="317" t="b">
        <v>1</v>
      </c>
    </row>
    <row r="186" spans="1:18" hidden="1">
      <c r="A186" s="284" t="s">
        <v>59</v>
      </c>
      <c r="B186" s="284">
        <v>8668</v>
      </c>
      <c r="C186" s="305" t="s">
        <v>165</v>
      </c>
      <c r="D186" s="284">
        <v>17192</v>
      </c>
      <c r="E186" s="286">
        <v>45901</v>
      </c>
      <c r="F186" s="286">
        <v>45930</v>
      </c>
      <c r="G186" s="291" t="s">
        <v>4158</v>
      </c>
      <c r="H186" s="288"/>
      <c r="I186" s="285">
        <v>0.01</v>
      </c>
      <c r="J186" s="283">
        <v>3.0000000000000001E-3</v>
      </c>
      <c r="K186" s="292"/>
      <c r="L186" s="289"/>
      <c r="M186" s="284"/>
      <c r="N186" s="284"/>
      <c r="O186" s="284">
        <v>1768957</v>
      </c>
      <c r="P186" s="286" t="s">
        <v>4156</v>
      </c>
      <c r="Q186" s="287"/>
      <c r="R186" s="317" t="b">
        <v>1</v>
      </c>
    </row>
    <row r="187" spans="1:18" hidden="1">
      <c r="A187" s="284" t="s">
        <v>59</v>
      </c>
      <c r="B187" s="284">
        <v>8669</v>
      </c>
      <c r="C187" s="305" t="s">
        <v>165</v>
      </c>
      <c r="D187" s="284">
        <v>13711</v>
      </c>
      <c r="E187" s="286">
        <v>45901</v>
      </c>
      <c r="F187" s="286">
        <v>45930</v>
      </c>
      <c r="G187" s="291" t="s">
        <v>76</v>
      </c>
      <c r="H187" s="288"/>
      <c r="I187" s="285">
        <v>0.01</v>
      </c>
      <c r="J187" s="283">
        <v>2.5000000000000001E-3</v>
      </c>
      <c r="K187" s="292"/>
      <c r="L187" s="289"/>
      <c r="M187" s="284"/>
      <c r="N187" s="284"/>
      <c r="O187" s="284">
        <v>1769092</v>
      </c>
      <c r="P187" s="286" t="s">
        <v>4152</v>
      </c>
      <c r="Q187" s="287"/>
      <c r="R187" s="317" t="b">
        <v>1</v>
      </c>
    </row>
    <row r="188" spans="1:18" hidden="1">
      <c r="A188" s="284" t="s">
        <v>59</v>
      </c>
      <c r="B188" s="284">
        <v>8699</v>
      </c>
      <c r="C188" s="305" t="s">
        <v>165</v>
      </c>
      <c r="D188" s="284">
        <v>13669</v>
      </c>
      <c r="E188" s="286">
        <v>45901</v>
      </c>
      <c r="F188" s="286">
        <v>45930</v>
      </c>
      <c r="G188" s="291" t="s">
        <v>4577</v>
      </c>
      <c r="H188" s="288"/>
      <c r="I188" s="285">
        <v>0.01</v>
      </c>
      <c r="J188" s="283">
        <v>3.0000000000000001E-3</v>
      </c>
      <c r="K188" s="292"/>
      <c r="L188" s="289"/>
      <c r="M188" s="284"/>
      <c r="N188" s="284"/>
      <c r="O188" s="284">
        <v>1769154</v>
      </c>
      <c r="P188" s="286" t="s">
        <v>4142</v>
      </c>
      <c r="Q188" s="287"/>
      <c r="R188" s="317" t="b">
        <v>1</v>
      </c>
    </row>
    <row r="189" spans="1:18" hidden="1">
      <c r="A189" s="284" t="s">
        <v>59</v>
      </c>
      <c r="B189" s="284">
        <v>8670</v>
      </c>
      <c r="C189" s="305" t="s">
        <v>165</v>
      </c>
      <c r="D189" s="284">
        <v>17253</v>
      </c>
      <c r="E189" s="286">
        <v>45901</v>
      </c>
      <c r="F189" s="286">
        <v>45930</v>
      </c>
      <c r="G189" s="291" t="s">
        <v>76</v>
      </c>
      <c r="H189" s="288"/>
      <c r="I189" s="285">
        <v>1000</v>
      </c>
      <c r="J189" s="283">
        <v>7.4999999999999997E-3</v>
      </c>
      <c r="K189" s="292"/>
      <c r="L189" s="289"/>
      <c r="M189" s="284"/>
      <c r="N189" s="284"/>
      <c r="O189" s="284">
        <v>1769174</v>
      </c>
      <c r="P189" s="286" t="s">
        <v>4138</v>
      </c>
      <c r="Q189" s="287"/>
      <c r="R189" s="317" t="b">
        <v>1</v>
      </c>
    </row>
    <row r="190" spans="1:18">
      <c r="A190" s="284" t="s">
        <v>58</v>
      </c>
      <c r="B190" s="284">
        <v>8693</v>
      </c>
      <c r="C190" s="305" t="s">
        <v>165</v>
      </c>
      <c r="D190" s="284">
        <v>17714</v>
      </c>
      <c r="E190" s="286">
        <v>45901</v>
      </c>
      <c r="F190" s="286">
        <v>45930</v>
      </c>
      <c r="G190" s="291" t="s">
        <v>4134</v>
      </c>
      <c r="H190" s="288"/>
      <c r="I190" s="285">
        <v>1000</v>
      </c>
      <c r="J190" s="283">
        <v>4.4999999999999997E-3</v>
      </c>
      <c r="K190" s="292"/>
      <c r="L190" s="289"/>
      <c r="M190" s="284"/>
      <c r="N190" s="284"/>
      <c r="O190" s="284">
        <v>1769183</v>
      </c>
      <c r="P190" s="286" t="s">
        <v>4132</v>
      </c>
      <c r="Q190" s="287"/>
      <c r="R190" s="317" t="b">
        <v>0</v>
      </c>
    </row>
    <row r="191" spans="1:18" hidden="1">
      <c r="A191" s="284" t="s">
        <v>59</v>
      </c>
      <c r="B191" s="284">
        <v>8671</v>
      </c>
      <c r="C191" s="305" t="s">
        <v>165</v>
      </c>
      <c r="D191" s="284">
        <v>16958</v>
      </c>
      <c r="E191" s="286">
        <v>45901</v>
      </c>
      <c r="F191" s="286">
        <v>45930</v>
      </c>
      <c r="G191" s="291" t="s">
        <v>76</v>
      </c>
      <c r="H191" s="288"/>
      <c r="I191" s="285">
        <v>1000</v>
      </c>
      <c r="J191" s="283">
        <v>7.4999999999999997E-3</v>
      </c>
      <c r="K191" s="292"/>
      <c r="L191" s="289"/>
      <c r="M191" s="284"/>
      <c r="N191" s="284"/>
      <c r="O191" s="284">
        <v>1769185</v>
      </c>
      <c r="P191" s="286" t="s">
        <v>4129</v>
      </c>
      <c r="Q191" s="287"/>
      <c r="R191" s="317" t="b">
        <v>1</v>
      </c>
    </row>
    <row r="192" spans="1:18">
      <c r="A192" s="284" t="s">
        <v>58</v>
      </c>
      <c r="B192" s="284">
        <v>8689</v>
      </c>
      <c r="C192" s="305" t="s">
        <v>165</v>
      </c>
      <c r="D192" s="284">
        <v>14641</v>
      </c>
      <c r="E192" s="286">
        <v>45901</v>
      </c>
      <c r="F192" s="286">
        <v>45930</v>
      </c>
      <c r="G192" s="291" t="s">
        <v>4126</v>
      </c>
      <c r="H192" s="288"/>
      <c r="I192" s="285">
        <v>10000</v>
      </c>
      <c r="J192" s="283">
        <v>2E-3</v>
      </c>
      <c r="K192" s="292"/>
      <c r="L192" s="289"/>
      <c r="M192" s="284"/>
      <c r="N192" s="284"/>
      <c r="O192" s="284">
        <v>1769377</v>
      </c>
      <c r="P192" s="286" t="s">
        <v>4124</v>
      </c>
      <c r="Q192" s="287"/>
      <c r="R192" s="317" t="b">
        <v>0</v>
      </c>
    </row>
    <row r="193" spans="1:18" hidden="1">
      <c r="A193" s="284" t="s">
        <v>59</v>
      </c>
      <c r="B193" s="284">
        <v>8698</v>
      </c>
      <c r="C193" s="305" t="s">
        <v>165</v>
      </c>
      <c r="D193" s="284">
        <v>18316</v>
      </c>
      <c r="E193" s="286">
        <v>45901</v>
      </c>
      <c r="F193" s="286">
        <v>45930</v>
      </c>
      <c r="G193" s="291" t="s">
        <v>136</v>
      </c>
      <c r="H193" s="288"/>
      <c r="I193" s="285">
        <v>50000</v>
      </c>
      <c r="J193" s="283">
        <v>7.4999999999999997E-3</v>
      </c>
      <c r="K193" s="292"/>
      <c r="L193" s="289"/>
      <c r="M193" s="284"/>
      <c r="N193" s="284"/>
      <c r="O193" s="284">
        <v>1769568</v>
      </c>
      <c r="P193" s="286" t="s">
        <v>4118</v>
      </c>
      <c r="Q193" s="287"/>
      <c r="R193" s="317" t="b">
        <v>1</v>
      </c>
    </row>
    <row r="194" spans="1:18" hidden="1">
      <c r="A194" s="284" t="s">
        <v>59</v>
      </c>
      <c r="B194" s="284">
        <v>8672</v>
      </c>
      <c r="C194" s="305" t="s">
        <v>165</v>
      </c>
      <c r="D194" s="284">
        <v>18151</v>
      </c>
      <c r="E194" s="286">
        <v>45901</v>
      </c>
      <c r="F194" s="286">
        <v>45930</v>
      </c>
      <c r="G194" s="291" t="s">
        <v>76</v>
      </c>
      <c r="H194" s="288"/>
      <c r="I194" s="285">
        <v>0.01</v>
      </c>
      <c r="J194" s="283">
        <v>5.0000000000000001E-3</v>
      </c>
      <c r="K194" s="292"/>
      <c r="L194" s="289"/>
      <c r="M194" s="284"/>
      <c r="N194" s="284"/>
      <c r="O194" s="284">
        <v>1770622</v>
      </c>
      <c r="P194" s="286" t="s">
        <v>4113</v>
      </c>
      <c r="Q194" s="287"/>
      <c r="R194" s="317" t="b">
        <v>1</v>
      </c>
    </row>
    <row r="195" spans="1:18" hidden="1">
      <c r="A195" s="284" t="s">
        <v>59</v>
      </c>
      <c r="B195" s="284">
        <v>8673</v>
      </c>
      <c r="C195" s="305" t="s">
        <v>165</v>
      </c>
      <c r="D195" s="284" t="s">
        <v>818</v>
      </c>
      <c r="E195" s="286">
        <v>45901</v>
      </c>
      <c r="F195" s="286">
        <v>45930</v>
      </c>
      <c r="G195" s="291" t="s">
        <v>76</v>
      </c>
      <c r="H195" s="288"/>
      <c r="I195" s="285">
        <v>0.01</v>
      </c>
      <c r="J195" s="283">
        <v>6.0000000000000001E-3</v>
      </c>
      <c r="K195" s="292"/>
      <c r="L195" s="289"/>
      <c r="M195" s="284"/>
      <c r="N195" s="284"/>
      <c r="O195" s="284">
        <v>1770644</v>
      </c>
      <c r="P195" s="286" t="s">
        <v>4110</v>
      </c>
      <c r="Q195" s="287"/>
      <c r="R195" s="317" t="b">
        <v>1</v>
      </c>
    </row>
    <row r="196" spans="1:18" hidden="1">
      <c r="A196" s="284" t="s">
        <v>59</v>
      </c>
      <c r="B196" s="284">
        <v>8674</v>
      </c>
      <c r="C196" s="305" t="s">
        <v>165</v>
      </c>
      <c r="D196" s="284">
        <v>18064</v>
      </c>
      <c r="E196" s="286">
        <v>45901</v>
      </c>
      <c r="F196" s="286">
        <v>45930</v>
      </c>
      <c r="G196" s="291" t="s">
        <v>4107</v>
      </c>
      <c r="H196" s="288"/>
      <c r="I196" s="285">
        <v>0.01</v>
      </c>
      <c r="J196" s="283">
        <v>5.0000000000000001E-3</v>
      </c>
      <c r="K196" s="292"/>
      <c r="L196" s="289"/>
      <c r="M196" s="284"/>
      <c r="N196" s="284"/>
      <c r="O196" s="284">
        <v>1770648</v>
      </c>
      <c r="P196" s="286" t="s">
        <v>4105</v>
      </c>
      <c r="Q196" s="287"/>
      <c r="R196" s="317" t="b">
        <v>1</v>
      </c>
    </row>
    <row r="197" spans="1:18" hidden="1">
      <c r="A197" s="284" t="s">
        <v>59</v>
      </c>
      <c r="B197" s="284">
        <v>8675</v>
      </c>
      <c r="C197" s="305" t="s">
        <v>165</v>
      </c>
      <c r="D197" s="284">
        <v>16358</v>
      </c>
      <c r="E197" s="286">
        <v>45901</v>
      </c>
      <c r="F197" s="286">
        <v>45930</v>
      </c>
      <c r="G197" s="291" t="s">
        <v>76</v>
      </c>
      <c r="H197" s="288"/>
      <c r="I197" s="285">
        <v>0.01</v>
      </c>
      <c r="J197" s="283">
        <v>6.0000000000000001E-3</v>
      </c>
      <c r="K197" s="292"/>
      <c r="L197" s="289"/>
      <c r="M197" s="284"/>
      <c r="N197" s="284"/>
      <c r="O197" s="284">
        <v>1770652</v>
      </c>
      <c r="P197" s="286" t="s">
        <v>4102</v>
      </c>
      <c r="Q197" s="287"/>
      <c r="R197" s="317" t="b">
        <v>1</v>
      </c>
    </row>
    <row r="198" spans="1:18" hidden="1">
      <c r="A198" s="284" t="s">
        <v>59</v>
      </c>
      <c r="B198" s="284">
        <v>8677</v>
      </c>
      <c r="C198" s="305" t="s">
        <v>165</v>
      </c>
      <c r="D198" s="284">
        <v>11208</v>
      </c>
      <c r="E198" s="286">
        <v>45901</v>
      </c>
      <c r="F198" s="286">
        <v>45930</v>
      </c>
      <c r="G198" s="291" t="s">
        <v>76</v>
      </c>
      <c r="H198" s="288"/>
      <c r="I198" s="285">
        <v>0.01</v>
      </c>
      <c r="J198" s="283">
        <v>5.0000000000000001E-3</v>
      </c>
      <c r="K198" s="292"/>
      <c r="L198" s="289"/>
      <c r="M198" s="284"/>
      <c r="N198" s="284"/>
      <c r="O198" s="284">
        <v>1770700</v>
      </c>
      <c r="P198" s="286" t="s">
        <v>4098</v>
      </c>
      <c r="Q198" s="287"/>
      <c r="R198" s="317" t="b">
        <v>1</v>
      </c>
    </row>
    <row r="199" spans="1:18" hidden="1">
      <c r="A199" s="284" t="s">
        <v>59</v>
      </c>
      <c r="B199" s="284">
        <v>8678</v>
      </c>
      <c r="C199" s="305" t="s">
        <v>165</v>
      </c>
      <c r="D199" s="284">
        <v>18198</v>
      </c>
      <c r="E199" s="286">
        <v>45901</v>
      </c>
      <c r="F199" s="286">
        <v>45930</v>
      </c>
      <c r="G199" s="291" t="s">
        <v>76</v>
      </c>
      <c r="H199" s="288"/>
      <c r="I199" s="285">
        <v>0.01</v>
      </c>
      <c r="J199" s="283">
        <v>3.5000000000000001E-3</v>
      </c>
      <c r="K199" s="292"/>
      <c r="L199" s="289"/>
      <c r="M199" s="284"/>
      <c r="N199" s="284"/>
      <c r="O199" s="284">
        <v>1770724</v>
      </c>
      <c r="P199" s="286" t="s">
        <v>4094</v>
      </c>
      <c r="Q199" s="287"/>
      <c r="R199" s="317" t="b">
        <v>1</v>
      </c>
    </row>
    <row r="200" spans="1:18" s="344" customFormat="1" hidden="1">
      <c r="A200" s="336" t="s">
        <v>59</v>
      </c>
      <c r="B200" s="336">
        <v>8679</v>
      </c>
      <c r="C200" s="305" t="s">
        <v>165</v>
      </c>
      <c r="D200" s="336">
        <v>18006</v>
      </c>
      <c r="E200" s="337">
        <v>45901</v>
      </c>
      <c r="F200" s="337">
        <v>45930</v>
      </c>
      <c r="G200" s="338" t="s">
        <v>76</v>
      </c>
      <c r="H200" s="339"/>
      <c r="I200" s="340">
        <v>0.01</v>
      </c>
      <c r="J200" s="341">
        <v>7.4999999999999997E-3</v>
      </c>
      <c r="K200" s="292"/>
      <c r="L200" s="289"/>
      <c r="M200" s="284"/>
      <c r="N200" s="284"/>
      <c r="O200" s="336">
        <v>1770733</v>
      </c>
      <c r="P200" s="337" t="s">
        <v>4572</v>
      </c>
      <c r="Q200" s="342"/>
      <c r="R200" s="343" t="b">
        <v>1</v>
      </c>
    </row>
    <row r="201" spans="1:18">
      <c r="A201" s="284" t="s">
        <v>58</v>
      </c>
      <c r="B201" s="284">
        <v>8700</v>
      </c>
      <c r="C201" s="305" t="s">
        <v>165</v>
      </c>
      <c r="D201" s="284">
        <v>18231</v>
      </c>
      <c r="E201" s="286">
        <v>45901</v>
      </c>
      <c r="F201" s="286">
        <v>45930</v>
      </c>
      <c r="G201" s="291" t="s">
        <v>4090</v>
      </c>
      <c r="H201" s="288"/>
      <c r="I201" s="285">
        <v>0.01</v>
      </c>
      <c r="J201" s="283">
        <v>3.5000000000000003E-2</v>
      </c>
      <c r="K201" s="292"/>
      <c r="L201" s="289"/>
      <c r="M201" s="284"/>
      <c r="N201" s="284"/>
      <c r="O201" s="284">
        <v>1770810</v>
      </c>
      <c r="P201" s="286" t="s">
        <v>4088</v>
      </c>
      <c r="Q201" s="287"/>
      <c r="R201" s="317" t="b">
        <v>0</v>
      </c>
    </row>
    <row r="202" spans="1:18" hidden="1">
      <c r="A202" s="284" t="s">
        <v>59</v>
      </c>
      <c r="B202" s="284">
        <v>8680</v>
      </c>
      <c r="C202" s="305" t="s">
        <v>165</v>
      </c>
      <c r="D202" s="284">
        <v>16988</v>
      </c>
      <c r="E202" s="286">
        <v>45901</v>
      </c>
      <c r="F202" s="286">
        <v>45930</v>
      </c>
      <c r="G202" s="291" t="s">
        <v>76</v>
      </c>
      <c r="H202" s="288"/>
      <c r="I202" s="285">
        <v>0.01</v>
      </c>
      <c r="J202" s="283">
        <v>7.4999999999999997E-3</v>
      </c>
      <c r="K202" s="292"/>
      <c r="L202" s="289"/>
      <c r="M202" s="284"/>
      <c r="N202" s="284"/>
      <c r="O202" s="284">
        <v>1770972</v>
      </c>
      <c r="P202" s="286" t="s">
        <v>4084</v>
      </c>
      <c r="Q202" s="287"/>
      <c r="R202" s="317" t="b">
        <v>1</v>
      </c>
    </row>
    <row r="203" spans="1:18">
      <c r="A203" s="284" t="s">
        <v>58</v>
      </c>
      <c r="B203" s="284">
        <v>8688</v>
      </c>
      <c r="C203" s="305" t="s">
        <v>165</v>
      </c>
      <c r="D203" s="284">
        <v>16872</v>
      </c>
      <c r="E203" s="286">
        <v>45901</v>
      </c>
      <c r="F203" s="286">
        <v>45930</v>
      </c>
      <c r="G203" s="291" t="s">
        <v>4576</v>
      </c>
      <c r="H203" s="288"/>
      <c r="I203" s="285">
        <v>0.01</v>
      </c>
      <c r="J203" s="283">
        <v>3.0000000000000001E-3</v>
      </c>
      <c r="K203" s="292"/>
      <c r="L203" s="289"/>
      <c r="M203" s="284"/>
      <c r="N203" s="284"/>
      <c r="O203" s="284">
        <v>1770996</v>
      </c>
      <c r="P203" s="286" t="s">
        <v>4079</v>
      </c>
      <c r="Q203" s="287"/>
      <c r="R203" s="317" t="b">
        <v>0</v>
      </c>
    </row>
    <row r="204" spans="1:18" hidden="1">
      <c r="A204" s="284" t="s">
        <v>59</v>
      </c>
      <c r="B204" s="284">
        <v>8681</v>
      </c>
      <c r="C204" s="305" t="s">
        <v>165</v>
      </c>
      <c r="D204" s="284">
        <v>18120</v>
      </c>
      <c r="E204" s="286">
        <v>45901</v>
      </c>
      <c r="F204" s="286">
        <v>45930</v>
      </c>
      <c r="G204" s="291" t="s">
        <v>76</v>
      </c>
      <c r="H204" s="288"/>
      <c r="I204" s="285">
        <v>0.01</v>
      </c>
      <c r="J204" s="283">
        <v>7.4999999999999997E-3</v>
      </c>
      <c r="K204" s="292"/>
      <c r="L204" s="289"/>
      <c r="M204" s="284"/>
      <c r="N204" s="284"/>
      <c r="O204" s="284">
        <v>1771009</v>
      </c>
      <c r="P204" s="286" t="s">
        <v>4075</v>
      </c>
      <c r="Q204" s="287"/>
      <c r="R204" s="317" t="b">
        <v>1</v>
      </c>
    </row>
    <row r="205" spans="1:18">
      <c r="A205" s="284" t="s">
        <v>58</v>
      </c>
      <c r="B205" s="284">
        <v>8682</v>
      </c>
      <c r="C205" s="305" t="s">
        <v>165</v>
      </c>
      <c r="D205" s="284" t="s">
        <v>4072</v>
      </c>
      <c r="E205" s="286">
        <v>45901</v>
      </c>
      <c r="F205" s="286">
        <v>45930</v>
      </c>
      <c r="G205" s="291" t="s">
        <v>76</v>
      </c>
      <c r="H205" s="288"/>
      <c r="I205" s="285">
        <v>0.01</v>
      </c>
      <c r="J205" s="283">
        <v>7.4999999999999997E-3</v>
      </c>
      <c r="K205" s="292"/>
      <c r="L205" s="289"/>
      <c r="M205" s="284"/>
      <c r="N205" s="284"/>
      <c r="O205" s="284">
        <v>1771042</v>
      </c>
      <c r="P205" s="286" t="s">
        <v>4071</v>
      </c>
      <c r="Q205" s="287"/>
      <c r="R205" s="317" t="b">
        <v>0</v>
      </c>
    </row>
    <row r="206" spans="1:18">
      <c r="A206" s="284" t="s">
        <v>58</v>
      </c>
      <c r="B206" s="284">
        <v>8709</v>
      </c>
      <c r="C206" s="305" t="s">
        <v>165</v>
      </c>
      <c r="D206" s="284" t="s">
        <v>4023</v>
      </c>
      <c r="E206" s="286">
        <v>45901</v>
      </c>
      <c r="F206" s="286">
        <v>45930</v>
      </c>
      <c r="G206" s="291" t="s">
        <v>4585</v>
      </c>
      <c r="H206" s="288"/>
      <c r="I206" s="285">
        <v>0.01</v>
      </c>
      <c r="J206" s="283">
        <v>5.0000000000000001E-3</v>
      </c>
      <c r="K206" s="292"/>
      <c r="L206" s="289"/>
      <c r="M206" s="284"/>
      <c r="N206" s="284"/>
      <c r="O206" s="284">
        <v>1771939</v>
      </c>
      <c r="P206" s="286" t="s">
        <v>4022</v>
      </c>
      <c r="Q206" s="287"/>
      <c r="R206" s="317" t="b">
        <v>0</v>
      </c>
    </row>
    <row r="207" spans="1:18">
      <c r="A207" s="284" t="s">
        <v>58</v>
      </c>
      <c r="B207" s="284">
        <v>8708</v>
      </c>
      <c r="C207" s="305" t="s">
        <v>165</v>
      </c>
      <c r="D207" s="284" t="s">
        <v>4018</v>
      </c>
      <c r="E207" s="286">
        <v>45901</v>
      </c>
      <c r="F207" s="286">
        <v>45930</v>
      </c>
      <c r="G207" s="291" t="s">
        <v>4584</v>
      </c>
      <c r="H207" s="288"/>
      <c r="I207" s="285">
        <v>10000</v>
      </c>
      <c r="J207" s="283">
        <v>2E-3</v>
      </c>
      <c r="K207" s="292"/>
      <c r="L207" s="289"/>
      <c r="M207" s="284"/>
      <c r="N207" s="284"/>
      <c r="O207" s="284">
        <v>1771960</v>
      </c>
      <c r="P207" s="286" t="s">
        <v>4017</v>
      </c>
      <c r="Q207" s="287"/>
      <c r="R207" s="317" t="b">
        <v>0</v>
      </c>
    </row>
    <row r="208" spans="1:18">
      <c r="A208" s="284" t="s">
        <v>58</v>
      </c>
      <c r="B208" s="284">
        <v>8705</v>
      </c>
      <c r="C208" s="305" t="s">
        <v>165</v>
      </c>
      <c r="D208" s="284">
        <v>5055</v>
      </c>
      <c r="E208" s="286">
        <v>45901</v>
      </c>
      <c r="F208" s="286">
        <v>45930</v>
      </c>
      <c r="G208" s="291" t="s">
        <v>4583</v>
      </c>
      <c r="H208" s="288"/>
      <c r="I208" s="285">
        <v>1000</v>
      </c>
      <c r="J208" s="283">
        <v>2E-3</v>
      </c>
      <c r="K208" s="292"/>
      <c r="L208" s="289"/>
      <c r="M208" s="284"/>
      <c r="N208" s="284"/>
      <c r="O208" s="284">
        <v>1772064</v>
      </c>
      <c r="P208" s="286" t="s">
        <v>4012</v>
      </c>
      <c r="Q208" s="287"/>
      <c r="R208" s="317" t="b">
        <v>0</v>
      </c>
    </row>
    <row r="209" spans="1:18">
      <c r="A209" s="284" t="s">
        <v>58</v>
      </c>
      <c r="B209" s="284">
        <v>8706</v>
      </c>
      <c r="C209" s="305" t="s">
        <v>165</v>
      </c>
      <c r="D209" s="284">
        <v>14961</v>
      </c>
      <c r="E209" s="286">
        <v>45901</v>
      </c>
      <c r="F209" s="286">
        <v>45930</v>
      </c>
      <c r="G209" s="291" t="s">
        <v>4583</v>
      </c>
      <c r="H209" s="288"/>
      <c r="I209" s="285">
        <v>1000</v>
      </c>
      <c r="J209" s="283">
        <v>2E-3</v>
      </c>
      <c r="K209" s="292"/>
      <c r="L209" s="289"/>
      <c r="M209" s="284"/>
      <c r="N209" s="284"/>
      <c r="O209" s="284">
        <v>1772064</v>
      </c>
      <c r="P209" s="286" t="s">
        <v>4012</v>
      </c>
      <c r="Q209" s="287"/>
      <c r="R209" s="317" t="b">
        <v>0</v>
      </c>
    </row>
    <row r="210" spans="1:18">
      <c r="A210" s="284" t="s">
        <v>58</v>
      </c>
      <c r="B210" s="284">
        <v>8707</v>
      </c>
      <c r="C210" s="305" t="s">
        <v>165</v>
      </c>
      <c r="D210" s="284">
        <v>15513</v>
      </c>
      <c r="E210" s="286">
        <v>45901</v>
      </c>
      <c r="F210" s="286">
        <v>45930</v>
      </c>
      <c r="G210" s="291" t="s">
        <v>4583</v>
      </c>
      <c r="H210" s="288"/>
      <c r="I210" s="285">
        <v>1000</v>
      </c>
      <c r="J210" s="283">
        <v>2E-3</v>
      </c>
      <c r="K210" s="292"/>
      <c r="L210" s="289"/>
      <c r="M210" s="284"/>
      <c r="N210" s="284"/>
      <c r="O210" s="284">
        <v>1772064</v>
      </c>
      <c r="P210" s="286" t="s">
        <v>4012</v>
      </c>
      <c r="Q210" s="287"/>
      <c r="R210" s="317" t="b">
        <v>0</v>
      </c>
    </row>
    <row r="211" spans="1:18">
      <c r="A211" s="284" t="s">
        <v>58</v>
      </c>
      <c r="B211" s="284">
        <v>8703</v>
      </c>
      <c r="C211" s="305" t="s">
        <v>165</v>
      </c>
      <c r="D211" s="284" t="s">
        <v>4009</v>
      </c>
      <c r="E211" s="286">
        <v>45901</v>
      </c>
      <c r="F211" s="286">
        <v>45930</v>
      </c>
      <c r="G211" s="291" t="s">
        <v>4581</v>
      </c>
      <c r="H211" s="288"/>
      <c r="I211" s="285">
        <v>1000</v>
      </c>
      <c r="J211" s="283">
        <v>3.0000000000000001E-3</v>
      </c>
      <c r="K211" s="292"/>
      <c r="L211" s="289"/>
      <c r="M211" s="284"/>
      <c r="N211" s="284"/>
      <c r="O211" s="284">
        <v>1772150</v>
      </c>
      <c r="P211" s="286" t="s">
        <v>4008</v>
      </c>
      <c r="Q211" s="287"/>
      <c r="R211" s="317" t="b">
        <v>0</v>
      </c>
    </row>
    <row r="212" spans="1:18">
      <c r="A212" s="284" t="s">
        <v>58</v>
      </c>
      <c r="B212" s="284">
        <v>8704</v>
      </c>
      <c r="C212" s="305" t="s">
        <v>165</v>
      </c>
      <c r="D212" s="284" t="s">
        <v>4009</v>
      </c>
      <c r="E212" s="286">
        <v>45901</v>
      </c>
      <c r="F212" s="286">
        <v>45930</v>
      </c>
      <c r="G212" s="291" t="s">
        <v>4582</v>
      </c>
      <c r="H212" s="288"/>
      <c r="I212" s="285">
        <v>1000</v>
      </c>
      <c r="J212" s="283">
        <v>5.0000000000000001E-3</v>
      </c>
      <c r="K212" s="292"/>
      <c r="L212" s="289"/>
      <c r="M212" s="284"/>
      <c r="N212" s="284"/>
      <c r="O212" s="284">
        <v>1772150</v>
      </c>
      <c r="P212" s="286" t="s">
        <v>4008</v>
      </c>
      <c r="Q212" s="287"/>
      <c r="R212" s="317" t="b">
        <v>0</v>
      </c>
    </row>
    <row r="213" spans="1:18" ht="45" hidden="1">
      <c r="A213" s="293" t="s">
        <v>59</v>
      </c>
      <c r="B213" s="293">
        <v>7536</v>
      </c>
      <c r="C213" s="305" t="s">
        <v>165</v>
      </c>
      <c r="D213" s="284">
        <v>17894</v>
      </c>
      <c r="E213" s="286">
        <v>45901</v>
      </c>
      <c r="F213" s="286">
        <v>45930</v>
      </c>
      <c r="G213" s="294" t="s">
        <v>107</v>
      </c>
      <c r="H213" s="295" t="s">
        <v>11</v>
      </c>
      <c r="I213" s="285">
        <v>0.01</v>
      </c>
      <c r="J213" s="296">
        <v>7.4999999999999997E-3</v>
      </c>
      <c r="K213" s="289"/>
      <c r="L213" s="289"/>
      <c r="M213" s="284"/>
      <c r="N213" s="284"/>
      <c r="O213" s="294" t="s">
        <v>2193</v>
      </c>
      <c r="P213" s="286">
        <v>45845</v>
      </c>
      <c r="Q213" s="294" t="s">
        <v>3143</v>
      </c>
      <c r="R213" s="318" t="s">
        <v>4534</v>
      </c>
    </row>
    <row r="214" spans="1:18" ht="30" hidden="1">
      <c r="A214" s="293" t="s">
        <v>58</v>
      </c>
      <c r="B214" s="293">
        <v>7187</v>
      </c>
      <c r="C214" s="305" t="s">
        <v>165</v>
      </c>
      <c r="D214" s="284">
        <v>936</v>
      </c>
      <c r="E214" s="286">
        <v>45901</v>
      </c>
      <c r="F214" s="286">
        <v>45930</v>
      </c>
      <c r="G214" s="294" t="s">
        <v>1997</v>
      </c>
      <c r="H214" s="295" t="s">
        <v>11</v>
      </c>
      <c r="I214" s="285">
        <v>500000</v>
      </c>
      <c r="J214" s="296">
        <v>2E-3</v>
      </c>
      <c r="K214" s="289"/>
      <c r="L214" s="289"/>
      <c r="M214" s="284"/>
      <c r="N214" s="284"/>
      <c r="O214" s="294" t="s">
        <v>1996</v>
      </c>
      <c r="P214" s="286">
        <v>45824</v>
      </c>
      <c r="Q214" s="294"/>
      <c r="R214" s="317" t="b">
        <v>1</v>
      </c>
    </row>
    <row r="215" spans="1:18" ht="30" hidden="1">
      <c r="A215" s="293" t="s">
        <v>58</v>
      </c>
      <c r="B215" s="293">
        <v>7806</v>
      </c>
      <c r="C215" s="305" t="s">
        <v>165</v>
      </c>
      <c r="D215" s="284">
        <v>936</v>
      </c>
      <c r="E215" s="286">
        <v>45901</v>
      </c>
      <c r="F215" s="286">
        <v>45930</v>
      </c>
      <c r="G215" s="294" t="s">
        <v>1997</v>
      </c>
      <c r="H215" s="295" t="s">
        <v>11</v>
      </c>
      <c r="I215" s="285">
        <v>0.01</v>
      </c>
      <c r="J215" s="296">
        <v>5.4999999999999997E-3</v>
      </c>
      <c r="K215" s="289"/>
      <c r="L215" s="289"/>
      <c r="M215" s="284"/>
      <c r="N215" s="284"/>
      <c r="O215" s="294" t="s">
        <v>1996</v>
      </c>
      <c r="P215" s="286">
        <v>45824</v>
      </c>
      <c r="Q215" s="294"/>
      <c r="R215" s="317" t="b">
        <v>1</v>
      </c>
    </row>
    <row r="216" spans="1:18" ht="60" hidden="1">
      <c r="A216" s="293" t="s">
        <v>58</v>
      </c>
      <c r="B216" s="293">
        <v>6382</v>
      </c>
      <c r="C216" s="305" t="s">
        <v>165</v>
      </c>
      <c r="D216" s="284" t="s">
        <v>1202</v>
      </c>
      <c r="E216" s="286">
        <v>45901</v>
      </c>
      <c r="F216" s="286">
        <v>45930</v>
      </c>
      <c r="G216" s="294" t="s">
        <v>2871</v>
      </c>
      <c r="H216" s="295" t="s">
        <v>11</v>
      </c>
      <c r="I216" s="285">
        <v>0.01</v>
      </c>
      <c r="J216" s="296">
        <v>2E-3</v>
      </c>
      <c r="K216" s="289"/>
      <c r="L216" s="289"/>
      <c r="M216" s="284"/>
      <c r="N216" s="284"/>
      <c r="O216" s="294" t="s">
        <v>1201</v>
      </c>
      <c r="P216" s="286">
        <v>45754</v>
      </c>
      <c r="Q216" s="287" t="s">
        <v>2202</v>
      </c>
      <c r="R216" s="317" t="b">
        <v>1</v>
      </c>
    </row>
    <row r="217" spans="1:18" ht="30" hidden="1">
      <c r="A217" s="293" t="s">
        <v>58</v>
      </c>
      <c r="B217" s="293">
        <v>7695</v>
      </c>
      <c r="C217" s="305" t="s">
        <v>165</v>
      </c>
      <c r="D217" s="284" t="s">
        <v>148</v>
      </c>
      <c r="E217" s="286">
        <v>45901</v>
      </c>
      <c r="F217" s="286">
        <v>45930</v>
      </c>
      <c r="G217" s="294" t="s">
        <v>2268</v>
      </c>
      <c r="H217" s="295" t="s">
        <v>11</v>
      </c>
      <c r="I217" s="285">
        <v>800000</v>
      </c>
      <c r="J217" s="296">
        <v>1E-3</v>
      </c>
      <c r="K217" s="289"/>
      <c r="L217" s="289"/>
      <c r="M217" s="284"/>
      <c r="N217" s="284"/>
      <c r="O217" s="294" t="s">
        <v>939</v>
      </c>
      <c r="P217" s="286">
        <v>45854</v>
      </c>
      <c r="Q217" s="294"/>
      <c r="R217" s="317" t="b">
        <v>1</v>
      </c>
    </row>
    <row r="218" spans="1:18" ht="45" hidden="1">
      <c r="A218" s="293" t="s">
        <v>58</v>
      </c>
      <c r="B218" s="284">
        <v>8177</v>
      </c>
      <c r="C218" s="305" t="s">
        <v>165</v>
      </c>
      <c r="D218" s="284">
        <v>15001</v>
      </c>
      <c r="E218" s="286">
        <v>45901</v>
      </c>
      <c r="F218" s="286">
        <v>45930</v>
      </c>
      <c r="G218" s="291" t="s">
        <v>2787</v>
      </c>
      <c r="H218" s="295" t="s">
        <v>11</v>
      </c>
      <c r="I218" s="285">
        <v>10000</v>
      </c>
      <c r="J218" s="296">
        <v>1.4E-3</v>
      </c>
      <c r="K218" s="292"/>
      <c r="L218" s="289"/>
      <c r="M218" s="284"/>
      <c r="N218" s="284"/>
      <c r="O218" s="293" t="s">
        <v>2641</v>
      </c>
      <c r="P218" s="286">
        <v>45882</v>
      </c>
      <c r="Q218" s="294"/>
      <c r="R218" s="317" t="b">
        <v>1</v>
      </c>
    </row>
    <row r="219" spans="1:18" ht="45" hidden="1">
      <c r="A219" s="293" t="s">
        <v>58</v>
      </c>
      <c r="B219" s="293">
        <v>7259</v>
      </c>
      <c r="C219" s="305" t="s">
        <v>165</v>
      </c>
      <c r="D219" s="284">
        <v>17354</v>
      </c>
      <c r="E219" s="286">
        <v>45901</v>
      </c>
      <c r="F219" s="286">
        <v>45930</v>
      </c>
      <c r="G219" s="294" t="s">
        <v>2059</v>
      </c>
      <c r="H219" s="295" t="s">
        <v>11</v>
      </c>
      <c r="I219" s="285">
        <v>0.01</v>
      </c>
      <c r="J219" s="296">
        <v>6.0000000000000001E-3</v>
      </c>
      <c r="K219" s="289"/>
      <c r="L219" s="289"/>
      <c r="M219" s="284"/>
      <c r="N219" s="284"/>
      <c r="O219" s="294" t="s">
        <v>2058</v>
      </c>
      <c r="P219" s="286">
        <v>45828</v>
      </c>
      <c r="Q219" s="294"/>
      <c r="R219" s="317" t="b">
        <v>1</v>
      </c>
    </row>
    <row r="220" spans="1:18" ht="60" hidden="1">
      <c r="A220" s="293" t="s">
        <v>58</v>
      </c>
      <c r="B220" s="293">
        <v>7834</v>
      </c>
      <c r="C220" s="305" t="s">
        <v>165</v>
      </c>
      <c r="D220" s="284">
        <v>2404</v>
      </c>
      <c r="E220" s="286">
        <v>45901</v>
      </c>
      <c r="F220" s="286">
        <v>45930</v>
      </c>
      <c r="G220" s="294" t="s">
        <v>2366</v>
      </c>
      <c r="H220" s="295" t="s">
        <v>11</v>
      </c>
      <c r="I220" s="285">
        <v>0.01</v>
      </c>
      <c r="J220" s="296">
        <v>5.0000000000000001E-3</v>
      </c>
      <c r="K220" s="289"/>
      <c r="L220" s="289"/>
      <c r="M220" s="284"/>
      <c r="N220" s="284"/>
      <c r="O220" s="294" t="s">
        <v>2364</v>
      </c>
      <c r="P220" s="286">
        <v>45862</v>
      </c>
      <c r="Q220" s="294"/>
      <c r="R220" s="317" t="b">
        <v>1</v>
      </c>
    </row>
    <row r="221" spans="1:18" ht="45" hidden="1">
      <c r="A221" s="293" t="s">
        <v>59</v>
      </c>
      <c r="B221" s="293">
        <v>6167</v>
      </c>
      <c r="C221" s="305" t="s">
        <v>40</v>
      </c>
      <c r="D221" s="284" t="s">
        <v>962</v>
      </c>
      <c r="E221" s="286">
        <v>45901</v>
      </c>
      <c r="F221" s="286">
        <v>45930</v>
      </c>
      <c r="G221" s="294" t="s">
        <v>2409</v>
      </c>
      <c r="H221" s="295" t="s">
        <v>11</v>
      </c>
      <c r="I221" s="285">
        <v>300000</v>
      </c>
      <c r="J221" s="296">
        <v>2E-3</v>
      </c>
      <c r="K221" s="289"/>
      <c r="L221" s="289"/>
      <c r="M221" s="284"/>
      <c r="N221" s="284"/>
      <c r="O221" s="294" t="s">
        <v>961</v>
      </c>
      <c r="P221" s="286">
        <v>45721</v>
      </c>
      <c r="Q221" s="287" t="s">
        <v>2203</v>
      </c>
      <c r="R221" s="317" t="b">
        <v>1</v>
      </c>
    </row>
    <row r="222" spans="1:18" ht="45" hidden="1">
      <c r="A222" s="293" t="s">
        <v>58</v>
      </c>
      <c r="B222" s="293">
        <v>7514</v>
      </c>
      <c r="C222" s="305" t="s">
        <v>165</v>
      </c>
      <c r="D222" s="284">
        <v>4079</v>
      </c>
      <c r="E222" s="286">
        <v>45901</v>
      </c>
      <c r="F222" s="286">
        <v>45930</v>
      </c>
      <c r="G222" s="294" t="s">
        <v>3142</v>
      </c>
      <c r="H222" s="295" t="s">
        <v>11</v>
      </c>
      <c r="I222" s="285">
        <v>0.01</v>
      </c>
      <c r="J222" s="296">
        <v>5.0000000000000001E-3</v>
      </c>
      <c r="K222" s="289"/>
      <c r="L222" s="289"/>
      <c r="M222" s="284"/>
      <c r="N222" s="284"/>
      <c r="O222" s="294" t="s">
        <v>2179</v>
      </c>
      <c r="P222" s="286">
        <v>45849</v>
      </c>
      <c r="Q222" s="294"/>
      <c r="R222" s="317" t="b">
        <v>1</v>
      </c>
    </row>
    <row r="223" spans="1:18" ht="30" hidden="1">
      <c r="A223" s="293" t="s">
        <v>58</v>
      </c>
      <c r="B223" s="293">
        <v>7812</v>
      </c>
      <c r="C223" s="305" t="s">
        <v>165</v>
      </c>
      <c r="D223" s="284">
        <v>4190</v>
      </c>
      <c r="E223" s="286">
        <v>45901</v>
      </c>
      <c r="F223" s="286">
        <v>45930</v>
      </c>
      <c r="G223" s="294" t="s">
        <v>2354</v>
      </c>
      <c r="H223" s="295" t="s">
        <v>11</v>
      </c>
      <c r="I223" s="285">
        <v>2000</v>
      </c>
      <c r="J223" s="296">
        <v>2E-3</v>
      </c>
      <c r="K223" s="289"/>
      <c r="L223" s="289"/>
      <c r="M223" s="284"/>
      <c r="N223" s="284"/>
      <c r="O223" s="294" t="s">
        <v>2353</v>
      </c>
      <c r="P223" s="286">
        <v>45862</v>
      </c>
      <c r="Q223" s="294" t="s">
        <v>3144</v>
      </c>
      <c r="R223" s="318" t="s">
        <v>4534</v>
      </c>
    </row>
    <row r="224" spans="1:18" ht="30" hidden="1">
      <c r="A224" s="293" t="s">
        <v>58</v>
      </c>
      <c r="B224" s="293">
        <v>7815</v>
      </c>
      <c r="C224" s="305" t="s">
        <v>165</v>
      </c>
      <c r="D224" s="284">
        <v>4190</v>
      </c>
      <c r="E224" s="286">
        <v>45901</v>
      </c>
      <c r="F224" s="286">
        <v>45930</v>
      </c>
      <c r="G224" s="294" t="s">
        <v>2355</v>
      </c>
      <c r="H224" s="295" t="s">
        <v>11</v>
      </c>
      <c r="I224" s="285">
        <v>2000</v>
      </c>
      <c r="J224" s="296">
        <v>2E-3</v>
      </c>
      <c r="K224" s="289"/>
      <c r="L224" s="289"/>
      <c r="M224" s="284"/>
      <c r="N224" s="284"/>
      <c r="O224" s="294" t="s">
        <v>2353</v>
      </c>
      <c r="P224" s="286">
        <v>45862</v>
      </c>
      <c r="Q224" s="294" t="s">
        <v>3144</v>
      </c>
      <c r="R224" s="318" t="s">
        <v>4534</v>
      </c>
    </row>
    <row r="225" spans="1:18" ht="30" hidden="1">
      <c r="A225" s="293" t="s">
        <v>59</v>
      </c>
      <c r="B225" s="293">
        <v>7818</v>
      </c>
      <c r="C225" s="305" t="s">
        <v>165</v>
      </c>
      <c r="D225" s="284">
        <v>4190</v>
      </c>
      <c r="E225" s="286">
        <v>45901</v>
      </c>
      <c r="F225" s="286">
        <v>45930</v>
      </c>
      <c r="G225" s="294" t="s">
        <v>2356</v>
      </c>
      <c r="H225" s="295" t="s">
        <v>11</v>
      </c>
      <c r="I225" s="285">
        <v>2000</v>
      </c>
      <c r="J225" s="296">
        <v>2E-3</v>
      </c>
      <c r="K225" s="289"/>
      <c r="L225" s="289"/>
      <c r="M225" s="284"/>
      <c r="N225" s="284"/>
      <c r="O225" s="294" t="s">
        <v>2353</v>
      </c>
      <c r="P225" s="286">
        <v>45862</v>
      </c>
      <c r="Q225" s="294" t="s">
        <v>3144</v>
      </c>
      <c r="R225" s="318" t="s">
        <v>4534</v>
      </c>
    </row>
    <row r="226" spans="1:18" ht="30" hidden="1">
      <c r="A226" s="293" t="s">
        <v>58</v>
      </c>
      <c r="B226" s="293">
        <v>7821</v>
      </c>
      <c r="C226" s="305" t="s">
        <v>165</v>
      </c>
      <c r="D226" s="284">
        <v>4190</v>
      </c>
      <c r="E226" s="286">
        <v>45901</v>
      </c>
      <c r="F226" s="286">
        <v>45930</v>
      </c>
      <c r="G226" s="294" t="s">
        <v>2357</v>
      </c>
      <c r="H226" s="295" t="s">
        <v>11</v>
      </c>
      <c r="I226" s="285">
        <v>2000</v>
      </c>
      <c r="J226" s="296">
        <v>2E-3</v>
      </c>
      <c r="K226" s="289"/>
      <c r="L226" s="289"/>
      <c r="M226" s="284"/>
      <c r="N226" s="284"/>
      <c r="O226" s="294" t="s">
        <v>2353</v>
      </c>
      <c r="P226" s="286">
        <v>45862</v>
      </c>
      <c r="Q226" s="294"/>
      <c r="R226" s="317" t="b">
        <v>1</v>
      </c>
    </row>
    <row r="227" spans="1:18" ht="30" hidden="1">
      <c r="A227" s="293" t="s">
        <v>58</v>
      </c>
      <c r="B227" s="293">
        <v>7825</v>
      </c>
      <c r="C227" s="305" t="s">
        <v>165</v>
      </c>
      <c r="D227" s="284">
        <v>4190</v>
      </c>
      <c r="E227" s="286">
        <v>45901</v>
      </c>
      <c r="F227" s="286">
        <v>45930</v>
      </c>
      <c r="G227" s="294" t="s">
        <v>2358</v>
      </c>
      <c r="H227" s="295" t="s">
        <v>11</v>
      </c>
      <c r="I227" s="285">
        <v>2000</v>
      </c>
      <c r="J227" s="296">
        <v>2E-3</v>
      </c>
      <c r="K227" s="289"/>
      <c r="L227" s="289"/>
      <c r="M227" s="284"/>
      <c r="N227" s="284"/>
      <c r="O227" s="294" t="s">
        <v>2353</v>
      </c>
      <c r="P227" s="286">
        <v>45862</v>
      </c>
      <c r="Q227" s="294"/>
      <c r="R227" s="317" t="b">
        <v>1</v>
      </c>
    </row>
    <row r="228" spans="1:18" ht="30" hidden="1">
      <c r="A228" s="293" t="s">
        <v>58</v>
      </c>
      <c r="B228" s="293">
        <v>7828</v>
      </c>
      <c r="C228" s="305" t="s">
        <v>165</v>
      </c>
      <c r="D228" s="284">
        <v>4190</v>
      </c>
      <c r="E228" s="286">
        <v>45901</v>
      </c>
      <c r="F228" s="286">
        <v>45930</v>
      </c>
      <c r="G228" s="294" t="s">
        <v>2359</v>
      </c>
      <c r="H228" s="295" t="s">
        <v>11</v>
      </c>
      <c r="I228" s="285">
        <v>2000</v>
      </c>
      <c r="J228" s="296">
        <v>2E-3</v>
      </c>
      <c r="K228" s="289"/>
      <c r="L228" s="289"/>
      <c r="M228" s="284"/>
      <c r="N228" s="284"/>
      <c r="O228" s="294" t="s">
        <v>2353</v>
      </c>
      <c r="P228" s="286">
        <v>45862</v>
      </c>
      <c r="Q228" s="294"/>
      <c r="R228" s="317" t="b">
        <v>1</v>
      </c>
    </row>
    <row r="229" spans="1:18" ht="30" hidden="1">
      <c r="A229" s="293" t="s">
        <v>58</v>
      </c>
      <c r="B229" s="293">
        <v>7831</v>
      </c>
      <c r="C229" s="305" t="s">
        <v>165</v>
      </c>
      <c r="D229" s="284">
        <v>4190</v>
      </c>
      <c r="E229" s="286">
        <v>45901</v>
      </c>
      <c r="F229" s="286">
        <v>45930</v>
      </c>
      <c r="G229" s="294" t="s">
        <v>2360</v>
      </c>
      <c r="H229" s="295" t="s">
        <v>11</v>
      </c>
      <c r="I229" s="285">
        <v>2000</v>
      </c>
      <c r="J229" s="296">
        <v>2E-3</v>
      </c>
      <c r="K229" s="289"/>
      <c r="L229" s="289"/>
      <c r="M229" s="284"/>
      <c r="N229" s="284"/>
      <c r="O229" s="294" t="s">
        <v>2353</v>
      </c>
      <c r="P229" s="286">
        <v>45862</v>
      </c>
      <c r="Q229" s="294"/>
      <c r="R229" s="317" t="b">
        <v>1</v>
      </c>
    </row>
    <row r="230" spans="1:18" ht="45" hidden="1">
      <c r="A230" s="293" t="s">
        <v>59</v>
      </c>
      <c r="B230" s="284">
        <v>8017</v>
      </c>
      <c r="C230" s="305" t="s">
        <v>165</v>
      </c>
      <c r="D230" s="293" t="s">
        <v>2727</v>
      </c>
      <c r="E230" s="286">
        <v>45870</v>
      </c>
      <c r="F230" s="286">
        <v>45930</v>
      </c>
      <c r="G230" s="294" t="s">
        <v>2840</v>
      </c>
      <c r="H230" s="295" t="s">
        <v>11</v>
      </c>
      <c r="I230" s="285">
        <v>700000</v>
      </c>
      <c r="J230" s="296">
        <v>3.0000000000000001E-3</v>
      </c>
      <c r="K230" s="289"/>
      <c r="L230" s="289"/>
      <c r="M230" s="284"/>
      <c r="N230" s="284"/>
      <c r="O230" s="293" t="s">
        <v>2554</v>
      </c>
      <c r="P230" s="286">
        <v>45877</v>
      </c>
      <c r="Q230" s="294" t="s">
        <v>2754</v>
      </c>
      <c r="R230" s="317" t="b">
        <v>1</v>
      </c>
    </row>
    <row r="231" spans="1:18" ht="45" hidden="1">
      <c r="A231" s="293" t="s">
        <v>59</v>
      </c>
      <c r="B231" s="293">
        <v>7991</v>
      </c>
      <c r="C231" s="305" t="s">
        <v>165</v>
      </c>
      <c r="D231" s="284" t="s">
        <v>2534</v>
      </c>
      <c r="E231" s="286">
        <v>45870</v>
      </c>
      <c r="F231" s="286">
        <v>45930</v>
      </c>
      <c r="G231" s="294" t="s">
        <v>2535</v>
      </c>
      <c r="H231" s="295" t="s">
        <v>1913</v>
      </c>
      <c r="I231" s="285">
        <v>760000</v>
      </c>
      <c r="J231" s="296">
        <v>3.0000000000000001E-3</v>
      </c>
      <c r="K231" s="289"/>
      <c r="L231" s="289"/>
      <c r="M231" s="284"/>
      <c r="N231" s="284"/>
      <c r="O231" s="293" t="s">
        <v>2532</v>
      </c>
      <c r="P231" s="286">
        <v>45880</v>
      </c>
      <c r="Q231" s="294" t="s">
        <v>2533</v>
      </c>
      <c r="R231" s="317" t="b">
        <v>1</v>
      </c>
    </row>
    <row r="232" spans="1:18" ht="45" hidden="1">
      <c r="A232" s="293" t="s">
        <v>58</v>
      </c>
      <c r="B232" s="293">
        <v>6247</v>
      </c>
      <c r="C232" s="305" t="s">
        <v>165</v>
      </c>
      <c r="D232" s="284" t="s">
        <v>1040</v>
      </c>
      <c r="E232" s="286">
        <v>45901</v>
      </c>
      <c r="F232" s="286">
        <v>45930</v>
      </c>
      <c r="G232" s="294" t="s">
        <v>2410</v>
      </c>
      <c r="H232" s="295" t="s">
        <v>11</v>
      </c>
      <c r="I232" s="285">
        <v>600000</v>
      </c>
      <c r="J232" s="296">
        <v>5.0000000000000001E-3</v>
      </c>
      <c r="K232" s="289"/>
      <c r="L232" s="289"/>
      <c r="M232" s="284"/>
      <c r="N232" s="284"/>
      <c r="O232" s="294" t="s">
        <v>1039</v>
      </c>
      <c r="P232" s="286">
        <v>45737</v>
      </c>
      <c r="Q232" s="287"/>
      <c r="R232" s="317" t="b">
        <v>1</v>
      </c>
    </row>
    <row r="233" spans="1:18" ht="60" hidden="1">
      <c r="A233" s="293" t="s">
        <v>58</v>
      </c>
      <c r="B233" s="293">
        <v>7302</v>
      </c>
      <c r="C233" s="305" t="s">
        <v>165</v>
      </c>
      <c r="D233" s="284">
        <v>17551</v>
      </c>
      <c r="E233" s="286">
        <v>45821</v>
      </c>
      <c r="F233" s="286">
        <v>45930</v>
      </c>
      <c r="G233" s="294" t="s">
        <v>2088</v>
      </c>
      <c r="H233" s="295" t="s">
        <v>2085</v>
      </c>
      <c r="I233" s="285">
        <v>0.01</v>
      </c>
      <c r="J233" s="296">
        <v>1.5E-3</v>
      </c>
      <c r="K233" s="289"/>
      <c r="L233" s="289"/>
      <c r="M233" s="284"/>
      <c r="N233" s="284"/>
      <c r="O233" s="294" t="s">
        <v>2083</v>
      </c>
      <c r="P233" s="286">
        <v>45833</v>
      </c>
      <c r="Q233" s="294"/>
      <c r="R233" s="317" t="b">
        <v>1</v>
      </c>
    </row>
    <row r="234" spans="1:18" ht="45" hidden="1">
      <c r="A234" s="293" t="s">
        <v>59</v>
      </c>
      <c r="B234" s="293">
        <v>6757</v>
      </c>
      <c r="C234" s="305" t="s">
        <v>165</v>
      </c>
      <c r="D234" s="284">
        <v>2598</v>
      </c>
      <c r="E234" s="286">
        <v>45901</v>
      </c>
      <c r="F234" s="286">
        <v>45930</v>
      </c>
      <c r="G234" s="294" t="s">
        <v>1502</v>
      </c>
      <c r="H234" s="295" t="s">
        <v>11</v>
      </c>
      <c r="I234" s="285">
        <v>0.01</v>
      </c>
      <c r="J234" s="296">
        <v>2.5000000000000001E-3</v>
      </c>
      <c r="K234" s="289"/>
      <c r="L234" s="289"/>
      <c r="M234" s="284"/>
      <c r="N234" s="284"/>
      <c r="O234" s="294" t="s">
        <v>1501</v>
      </c>
      <c r="P234" s="286">
        <v>45779</v>
      </c>
      <c r="Q234" s="294"/>
      <c r="R234" s="317" t="b">
        <v>1</v>
      </c>
    </row>
    <row r="235" spans="1:18" ht="30" hidden="1">
      <c r="A235" s="293" t="s">
        <v>59</v>
      </c>
      <c r="B235" s="293">
        <v>7115</v>
      </c>
      <c r="C235" s="305" t="s">
        <v>165</v>
      </c>
      <c r="D235" s="284">
        <v>4079</v>
      </c>
      <c r="E235" s="286">
        <v>45809</v>
      </c>
      <c r="F235" s="286" t="s">
        <v>964</v>
      </c>
      <c r="G235" s="294" t="s">
        <v>107</v>
      </c>
      <c r="H235" s="295" t="s">
        <v>11</v>
      </c>
      <c r="I235" s="285">
        <v>0.01</v>
      </c>
      <c r="J235" s="296">
        <v>7.4999999999999997E-3</v>
      </c>
      <c r="K235" s="289"/>
      <c r="L235" s="289"/>
      <c r="M235" s="284"/>
      <c r="N235" s="284"/>
      <c r="O235" s="294" t="s">
        <v>1924</v>
      </c>
      <c r="P235" s="286">
        <v>45819</v>
      </c>
      <c r="Q235" s="294"/>
      <c r="R235" s="317" t="b">
        <v>1</v>
      </c>
    </row>
    <row r="236" spans="1:18" ht="60" hidden="1">
      <c r="A236" s="293" t="s">
        <v>58</v>
      </c>
      <c r="B236" s="293">
        <v>7510</v>
      </c>
      <c r="C236" s="305" t="s">
        <v>165</v>
      </c>
      <c r="D236" s="284">
        <v>12340</v>
      </c>
      <c r="E236" s="286">
        <v>45901</v>
      </c>
      <c r="F236" s="286">
        <v>45930</v>
      </c>
      <c r="G236" s="293" t="s">
        <v>2177</v>
      </c>
      <c r="H236" s="295" t="s">
        <v>11</v>
      </c>
      <c r="I236" s="285" t="s">
        <v>2174</v>
      </c>
      <c r="J236" s="296" t="s">
        <v>2175</v>
      </c>
      <c r="K236" s="289"/>
      <c r="L236" s="289"/>
      <c r="M236" s="284"/>
      <c r="N236" s="284"/>
      <c r="O236" s="294" t="s">
        <v>2176</v>
      </c>
      <c r="P236" s="286">
        <v>45849</v>
      </c>
      <c r="Q236" s="293"/>
      <c r="R236" s="317" t="b">
        <v>1</v>
      </c>
    </row>
    <row r="237" spans="1:18" ht="45" hidden="1">
      <c r="A237" s="293" t="s">
        <v>59</v>
      </c>
      <c r="B237" s="293">
        <v>6195</v>
      </c>
      <c r="C237" s="305" t="s">
        <v>165</v>
      </c>
      <c r="D237" s="284" t="s">
        <v>983</v>
      </c>
      <c r="E237" s="286">
        <v>45901</v>
      </c>
      <c r="F237" s="286">
        <v>45930</v>
      </c>
      <c r="G237" s="294" t="s">
        <v>2236</v>
      </c>
      <c r="H237" s="295" t="s">
        <v>11</v>
      </c>
      <c r="I237" s="285">
        <v>300000</v>
      </c>
      <c r="J237" s="296">
        <v>4.0000000000000001E-3</v>
      </c>
      <c r="K237" s="289"/>
      <c r="L237" s="289"/>
      <c r="M237" s="284"/>
      <c r="N237" s="284"/>
      <c r="O237" s="294" t="s">
        <v>974</v>
      </c>
      <c r="P237" s="286">
        <v>45728</v>
      </c>
      <c r="Q237" s="287" t="s">
        <v>2373</v>
      </c>
      <c r="R237" s="317" t="b">
        <v>1</v>
      </c>
    </row>
    <row r="238" spans="1:18" ht="60" hidden="1">
      <c r="A238" s="293" t="s">
        <v>58</v>
      </c>
      <c r="B238" s="293" t="s">
        <v>1087</v>
      </c>
      <c r="C238" s="305" t="s">
        <v>165</v>
      </c>
      <c r="D238" s="284">
        <v>12765</v>
      </c>
      <c r="E238" s="286">
        <v>45901</v>
      </c>
      <c r="F238" s="286">
        <v>45930</v>
      </c>
      <c r="G238" s="294" t="s">
        <v>1072</v>
      </c>
      <c r="H238" s="295" t="s">
        <v>11</v>
      </c>
      <c r="I238" s="285">
        <v>1000000</v>
      </c>
      <c r="J238" s="296">
        <v>0</v>
      </c>
      <c r="K238" s="289"/>
      <c r="L238" s="289"/>
      <c r="M238" s="284"/>
      <c r="N238" s="284"/>
      <c r="O238" s="294" t="s">
        <v>1071</v>
      </c>
      <c r="P238" s="286">
        <v>45740</v>
      </c>
      <c r="Q238" s="287"/>
      <c r="R238" s="317" t="b">
        <v>1</v>
      </c>
    </row>
  </sheetData>
  <autoFilter ref="A1:R238" xr:uid="{00000000-0001-0000-0300-000000000000}">
    <filterColumn colId="17">
      <filters>
        <filter val="FALSO"/>
      </filters>
    </filterColumn>
  </autoFilter>
  <phoneticPr fontId="22" type="noConversion"/>
  <dataValidations count="1">
    <dataValidation type="list" allowBlank="1" showErrorMessage="1" sqref="A2:A238" xr:uid="{00000000-0002-0000-0300-000000000000}">
      <formula1>"1- AUTOMÁTICO,2- MANUAL"</formula1>
      <formula2>0</formula2>
    </dataValidation>
  </dataValidations>
  <pageMargins left="0.51180555555555596" right="0.51180555555555596" top="0.78749999999999998" bottom="0.78749999999999998" header="0.511811023622047" footer="0.511811023622047"/>
  <pageSetup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4F83-250A-4F6C-BD65-15BD59A6D628}">
  <dimension ref="A1:Q43"/>
  <sheetViews>
    <sheetView showGridLines="0" tabSelected="1" zoomScale="80" zoomScaleNormal="80" workbookViewId="0">
      <pane ySplit="2" topLeftCell="A3" activePane="bottomLeft" state="frozen"/>
      <selection pane="bottomLeft" activeCell="E3" sqref="E3"/>
    </sheetView>
  </sheetViews>
  <sheetFormatPr defaultRowHeight="15"/>
  <cols>
    <col min="1" max="1" width="15.7109375" customWidth="1"/>
    <col min="2" max="2" width="3.140625" customWidth="1"/>
    <col min="3" max="3" width="14.85546875" bestFit="1" customWidth="1"/>
    <col min="4" max="4" width="24.85546875" bestFit="1" customWidth="1"/>
    <col min="5" max="5" width="39.140625" customWidth="1"/>
    <col min="6" max="6" width="17.85546875" customWidth="1"/>
    <col min="7" max="7" width="15.85546875" bestFit="1" customWidth="1"/>
    <col min="8" max="8" width="20.85546875" customWidth="1"/>
    <col min="9" max="9" width="57.85546875" customWidth="1"/>
    <col min="10" max="10" width="22.5703125" customWidth="1"/>
    <col min="11" max="11" width="23.7109375" customWidth="1"/>
    <col min="12" max="12" width="22.7109375" customWidth="1"/>
    <col min="13" max="13" width="17.42578125" customWidth="1"/>
    <col min="14" max="14" width="12.28515625" bestFit="1" customWidth="1"/>
    <col min="15" max="15" width="22.28515625" bestFit="1" customWidth="1"/>
    <col min="16" max="16" width="6.140625" bestFit="1" customWidth="1"/>
    <col min="17" max="17" width="15.85546875" bestFit="1" customWidth="1"/>
  </cols>
  <sheetData>
    <row r="1" spans="1:17">
      <c r="A1" s="329" t="s">
        <v>4526</v>
      </c>
      <c r="C1" s="329" t="s">
        <v>4528</v>
      </c>
      <c r="D1" s="329"/>
      <c r="E1" s="329"/>
      <c r="F1" s="329"/>
      <c r="G1" s="329"/>
      <c r="H1" s="329"/>
      <c r="I1" s="329"/>
      <c r="J1" s="329"/>
      <c r="K1" s="329"/>
      <c r="L1" s="329"/>
      <c r="M1" s="329"/>
    </row>
    <row r="2" spans="1:17" s="270" customFormat="1">
      <c r="A2" s="329"/>
      <c r="B2"/>
      <c r="C2" s="271" t="s">
        <v>4527</v>
      </c>
      <c r="D2" s="271" t="s">
        <v>3156</v>
      </c>
      <c r="E2" s="271" t="s">
        <v>45</v>
      </c>
      <c r="F2" s="271" t="s">
        <v>4</v>
      </c>
      <c r="G2" s="271" t="s">
        <v>54</v>
      </c>
      <c r="H2" s="329" t="s">
        <v>3158</v>
      </c>
      <c r="I2" s="329"/>
      <c r="J2" s="329"/>
      <c r="K2" s="329"/>
      <c r="L2" s="329"/>
      <c r="M2" s="329"/>
    </row>
    <row r="3" spans="1:17" s="234" customFormat="1" ht="228.75" customHeight="1">
      <c r="A3" s="273">
        <v>1763007</v>
      </c>
      <c r="C3" s="275" t="str" cm="1">
        <f t="array" ref="C3">_xlfn._xlws.FILTER(CHAMADOS!$I2:$I1500,CHAMADOS!$A2:$A1500=$A3,"Erro")</f>
        <v>17938</v>
      </c>
      <c r="D3" s="274" t="str" cm="1">
        <f t="array" ref="D3">_xlfn._xlws.FILTER(CHAMADOS!$M2:$M1500,CHAMADOS!$A2:$A1500=$A3,"Erro")</f>
        <v>01/09 a 31/12</v>
      </c>
      <c r="E3" s="275" t="str" cm="1">
        <f t="array" ref="E3">_xlfn._xlws.FILTER(CHAMADOS!$K2:$K1500,CHAMADOS!$A2:$A1500=$A3,"Erro")</f>
        <v>DESCRI?AO</v>
      </c>
      <c r="F3" s="274" t="str" cm="1">
        <f t="array" ref="F3">_xlfn._xlws.FILTER(CHAMADOS!$J2:$J1500,CHAMADOS!$A2:$A1500=$A3,"Erro")</f>
        <v>SEM META</v>
      </c>
      <c r="G3" s="274" t="str" cm="1">
        <f t="array" ref="G3">_xlfn._xlws.FILTER(CHAMADOS!$L2:$L1500,CHAMADOS!$A2:$A1500=$A3,"Erro")</f>
        <v>0,20%</v>
      </c>
      <c r="H3" s="277" t="str" cm="1">
        <f t="array" ref="H3">_xlfn._xlws.FILTER(CHAMADOS!$O2:$O1500,CHAMADOS!$A2:$A1500=$A3,"Erro")</f>
        <v>Remetente - () Boa tarde! Iremos considerar toda a produção de cartões RCC e RMC. CODIGO DO CORRETOR: 17938 PERIODO: 01/09 a 31/12 TIPO DE FECHAMENTO: MENSAL META: SEM META PERCENTUAL DE PREMIO: 0,20% PARAMETRO: DESCRIÇAO ; Remetente - ()   Josi, boa tarde. Campanha parametrizada. Meta 8531,8532,8533,8534 ; Remetente - ()  Bom dia! Por gentielza alterar o percentual da camapanha. PERCENTUAL DE PREMIO: 0,40% PERIODO: 01/09 a 31/12;</v>
      </c>
      <c r="I3" s="278" t="str" cm="1">
        <f t="array" ref="I3:L3">_xlfn.TEXTSPLIT(H3,";",";")</f>
        <v xml:space="preserve">Remetente - () Boa tarde! Iremos considerar toda a produção de cartões RCC e RMC. CODIGO DO CORRETOR: 17938 PERIODO: 01/09 a 31/12 TIPO DE FECHAMENTO: MENSAL META: SEM META PERCENTUAL DE PREMIO: 0,20% PARAMETRO: DESCRIÇAO </v>
      </c>
      <c r="J3" s="278" t="str">
        <v xml:space="preserve"> Remetente - ()   Josi, boa tarde. Campanha parametrizada. Meta 8531,8532,8533,8534 </v>
      </c>
      <c r="K3" s="278" t="str">
        <v xml:space="preserve"> Remetente - ()  Bom dia! Por gentielza alterar o percentual da camapanha. PERCENTUAL DE PREMIO: 0,40% PERIODO: 01/09 a 31/12</v>
      </c>
      <c r="L3" s="278" t="str">
        <v/>
      </c>
      <c r="M3" s="278"/>
      <c r="N3" s="276"/>
      <c r="O3" s="276"/>
      <c r="P3" s="276"/>
      <c r="Q3" s="276"/>
    </row>
    <row r="5" spans="1:17">
      <c r="C5" s="328" t="s">
        <v>4529</v>
      </c>
      <c r="D5" s="328"/>
      <c r="E5" s="328"/>
      <c r="F5" s="328"/>
      <c r="G5" s="328"/>
      <c r="H5" s="328"/>
      <c r="I5" s="328"/>
    </row>
    <row r="6" spans="1:17">
      <c r="C6" s="272" t="s">
        <v>1</v>
      </c>
      <c r="D6" s="272" t="s">
        <v>3156</v>
      </c>
      <c r="E6" s="272" t="s">
        <v>45</v>
      </c>
      <c r="F6" s="272" t="s">
        <v>4</v>
      </c>
      <c r="G6" s="272" t="s">
        <v>54</v>
      </c>
      <c r="H6" s="272" t="s">
        <v>4530</v>
      </c>
      <c r="I6" s="272" t="s">
        <v>180</v>
      </c>
    </row>
    <row r="7" spans="1:17" ht="121.5" customHeight="1">
      <c r="A7" s="282" t="s">
        <v>4532</v>
      </c>
      <c r="C7" s="275" cm="1">
        <f t="array" ref="C7">_xlfn._xlws.FILTER('METAS 2025'!$D2:$D238,'METAS 2025'!$O2:$O238=$A$3)</f>
        <v>17938</v>
      </c>
      <c r="D7" s="274" t="str" cm="1">
        <f t="array" ref="D7">_xlfn.CONCAT(
  TEXT(_xlfn._xlws.FILTER('METAS 2025'!$E2:$E238,'METAS 2025'!$O2:$O238=$A$3),"dd/mm/aaaa"),
  " a ",
  TEXT(_xlfn._xlws.FILTER('METAS 2025'!$F2:$F238,'METAS 2025'!$O2:$O238=$A$3),"dd/mm/aaaa"))</f>
        <v>01/09/2025 a 30/09/2025</v>
      </c>
      <c r="E7" s="275" t="str" cm="1">
        <f t="array" ref="E7">_xlfn._xlws.FILTER('METAS 2025'!$G2:$G238,'METAS 2025'!$O2:$O238=$A$3)</f>
        <v>MERCANTIL-Iremos considerar toda a produção de cartões RCC e RMC.</v>
      </c>
      <c r="F7" s="279" cm="1">
        <f t="array" ref="F7">_xlfn._xlws.FILTER('METAS 2025'!$I2:$I238,'METAS 2025'!$O2:$O238=$A$3)</f>
        <v>0.01</v>
      </c>
      <c r="G7" s="320" cm="1">
        <f t="array" ref="G7">_xlfn._xlws.FILTER('METAS 2025'!$J2:$J238,'METAS 2025'!$O2:$O238=$A$3)</f>
        <v>0.01</v>
      </c>
      <c r="H7" s="281" t="str" cm="1">
        <f t="array" ref="H7">_xlfn._xlws.FILTER('METAS 2025'!$H2:$H238,'METAS 2025'!$O2:$O238=$A$3)</f>
        <v>MENSAL</v>
      </c>
      <c r="I7" s="274" cm="1">
        <f t="array" ref="I7">_xlfn._xlws.FILTER('METAS 2025'!$B2:$B238,'METAS 2025'!$O2:$O238=$A$3)</f>
        <v>8531</v>
      </c>
    </row>
    <row r="8" spans="1:17" ht="121.5" customHeight="1">
      <c r="C8" s="274"/>
      <c r="D8" s="274"/>
      <c r="E8" s="275"/>
      <c r="F8" s="279"/>
      <c r="G8" s="320"/>
      <c r="H8" s="281"/>
      <c r="I8" s="274"/>
    </row>
    <row r="9" spans="1:17" ht="121.5" customHeight="1">
      <c r="C9" s="274"/>
      <c r="D9" s="274"/>
      <c r="E9" s="275"/>
      <c r="F9" s="279"/>
      <c r="G9" s="320"/>
      <c r="H9" s="281"/>
      <c r="I9" s="274"/>
    </row>
    <row r="10" spans="1:17" ht="121.5" customHeight="1">
      <c r="C10" s="274"/>
      <c r="D10" s="274"/>
      <c r="E10" s="275"/>
      <c r="F10" s="279"/>
      <c r="G10" s="280"/>
      <c r="H10" s="281"/>
      <c r="I10" s="274"/>
    </row>
    <row r="11" spans="1:17" ht="121.5" customHeight="1">
      <c r="C11" s="274"/>
      <c r="D11" s="274"/>
      <c r="E11" s="275"/>
      <c r="F11" s="279"/>
      <c r="G11" s="280"/>
      <c r="H11" s="281"/>
      <c r="I11" s="274"/>
    </row>
    <row r="12" spans="1:17" ht="121.5" customHeight="1">
      <c r="C12" s="274"/>
      <c r="D12" s="274"/>
      <c r="E12" s="275"/>
      <c r="F12" s="279"/>
      <c r="G12" s="280"/>
      <c r="H12" s="281"/>
      <c r="I12" s="274"/>
    </row>
    <row r="13" spans="1:17" ht="121.5" customHeight="1">
      <c r="C13" s="274"/>
      <c r="D13" s="274"/>
      <c r="E13" s="275"/>
      <c r="F13" s="279"/>
      <c r="G13" s="280"/>
      <c r="H13" s="281"/>
      <c r="I13" s="274"/>
    </row>
    <row r="14" spans="1:17" ht="121.5" customHeight="1">
      <c r="C14" s="274"/>
      <c r="D14" s="274"/>
      <c r="E14" s="275"/>
      <c r="F14" s="279"/>
      <c r="G14" s="280"/>
      <c r="H14" s="281"/>
      <c r="I14" s="274"/>
    </row>
    <row r="15" spans="1:17" ht="121.5" customHeight="1">
      <c r="C15" s="274"/>
      <c r="D15" s="274"/>
      <c r="E15" s="275"/>
      <c r="F15" s="279"/>
      <c r="G15" s="280"/>
      <c r="H15" s="281"/>
      <c r="I15" s="274"/>
    </row>
    <row r="16" spans="1:17" ht="121.5" customHeight="1">
      <c r="C16" s="274"/>
      <c r="D16" s="274"/>
      <c r="E16" s="275"/>
      <c r="F16" s="279"/>
      <c r="G16" s="280"/>
      <c r="H16" s="281"/>
      <c r="I16" s="274"/>
    </row>
    <row r="17" spans="3:9" ht="121.5" customHeight="1">
      <c r="C17" s="274"/>
      <c r="D17" s="274"/>
      <c r="E17" s="275"/>
      <c r="F17" s="279"/>
      <c r="G17" s="280"/>
      <c r="H17" s="281"/>
      <c r="I17" s="274"/>
    </row>
    <row r="18" spans="3:9" ht="121.5" customHeight="1">
      <c r="C18" s="274"/>
      <c r="D18" s="274"/>
      <c r="E18" s="275"/>
      <c r="F18" s="279"/>
      <c r="G18" s="280"/>
      <c r="H18" s="281"/>
      <c r="I18" s="274"/>
    </row>
    <row r="19" spans="3:9" ht="121.5" customHeight="1">
      <c r="C19" s="274"/>
      <c r="D19" s="274"/>
      <c r="E19" s="275"/>
      <c r="F19" s="279"/>
      <c r="G19" s="280"/>
      <c r="H19" s="281"/>
      <c r="I19" s="274"/>
    </row>
    <row r="20" spans="3:9" ht="121.5" customHeight="1">
      <c r="C20" s="274"/>
      <c r="D20" s="274"/>
      <c r="E20" s="275"/>
      <c r="F20" s="279"/>
      <c r="G20" s="280"/>
      <c r="H20" s="281"/>
      <c r="I20" s="274"/>
    </row>
    <row r="21" spans="3:9" ht="121.5" customHeight="1">
      <c r="C21" s="274"/>
      <c r="D21" s="274"/>
      <c r="E21" s="275"/>
      <c r="F21" s="279"/>
      <c r="G21" s="280"/>
      <c r="H21" s="281"/>
      <c r="I21" s="274"/>
    </row>
    <row r="22" spans="3:9" ht="121.5" customHeight="1">
      <c r="C22" s="274"/>
      <c r="D22" s="274"/>
      <c r="E22" s="275"/>
      <c r="F22" s="279"/>
      <c r="G22" s="280"/>
      <c r="H22" s="281"/>
      <c r="I22" s="274"/>
    </row>
    <row r="23" spans="3:9" ht="121.5" customHeight="1">
      <c r="C23" s="274"/>
      <c r="D23" s="274"/>
      <c r="E23" s="275"/>
      <c r="F23" s="279"/>
      <c r="G23" s="280"/>
      <c r="H23" s="281"/>
      <c r="I23" s="274"/>
    </row>
    <row r="24" spans="3:9" ht="121.5" customHeight="1">
      <c r="C24" s="274"/>
      <c r="D24" s="274"/>
      <c r="E24" s="275"/>
      <c r="F24" s="279"/>
      <c r="G24" s="280"/>
      <c r="H24" s="281"/>
      <c r="I24" s="274"/>
    </row>
    <row r="25" spans="3:9" ht="121.5" customHeight="1">
      <c r="C25" s="274"/>
      <c r="D25" s="274"/>
      <c r="E25" s="275"/>
      <c r="F25" s="279"/>
      <c r="G25" s="280"/>
      <c r="H25" s="281"/>
      <c r="I25" s="274"/>
    </row>
    <row r="26" spans="3:9" ht="121.5" customHeight="1">
      <c r="C26" s="274"/>
      <c r="D26" s="274"/>
      <c r="E26" s="275"/>
      <c r="F26" s="279"/>
      <c r="G26" s="280"/>
      <c r="H26" s="281"/>
      <c r="I26" s="274"/>
    </row>
    <row r="27" spans="3:9" ht="121.5" customHeight="1">
      <c r="C27" s="274"/>
      <c r="D27" s="274"/>
      <c r="E27" s="275"/>
      <c r="F27" s="279"/>
      <c r="G27" s="280"/>
      <c r="H27" s="281"/>
      <c r="I27" s="274"/>
    </row>
    <row r="28" spans="3:9" ht="121.5" customHeight="1">
      <c r="C28" s="274"/>
      <c r="D28" s="274"/>
      <c r="E28" s="275"/>
      <c r="F28" s="279"/>
      <c r="G28" s="280"/>
      <c r="H28" s="281"/>
      <c r="I28" s="274"/>
    </row>
    <row r="29" spans="3:9" ht="121.5" customHeight="1">
      <c r="C29" s="274"/>
      <c r="D29" s="274"/>
      <c r="E29" s="275"/>
      <c r="F29" s="279"/>
      <c r="G29" s="280"/>
      <c r="H29" s="281"/>
      <c r="I29" s="274"/>
    </row>
    <row r="30" spans="3:9" ht="121.5" customHeight="1">
      <c r="C30" s="274"/>
      <c r="D30" s="274"/>
      <c r="E30" s="275"/>
      <c r="F30" s="279"/>
      <c r="G30" s="280"/>
      <c r="H30" s="281"/>
      <c r="I30" s="274"/>
    </row>
    <row r="31" spans="3:9" ht="121.5" customHeight="1">
      <c r="C31" s="274"/>
      <c r="D31" s="274"/>
      <c r="E31" s="275"/>
      <c r="F31" s="279"/>
      <c r="G31" s="280"/>
      <c r="H31" s="281"/>
      <c r="I31" s="274"/>
    </row>
    <row r="32" spans="3:9" ht="121.5" customHeight="1">
      <c r="C32" s="274"/>
      <c r="D32" s="274"/>
      <c r="E32" s="275"/>
      <c r="F32" s="279"/>
      <c r="G32" s="280"/>
      <c r="H32" s="281"/>
      <c r="I32" s="274"/>
    </row>
    <row r="33" spans="3:9" ht="121.5" customHeight="1">
      <c r="C33" s="274"/>
      <c r="D33" s="274"/>
      <c r="E33" s="275"/>
      <c r="F33" s="279"/>
      <c r="G33" s="280"/>
      <c r="H33" s="281"/>
      <c r="I33" s="274"/>
    </row>
    <row r="34" spans="3:9" ht="121.5" customHeight="1">
      <c r="C34" s="274"/>
      <c r="D34" s="274"/>
      <c r="E34" s="275"/>
      <c r="F34" s="279"/>
      <c r="G34" s="280"/>
      <c r="H34" s="281"/>
      <c r="I34" s="274"/>
    </row>
    <row r="35" spans="3:9" ht="121.5" customHeight="1">
      <c r="C35" s="274"/>
      <c r="D35" s="274"/>
      <c r="E35" s="275"/>
      <c r="F35" s="279"/>
      <c r="G35" s="280"/>
      <c r="H35" s="281"/>
      <c r="I35" s="274"/>
    </row>
    <row r="36" spans="3:9" ht="121.5" customHeight="1">
      <c r="C36" s="274"/>
      <c r="D36" s="274"/>
      <c r="E36" s="275"/>
      <c r="F36" s="279"/>
      <c r="G36" s="280"/>
      <c r="H36" s="281"/>
      <c r="I36" s="274"/>
    </row>
    <row r="37" spans="3:9" ht="121.5" customHeight="1">
      <c r="C37" s="274"/>
      <c r="D37" s="274"/>
      <c r="E37" s="275"/>
      <c r="F37" s="279"/>
      <c r="G37" s="280"/>
      <c r="H37" s="281"/>
      <c r="I37" s="274"/>
    </row>
    <row r="38" spans="3:9" ht="121.5" customHeight="1">
      <c r="C38" s="274"/>
      <c r="D38" s="274"/>
      <c r="E38" s="275"/>
      <c r="F38" s="279"/>
      <c r="G38" s="280"/>
      <c r="H38" s="281"/>
      <c r="I38" s="274"/>
    </row>
    <row r="39" spans="3:9" ht="121.5" customHeight="1">
      <c r="C39" s="274"/>
      <c r="D39" s="274"/>
      <c r="E39" s="275"/>
      <c r="F39" s="279"/>
      <c r="G39" s="280"/>
      <c r="H39" s="281"/>
      <c r="I39" s="274"/>
    </row>
    <row r="40" spans="3:9" ht="121.5" customHeight="1">
      <c r="C40" s="274"/>
      <c r="D40" s="274"/>
      <c r="E40" s="275"/>
      <c r="F40" s="279"/>
      <c r="G40" s="280"/>
      <c r="H40" s="281"/>
      <c r="I40" s="274"/>
    </row>
    <row r="41" spans="3:9" ht="121.5" customHeight="1">
      <c r="C41" s="274"/>
      <c r="D41" s="274"/>
      <c r="E41" s="275"/>
      <c r="F41" s="279"/>
      <c r="G41" s="280"/>
      <c r="H41" s="281"/>
      <c r="I41" s="274"/>
    </row>
    <row r="42" spans="3:9" ht="121.5" customHeight="1">
      <c r="C42" s="274"/>
      <c r="D42" s="274"/>
      <c r="E42" s="275"/>
      <c r="F42" s="279"/>
      <c r="G42" s="280"/>
      <c r="H42" s="281"/>
      <c r="I42" s="274"/>
    </row>
    <row r="43" spans="3:9" ht="121.5" customHeight="1">
      <c r="C43" s="274"/>
      <c r="D43" s="274"/>
      <c r="E43" s="275"/>
      <c r="F43" s="279"/>
      <c r="G43" s="280"/>
      <c r="H43" s="281"/>
      <c r="I43" s="274"/>
    </row>
  </sheetData>
  <mergeCells count="4">
    <mergeCell ref="C5:I5"/>
    <mergeCell ref="A1:A2"/>
    <mergeCell ref="H2:M2"/>
    <mergeCell ref="C1:M1"/>
  </mergeCells>
  <hyperlinks>
    <hyperlink ref="A7" location="'METAS 2025'!A1" display="VOLTAR" xr:uid="{5B751193-0D25-4754-AD74-C5A1C69E499E}"/>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32F9C-3B42-4893-B8FC-6C419EE18170}">
  <dimension ref="A1:O339"/>
  <sheetViews>
    <sheetView zoomScale="80" zoomScaleNormal="80" workbookViewId="0">
      <pane ySplit="1" topLeftCell="A2" activePane="bottomLeft" state="frozen"/>
      <selection pane="bottomLeft" activeCell="H3" sqref="H3"/>
    </sheetView>
  </sheetViews>
  <sheetFormatPr defaultRowHeight="12.75"/>
  <cols>
    <col min="1" max="1" width="15.7109375" style="266" bestFit="1" customWidth="1"/>
    <col min="2" max="2" width="33" style="266" hidden="1" customWidth="1"/>
    <col min="3" max="3" width="19" style="269" customWidth="1"/>
    <col min="4" max="4" width="48.7109375" style="266" hidden="1" customWidth="1"/>
    <col min="5" max="5" width="20.5703125" style="266" hidden="1" customWidth="1"/>
    <col min="6" max="6" width="10.5703125" style="266" hidden="1" customWidth="1"/>
    <col min="7" max="7" width="25.28515625" style="266" hidden="1" customWidth="1"/>
    <col min="8" max="8" width="18.140625" style="266" bestFit="1" customWidth="1"/>
    <col min="9" max="9" width="30.140625" style="266" bestFit="1" customWidth="1"/>
    <col min="10" max="10" width="17.42578125" style="266" bestFit="1" customWidth="1"/>
    <col min="11" max="11" width="41" style="269" customWidth="1"/>
    <col min="12" max="12" width="24.5703125" style="266" bestFit="1" customWidth="1"/>
    <col min="13" max="13" width="22.140625" style="266" bestFit="1" customWidth="1"/>
    <col min="14" max="14" width="13.5703125" style="266" customWidth="1"/>
    <col min="15" max="15" width="69.5703125" style="269" customWidth="1"/>
    <col min="16" max="16384" width="9.140625" style="266"/>
  </cols>
  <sheetData>
    <row r="1" spans="1:15">
      <c r="A1" s="264" t="s">
        <v>3145</v>
      </c>
      <c r="B1" s="264" t="s">
        <v>3146</v>
      </c>
      <c r="C1" s="265" t="s">
        <v>3147</v>
      </c>
      <c r="D1" s="264" t="s">
        <v>3148</v>
      </c>
      <c r="E1" s="264" t="s">
        <v>3149</v>
      </c>
      <c r="F1" s="264" t="s">
        <v>3150</v>
      </c>
      <c r="G1" s="264" t="s">
        <v>3151</v>
      </c>
      <c r="H1" s="264" t="s">
        <v>3152</v>
      </c>
      <c r="I1" s="264" t="s">
        <v>3153</v>
      </c>
      <c r="J1" s="264" t="s">
        <v>4</v>
      </c>
      <c r="K1" s="265" t="s">
        <v>3154</v>
      </c>
      <c r="L1" s="264" t="s">
        <v>3155</v>
      </c>
      <c r="M1" s="264" t="s">
        <v>3156</v>
      </c>
      <c r="N1" s="264" t="s">
        <v>3157</v>
      </c>
      <c r="O1" s="265" t="s">
        <v>3158</v>
      </c>
    </row>
    <row r="2" spans="1:15" ht="191.25">
      <c r="A2" s="267">
        <v>1774323</v>
      </c>
      <c r="B2" s="267" t="s">
        <v>3159</v>
      </c>
      <c r="C2" s="268" t="s">
        <v>3160</v>
      </c>
      <c r="D2" s="267" t="s">
        <v>3161</v>
      </c>
      <c r="E2" s="267" t="s">
        <v>3162</v>
      </c>
      <c r="F2" s="267" t="s">
        <v>3163</v>
      </c>
      <c r="G2" s="267" t="s">
        <v>3164</v>
      </c>
      <c r="H2" s="267" t="s">
        <v>3165</v>
      </c>
      <c r="I2" s="267" t="s">
        <v>98</v>
      </c>
      <c r="J2" s="267" t="s">
        <v>3166</v>
      </c>
      <c r="K2" s="268" t="s">
        <v>3166</v>
      </c>
      <c r="L2" s="267" t="s">
        <v>3167</v>
      </c>
      <c r="M2" s="267" t="s">
        <v>3168</v>
      </c>
      <c r="N2" s="267" t="s">
        <v>11</v>
      </c>
      <c r="O2" s="268" t="s">
        <v>3169</v>
      </c>
    </row>
    <row r="3" spans="1:15" ht="76.5">
      <c r="A3" s="267">
        <v>1778432</v>
      </c>
      <c r="B3" s="267" t="s">
        <v>3159</v>
      </c>
      <c r="C3" s="268" t="s">
        <v>3170</v>
      </c>
      <c r="D3" s="267" t="s">
        <v>3171</v>
      </c>
      <c r="E3" s="267"/>
      <c r="F3" s="267" t="s">
        <v>3163</v>
      </c>
      <c r="G3" s="267" t="s">
        <v>3172</v>
      </c>
      <c r="H3" s="267" t="s">
        <v>3172</v>
      </c>
      <c r="I3" s="267" t="s">
        <v>3173</v>
      </c>
      <c r="J3" s="267" t="s">
        <v>2957</v>
      </c>
      <c r="K3" s="268" t="s">
        <v>3174</v>
      </c>
      <c r="L3" s="267" t="s">
        <v>3115</v>
      </c>
      <c r="M3" s="267" t="s">
        <v>3175</v>
      </c>
      <c r="N3" s="267" t="s">
        <v>11</v>
      </c>
      <c r="O3" s="268" t="s">
        <v>3176</v>
      </c>
    </row>
    <row r="4" spans="1:15" ht="51">
      <c r="A4" s="267">
        <v>1778429</v>
      </c>
      <c r="B4" s="267" t="s">
        <v>3159</v>
      </c>
      <c r="C4" s="268" t="s">
        <v>3177</v>
      </c>
      <c r="D4" s="267" t="s">
        <v>3161</v>
      </c>
      <c r="E4" s="267"/>
      <c r="F4" s="267" t="s">
        <v>3163</v>
      </c>
      <c r="G4" s="267" t="s">
        <v>3178</v>
      </c>
      <c r="H4" s="267" t="s">
        <v>3178</v>
      </c>
      <c r="I4" s="267" t="s">
        <v>3179</v>
      </c>
      <c r="J4" s="267" t="s">
        <v>3107</v>
      </c>
      <c r="K4" s="268" t="s">
        <v>3180</v>
      </c>
      <c r="L4" s="267" t="s">
        <v>3181</v>
      </c>
      <c r="M4" s="267" t="s">
        <v>3168</v>
      </c>
      <c r="N4" s="267" t="s">
        <v>11</v>
      </c>
      <c r="O4" s="268" t="s">
        <v>3182</v>
      </c>
    </row>
    <row r="5" spans="1:15" ht="127.5">
      <c r="A5" s="267">
        <v>1772674</v>
      </c>
      <c r="B5" s="267" t="s">
        <v>3159</v>
      </c>
      <c r="C5" s="268" t="s">
        <v>3183</v>
      </c>
      <c r="D5" s="267" t="s">
        <v>3161</v>
      </c>
      <c r="E5" s="267" t="s">
        <v>3162</v>
      </c>
      <c r="F5" s="267" t="s">
        <v>3163</v>
      </c>
      <c r="G5" s="267" t="s">
        <v>3184</v>
      </c>
      <c r="H5" s="267" t="s">
        <v>3185</v>
      </c>
      <c r="I5" s="267" t="s">
        <v>3186</v>
      </c>
      <c r="J5" s="267" t="s">
        <v>3187</v>
      </c>
      <c r="K5" s="268" t="s">
        <v>3188</v>
      </c>
      <c r="L5" s="267" t="s">
        <v>3189</v>
      </c>
      <c r="M5" s="267" t="s">
        <v>3190</v>
      </c>
      <c r="N5" s="267" t="s">
        <v>866</v>
      </c>
      <c r="O5" s="268" t="s">
        <v>3191</v>
      </c>
    </row>
    <row r="6" spans="1:15" ht="76.5">
      <c r="A6" s="267">
        <v>1777951</v>
      </c>
      <c r="B6" s="267" t="s">
        <v>3159</v>
      </c>
      <c r="C6" s="268" t="s">
        <v>3192</v>
      </c>
      <c r="D6" s="267" t="s">
        <v>3193</v>
      </c>
      <c r="E6" s="267"/>
      <c r="F6" s="267" t="s">
        <v>3163</v>
      </c>
      <c r="G6" s="267" t="s">
        <v>3194</v>
      </c>
      <c r="H6" s="267" t="s">
        <v>3195</v>
      </c>
      <c r="I6" s="267" t="s">
        <v>3196</v>
      </c>
      <c r="J6" s="267" t="s">
        <v>3107</v>
      </c>
      <c r="K6" s="268" t="s">
        <v>76</v>
      </c>
      <c r="L6" s="267" t="s">
        <v>2971</v>
      </c>
      <c r="M6" s="267" t="s">
        <v>3168</v>
      </c>
      <c r="N6" s="267" t="s">
        <v>11</v>
      </c>
      <c r="O6" s="268" t="s">
        <v>3197</v>
      </c>
    </row>
    <row r="7" spans="1:15" ht="63.75">
      <c r="A7" s="267">
        <v>1777949</v>
      </c>
      <c r="B7" s="267" t="s">
        <v>3159</v>
      </c>
      <c r="C7" s="268" t="s">
        <v>3192</v>
      </c>
      <c r="D7" s="267" t="s">
        <v>3193</v>
      </c>
      <c r="E7" s="267"/>
      <c r="F7" s="267" t="s">
        <v>3163</v>
      </c>
      <c r="G7" s="267" t="s">
        <v>3198</v>
      </c>
      <c r="H7" s="267" t="s">
        <v>3198</v>
      </c>
      <c r="I7" s="267" t="s">
        <v>3196</v>
      </c>
      <c r="J7" s="267" t="s">
        <v>3107</v>
      </c>
      <c r="K7" s="268" t="s">
        <v>76</v>
      </c>
      <c r="L7" s="267" t="s">
        <v>2971</v>
      </c>
      <c r="M7" s="267" t="s">
        <v>3168</v>
      </c>
      <c r="N7" s="267" t="s">
        <v>11</v>
      </c>
      <c r="O7" s="268" t="s">
        <v>3199</v>
      </c>
    </row>
    <row r="8" spans="1:15" ht="63.75">
      <c r="A8" s="267">
        <v>1777943</v>
      </c>
      <c r="B8" s="267" t="s">
        <v>3159</v>
      </c>
      <c r="C8" s="268" t="s">
        <v>3200</v>
      </c>
      <c r="D8" s="267" t="s">
        <v>3193</v>
      </c>
      <c r="E8" s="267"/>
      <c r="F8" s="267" t="s">
        <v>3163</v>
      </c>
      <c r="G8" s="267" t="s">
        <v>3201</v>
      </c>
      <c r="H8" s="267" t="s">
        <v>3201</v>
      </c>
      <c r="I8" s="267" t="s">
        <v>3202</v>
      </c>
      <c r="J8" s="267" t="s">
        <v>3107</v>
      </c>
      <c r="K8" s="268" t="s">
        <v>76</v>
      </c>
      <c r="L8" s="267" t="s">
        <v>3203</v>
      </c>
      <c r="M8" s="267" t="s">
        <v>3168</v>
      </c>
      <c r="N8" s="267" t="s">
        <v>11</v>
      </c>
      <c r="O8" s="268" t="s">
        <v>3204</v>
      </c>
    </row>
    <row r="9" spans="1:15" ht="51">
      <c r="A9" s="267">
        <v>1777578</v>
      </c>
      <c r="B9" s="267" t="s">
        <v>3159</v>
      </c>
      <c r="C9" s="268" t="s">
        <v>3205</v>
      </c>
      <c r="D9" s="267" t="s">
        <v>3171</v>
      </c>
      <c r="E9" s="267"/>
      <c r="F9" s="267" t="s">
        <v>3163</v>
      </c>
      <c r="G9" s="267" t="s">
        <v>3206</v>
      </c>
      <c r="H9" s="267" t="s">
        <v>3206</v>
      </c>
      <c r="I9" s="267" t="s">
        <v>3207</v>
      </c>
      <c r="J9" s="267" t="s">
        <v>3107</v>
      </c>
      <c r="K9" s="268" t="s">
        <v>3208</v>
      </c>
      <c r="L9" s="267" t="s">
        <v>3209</v>
      </c>
      <c r="M9" s="267" t="s">
        <v>3168</v>
      </c>
      <c r="N9" s="267" t="s">
        <v>11</v>
      </c>
      <c r="O9" s="268" t="s">
        <v>3210</v>
      </c>
    </row>
    <row r="10" spans="1:15" ht="63.75">
      <c r="A10" s="267">
        <v>1777521</v>
      </c>
      <c r="B10" s="267" t="s">
        <v>3159</v>
      </c>
      <c r="C10" s="268" t="s">
        <v>3211</v>
      </c>
      <c r="D10" s="267" t="s">
        <v>3171</v>
      </c>
      <c r="E10" s="267"/>
      <c r="F10" s="267" t="s">
        <v>3163</v>
      </c>
      <c r="G10" s="267" t="s">
        <v>3212</v>
      </c>
      <c r="H10" s="267" t="s">
        <v>3212</v>
      </c>
      <c r="I10" s="267" t="s">
        <v>3213</v>
      </c>
      <c r="J10" s="267" t="s">
        <v>3107</v>
      </c>
      <c r="K10" s="268" t="s">
        <v>3214</v>
      </c>
      <c r="L10" s="267" t="s">
        <v>3215</v>
      </c>
      <c r="M10" s="267" t="s">
        <v>3168</v>
      </c>
      <c r="N10" s="267" t="s">
        <v>11</v>
      </c>
      <c r="O10" s="268" t="s">
        <v>3216</v>
      </c>
    </row>
    <row r="11" spans="1:15" ht="127.5">
      <c r="A11" s="267">
        <v>1774925</v>
      </c>
      <c r="B11" s="267" t="s">
        <v>3159</v>
      </c>
      <c r="C11" s="268" t="s">
        <v>3217</v>
      </c>
      <c r="D11" s="267" t="s">
        <v>3218</v>
      </c>
      <c r="E11" s="267"/>
      <c r="F11" s="267" t="s">
        <v>3163</v>
      </c>
      <c r="G11" s="267" t="s">
        <v>3219</v>
      </c>
      <c r="H11" s="267" t="s">
        <v>3220</v>
      </c>
      <c r="I11" s="267" t="s">
        <v>3221</v>
      </c>
      <c r="J11" s="267" t="s">
        <v>3222</v>
      </c>
      <c r="K11" s="268" t="s">
        <v>3223</v>
      </c>
      <c r="L11" s="267" t="s">
        <v>3033</v>
      </c>
      <c r="M11" s="267" t="s">
        <v>3168</v>
      </c>
      <c r="N11" s="267" t="s">
        <v>11</v>
      </c>
      <c r="O11" s="268" t="s">
        <v>3224</v>
      </c>
    </row>
    <row r="12" spans="1:15" ht="76.5">
      <c r="A12" s="267">
        <v>1777491</v>
      </c>
      <c r="B12" s="267" t="s">
        <v>3159</v>
      </c>
      <c r="C12" s="268" t="s">
        <v>3225</v>
      </c>
      <c r="D12" s="267" t="s">
        <v>3171</v>
      </c>
      <c r="E12" s="267"/>
      <c r="F12" s="267" t="s">
        <v>3163</v>
      </c>
      <c r="G12" s="267" t="s">
        <v>3226</v>
      </c>
      <c r="H12" s="267" t="s">
        <v>3226</v>
      </c>
      <c r="I12" s="267" t="s">
        <v>3227</v>
      </c>
      <c r="J12" s="267" t="s">
        <v>2958</v>
      </c>
      <c r="K12" s="268" t="s">
        <v>76</v>
      </c>
      <c r="L12" s="267" t="s">
        <v>3228</v>
      </c>
      <c r="M12" s="267" t="s">
        <v>3229</v>
      </c>
      <c r="N12" s="267" t="s">
        <v>11</v>
      </c>
      <c r="O12" s="268" t="s">
        <v>3230</v>
      </c>
    </row>
    <row r="13" spans="1:15" ht="89.25">
      <c r="A13" s="267">
        <v>1777482</v>
      </c>
      <c r="B13" s="267" t="s">
        <v>3159</v>
      </c>
      <c r="C13" s="268" t="s">
        <v>3231</v>
      </c>
      <c r="D13" s="267" t="s">
        <v>3218</v>
      </c>
      <c r="E13" s="267"/>
      <c r="F13" s="267" t="s">
        <v>3163</v>
      </c>
      <c r="G13" s="267" t="s">
        <v>3232</v>
      </c>
      <c r="H13" s="267" t="s">
        <v>3232</v>
      </c>
      <c r="I13" s="267" t="s">
        <v>3233</v>
      </c>
      <c r="J13" s="267" t="s">
        <v>3107</v>
      </c>
      <c r="K13" s="268" t="s">
        <v>3234</v>
      </c>
      <c r="L13" s="267" t="s">
        <v>2971</v>
      </c>
      <c r="M13" s="267" t="s">
        <v>3168</v>
      </c>
      <c r="N13" s="267" t="s">
        <v>11</v>
      </c>
      <c r="O13" s="268" t="s">
        <v>3235</v>
      </c>
    </row>
    <row r="14" spans="1:15" ht="63.75">
      <c r="A14" s="267">
        <v>1777314</v>
      </c>
      <c r="B14" s="267" t="s">
        <v>3159</v>
      </c>
      <c r="C14" s="268" t="s">
        <v>3236</v>
      </c>
      <c r="D14" s="267" t="s">
        <v>3218</v>
      </c>
      <c r="E14" s="267"/>
      <c r="F14" s="267" t="s">
        <v>3163</v>
      </c>
      <c r="G14" s="267" t="s">
        <v>3237</v>
      </c>
      <c r="H14" s="267" t="s">
        <v>3237</v>
      </c>
      <c r="I14" s="267" t="s">
        <v>3238</v>
      </c>
      <c r="J14" s="267" t="s">
        <v>3239</v>
      </c>
      <c r="K14" s="268" t="s">
        <v>3240</v>
      </c>
      <c r="L14" s="267" t="s">
        <v>3241</v>
      </c>
      <c r="M14" s="267" t="s">
        <v>3242</v>
      </c>
      <c r="N14" s="267" t="s">
        <v>11</v>
      </c>
      <c r="O14" s="268" t="s">
        <v>3243</v>
      </c>
    </row>
    <row r="15" spans="1:15" ht="114.75">
      <c r="A15" s="267">
        <v>1777286</v>
      </c>
      <c r="B15" s="267" t="s">
        <v>3159</v>
      </c>
      <c r="C15" s="268" t="s">
        <v>3244</v>
      </c>
      <c r="D15" s="267" t="s">
        <v>3218</v>
      </c>
      <c r="E15" s="267"/>
      <c r="F15" s="267" t="s">
        <v>3163</v>
      </c>
      <c r="G15" s="267" t="s">
        <v>3245</v>
      </c>
      <c r="H15" s="267" t="s">
        <v>3245</v>
      </c>
      <c r="I15" s="267" t="s">
        <v>2948</v>
      </c>
      <c r="J15" s="267" t="s">
        <v>3239</v>
      </c>
      <c r="K15" s="268" t="s">
        <v>3246</v>
      </c>
      <c r="L15" s="267" t="s">
        <v>3247</v>
      </c>
      <c r="M15" s="267" t="s">
        <v>3168</v>
      </c>
      <c r="N15" s="267" t="s">
        <v>11</v>
      </c>
      <c r="O15" s="268" t="s">
        <v>3248</v>
      </c>
    </row>
    <row r="16" spans="1:15" ht="76.5">
      <c r="A16" s="267">
        <v>1777277</v>
      </c>
      <c r="B16" s="267" t="s">
        <v>3159</v>
      </c>
      <c r="C16" s="268" t="s">
        <v>3249</v>
      </c>
      <c r="D16" s="267" t="s">
        <v>3218</v>
      </c>
      <c r="E16" s="267"/>
      <c r="F16" s="267" t="s">
        <v>3163</v>
      </c>
      <c r="G16" s="267" t="s">
        <v>3250</v>
      </c>
      <c r="H16" s="267" t="s">
        <v>3250</v>
      </c>
      <c r="I16" s="267" t="s">
        <v>3213</v>
      </c>
      <c r="J16" s="267" t="s">
        <v>3251</v>
      </c>
      <c r="K16" s="268" t="s">
        <v>3251</v>
      </c>
      <c r="L16" s="267" t="s">
        <v>3251</v>
      </c>
      <c r="M16" s="267" t="s">
        <v>3168</v>
      </c>
      <c r="N16" s="267" t="s">
        <v>11</v>
      </c>
      <c r="O16" s="268" t="s">
        <v>3252</v>
      </c>
    </row>
    <row r="17" spans="1:15" ht="89.25">
      <c r="A17" s="267">
        <v>1777197</v>
      </c>
      <c r="B17" s="267" t="s">
        <v>3159</v>
      </c>
      <c r="C17" s="268" t="s">
        <v>3253</v>
      </c>
      <c r="D17" s="267" t="s">
        <v>3218</v>
      </c>
      <c r="E17" s="267"/>
      <c r="F17" s="267" t="s">
        <v>3163</v>
      </c>
      <c r="G17" s="267" t="s">
        <v>3254</v>
      </c>
      <c r="H17" s="267" t="s">
        <v>3254</v>
      </c>
      <c r="I17" s="267" t="s">
        <v>3255</v>
      </c>
      <c r="J17" s="267" t="s">
        <v>3107</v>
      </c>
      <c r="K17" s="268" t="s">
        <v>3234</v>
      </c>
      <c r="L17" s="267" t="s">
        <v>3189</v>
      </c>
      <c r="M17" s="267" t="s">
        <v>3168</v>
      </c>
      <c r="N17" s="267" t="s">
        <v>11</v>
      </c>
      <c r="O17" s="268" t="s">
        <v>3256</v>
      </c>
    </row>
    <row r="18" spans="1:15" ht="102">
      <c r="A18" s="267">
        <v>1777169</v>
      </c>
      <c r="B18" s="267" t="s">
        <v>3159</v>
      </c>
      <c r="C18" s="268" t="s">
        <v>3257</v>
      </c>
      <c r="D18" s="267" t="s">
        <v>3218</v>
      </c>
      <c r="E18" s="267"/>
      <c r="F18" s="267" t="s">
        <v>3163</v>
      </c>
      <c r="G18" s="267" t="s">
        <v>3258</v>
      </c>
      <c r="H18" s="267" t="s">
        <v>3258</v>
      </c>
      <c r="I18" s="267" t="s">
        <v>3259</v>
      </c>
      <c r="J18" s="267" t="s">
        <v>3107</v>
      </c>
      <c r="K18" s="268" t="s">
        <v>3260</v>
      </c>
      <c r="L18" s="267" t="s">
        <v>3261</v>
      </c>
      <c r="M18" s="267" t="s">
        <v>3168</v>
      </c>
      <c r="N18" s="267" t="s">
        <v>11</v>
      </c>
      <c r="O18" s="268" t="s">
        <v>3262</v>
      </c>
    </row>
    <row r="19" spans="1:15" ht="102">
      <c r="A19" s="267">
        <v>1777160</v>
      </c>
      <c r="B19" s="267" t="s">
        <v>3159</v>
      </c>
      <c r="C19" s="268" t="s">
        <v>3263</v>
      </c>
      <c r="D19" s="267" t="s">
        <v>3218</v>
      </c>
      <c r="E19" s="267"/>
      <c r="F19" s="267" t="s">
        <v>3163</v>
      </c>
      <c r="G19" s="267" t="s">
        <v>3264</v>
      </c>
      <c r="H19" s="267" t="s">
        <v>3264</v>
      </c>
      <c r="I19" s="267" t="s">
        <v>3259</v>
      </c>
      <c r="J19" s="267" t="s">
        <v>3107</v>
      </c>
      <c r="K19" s="268" t="s">
        <v>1457</v>
      </c>
      <c r="L19" s="267" t="s">
        <v>3265</v>
      </c>
      <c r="M19" s="267" t="s">
        <v>3168</v>
      </c>
      <c r="N19" s="267" t="s">
        <v>11</v>
      </c>
      <c r="O19" s="268" t="s">
        <v>3266</v>
      </c>
    </row>
    <row r="20" spans="1:15" ht="76.5">
      <c r="A20" s="267">
        <v>1777151</v>
      </c>
      <c r="B20" s="267" t="s">
        <v>3159</v>
      </c>
      <c r="C20" s="268" t="s">
        <v>3267</v>
      </c>
      <c r="D20" s="267" t="s">
        <v>3218</v>
      </c>
      <c r="E20" s="267"/>
      <c r="F20" s="267" t="s">
        <v>3163</v>
      </c>
      <c r="G20" s="267" t="s">
        <v>3268</v>
      </c>
      <c r="H20" s="267" t="s">
        <v>3268</v>
      </c>
      <c r="I20" s="267" t="s">
        <v>3269</v>
      </c>
      <c r="J20" s="267" t="s">
        <v>3222</v>
      </c>
      <c r="K20" s="268" t="s">
        <v>3270</v>
      </c>
      <c r="L20" s="267" t="s">
        <v>3271</v>
      </c>
      <c r="M20" s="267" t="s">
        <v>3168</v>
      </c>
      <c r="N20" s="267" t="s">
        <v>3272</v>
      </c>
      <c r="O20" s="268" t="s">
        <v>3273</v>
      </c>
    </row>
    <row r="21" spans="1:15" ht="76.5">
      <c r="A21" s="267">
        <v>1777045</v>
      </c>
      <c r="B21" s="267" t="s">
        <v>3159</v>
      </c>
      <c r="C21" s="268" t="s">
        <v>3274</v>
      </c>
      <c r="D21" s="267" t="s">
        <v>3193</v>
      </c>
      <c r="E21" s="267"/>
      <c r="F21" s="267" t="s">
        <v>3163</v>
      </c>
      <c r="G21" s="267" t="s">
        <v>3275</v>
      </c>
      <c r="H21" s="267" t="s">
        <v>3275</v>
      </c>
      <c r="I21" s="267" t="s">
        <v>3276</v>
      </c>
      <c r="J21" s="267" t="s">
        <v>3107</v>
      </c>
      <c r="K21" s="268" t="s">
        <v>76</v>
      </c>
      <c r="L21" s="267" t="s">
        <v>3203</v>
      </c>
      <c r="M21" s="267" t="s">
        <v>3168</v>
      </c>
      <c r="N21" s="267" t="s">
        <v>11</v>
      </c>
      <c r="O21" s="268" t="s">
        <v>3277</v>
      </c>
    </row>
    <row r="22" spans="1:15" ht="89.25">
      <c r="A22" s="267">
        <v>1776985</v>
      </c>
      <c r="B22" s="267" t="s">
        <v>3159</v>
      </c>
      <c r="C22" s="268" t="s">
        <v>3278</v>
      </c>
      <c r="D22" s="267" t="s">
        <v>3218</v>
      </c>
      <c r="E22" s="267"/>
      <c r="F22" s="267" t="s">
        <v>3163</v>
      </c>
      <c r="G22" s="267" t="s">
        <v>3279</v>
      </c>
      <c r="H22" s="267" t="s">
        <v>3279</v>
      </c>
      <c r="I22" s="267" t="s">
        <v>3280</v>
      </c>
      <c r="J22" s="267" t="s">
        <v>2957</v>
      </c>
      <c r="K22" s="268" t="s">
        <v>3281</v>
      </c>
      <c r="L22" s="267" t="s">
        <v>3241</v>
      </c>
      <c r="M22" s="267" t="s">
        <v>3242</v>
      </c>
      <c r="N22" s="267" t="s">
        <v>11</v>
      </c>
      <c r="O22" s="268" t="s">
        <v>3282</v>
      </c>
    </row>
    <row r="23" spans="1:15" ht="51">
      <c r="A23" s="267">
        <v>1776914</v>
      </c>
      <c r="B23" s="267" t="s">
        <v>3159</v>
      </c>
      <c r="C23" s="268" t="s">
        <v>3283</v>
      </c>
      <c r="D23" s="267" t="s">
        <v>3161</v>
      </c>
      <c r="E23" s="267"/>
      <c r="F23" s="267" t="s">
        <v>3163</v>
      </c>
      <c r="G23" s="267" t="s">
        <v>3284</v>
      </c>
      <c r="H23" s="267" t="s">
        <v>3284</v>
      </c>
      <c r="I23" s="267" t="s">
        <v>3285</v>
      </c>
      <c r="J23" s="267" t="s">
        <v>2957</v>
      </c>
      <c r="K23" s="268" t="s">
        <v>3286</v>
      </c>
      <c r="L23" s="267" t="s">
        <v>2969</v>
      </c>
      <c r="M23" s="267" t="s">
        <v>3175</v>
      </c>
      <c r="N23" s="267" t="s">
        <v>11</v>
      </c>
      <c r="O23" s="268" t="s">
        <v>3287</v>
      </c>
    </row>
    <row r="24" spans="1:15" ht="76.5">
      <c r="A24" s="267">
        <v>1776897</v>
      </c>
      <c r="B24" s="267" t="s">
        <v>3159</v>
      </c>
      <c r="C24" s="268" t="s">
        <v>3288</v>
      </c>
      <c r="D24" s="267" t="s">
        <v>3193</v>
      </c>
      <c r="E24" s="267"/>
      <c r="F24" s="267" t="s">
        <v>3163</v>
      </c>
      <c r="G24" s="267" t="s">
        <v>3289</v>
      </c>
      <c r="H24" s="267" t="s">
        <v>3289</v>
      </c>
      <c r="I24" s="267" t="s">
        <v>3290</v>
      </c>
      <c r="J24" s="267" t="s">
        <v>3107</v>
      </c>
      <c r="K24" s="268" t="s">
        <v>76</v>
      </c>
      <c r="L24" s="267" t="s">
        <v>3251</v>
      </c>
      <c r="M24" s="267" t="s">
        <v>3168</v>
      </c>
      <c r="N24" s="267" t="s">
        <v>11</v>
      </c>
      <c r="O24" s="268" t="s">
        <v>3291</v>
      </c>
    </row>
    <row r="25" spans="1:15" ht="63.75">
      <c r="A25" s="267">
        <v>1776887</v>
      </c>
      <c r="B25" s="267" t="s">
        <v>3159</v>
      </c>
      <c r="C25" s="268" t="s">
        <v>3292</v>
      </c>
      <c r="D25" s="267" t="s">
        <v>3193</v>
      </c>
      <c r="E25" s="267"/>
      <c r="F25" s="267" t="s">
        <v>3163</v>
      </c>
      <c r="G25" s="267" t="s">
        <v>3293</v>
      </c>
      <c r="H25" s="267" t="s">
        <v>3293</v>
      </c>
      <c r="I25" s="267" t="s">
        <v>3294</v>
      </c>
      <c r="J25" s="267" t="s">
        <v>3295</v>
      </c>
      <c r="K25" s="268" t="s">
        <v>3296</v>
      </c>
      <c r="L25" s="267" t="s">
        <v>3297</v>
      </c>
      <c r="M25" s="267" t="s">
        <v>3168</v>
      </c>
      <c r="N25" s="267" t="s">
        <v>11</v>
      </c>
      <c r="O25" s="268" t="s">
        <v>3298</v>
      </c>
    </row>
    <row r="26" spans="1:15" ht="51">
      <c r="A26" s="267">
        <v>1776827</v>
      </c>
      <c r="B26" s="267" t="s">
        <v>3159</v>
      </c>
      <c r="C26" s="268" t="s">
        <v>3299</v>
      </c>
      <c r="D26" s="267" t="s">
        <v>3300</v>
      </c>
      <c r="E26" s="267"/>
      <c r="F26" s="267" t="s">
        <v>3163</v>
      </c>
      <c r="G26" s="267" t="s">
        <v>3301</v>
      </c>
      <c r="H26" s="267" t="s">
        <v>3301</v>
      </c>
      <c r="I26" s="267" t="s">
        <v>3302</v>
      </c>
      <c r="J26" s="267" t="s">
        <v>2957</v>
      </c>
      <c r="K26" s="268" t="s">
        <v>3303</v>
      </c>
      <c r="L26" s="267" t="s">
        <v>3115</v>
      </c>
      <c r="M26" s="267" t="s">
        <v>3304</v>
      </c>
      <c r="N26" s="267" t="s">
        <v>11</v>
      </c>
      <c r="O26" s="268" t="s">
        <v>3305</v>
      </c>
    </row>
    <row r="27" spans="1:15" ht="293.25">
      <c r="A27" s="267">
        <v>1776738</v>
      </c>
      <c r="B27" s="267" t="s">
        <v>3159</v>
      </c>
      <c r="C27" s="268" t="s">
        <v>3306</v>
      </c>
      <c r="D27" s="267" t="s">
        <v>3300</v>
      </c>
      <c r="E27" s="267"/>
      <c r="F27" s="267" t="s">
        <v>3163</v>
      </c>
      <c r="G27" s="267" t="s">
        <v>3307</v>
      </c>
      <c r="H27" s="267" t="s">
        <v>3308</v>
      </c>
      <c r="I27" s="267" t="s">
        <v>3021</v>
      </c>
      <c r="J27" s="267" t="s">
        <v>3309</v>
      </c>
      <c r="K27" s="268" t="s">
        <v>3310</v>
      </c>
      <c r="L27" s="267" t="s">
        <v>3310</v>
      </c>
      <c r="M27" s="267" t="s">
        <v>3311</v>
      </c>
      <c r="N27" s="267" t="s">
        <v>11</v>
      </c>
      <c r="O27" s="268" t="s">
        <v>3312</v>
      </c>
    </row>
    <row r="28" spans="1:15" ht="255">
      <c r="A28" s="267">
        <v>1776737</v>
      </c>
      <c r="B28" s="267" t="s">
        <v>3159</v>
      </c>
      <c r="C28" s="268" t="s">
        <v>3306</v>
      </c>
      <c r="D28" s="267" t="s">
        <v>3300</v>
      </c>
      <c r="E28" s="267"/>
      <c r="F28" s="267" t="s">
        <v>3163</v>
      </c>
      <c r="G28" s="267" t="s">
        <v>3313</v>
      </c>
      <c r="H28" s="267" t="s">
        <v>3313</v>
      </c>
      <c r="I28" s="267" t="s">
        <v>3021</v>
      </c>
      <c r="J28" s="267" t="s">
        <v>3309</v>
      </c>
      <c r="K28" s="268" t="s">
        <v>3310</v>
      </c>
      <c r="L28" s="267" t="s">
        <v>3310</v>
      </c>
      <c r="M28" s="267" t="s">
        <v>3311</v>
      </c>
      <c r="N28" s="267" t="s">
        <v>11</v>
      </c>
      <c r="O28" s="268" t="s">
        <v>3314</v>
      </c>
    </row>
    <row r="29" spans="1:15" ht="255">
      <c r="A29" s="267">
        <v>1776735</v>
      </c>
      <c r="B29" s="267" t="s">
        <v>3159</v>
      </c>
      <c r="C29" s="268" t="s">
        <v>3306</v>
      </c>
      <c r="D29" s="267" t="s">
        <v>3300</v>
      </c>
      <c r="E29" s="267"/>
      <c r="F29" s="267" t="s">
        <v>3163</v>
      </c>
      <c r="G29" s="267" t="s">
        <v>3315</v>
      </c>
      <c r="H29" s="267" t="s">
        <v>3315</v>
      </c>
      <c r="I29" s="267" t="s">
        <v>3021</v>
      </c>
      <c r="J29" s="267" t="s">
        <v>3309</v>
      </c>
      <c r="K29" s="268" t="s">
        <v>3310</v>
      </c>
      <c r="L29" s="267" t="s">
        <v>3310</v>
      </c>
      <c r="M29" s="267" t="s">
        <v>3311</v>
      </c>
      <c r="N29" s="267" t="s">
        <v>11</v>
      </c>
      <c r="O29" s="268" t="s">
        <v>3314</v>
      </c>
    </row>
    <row r="30" spans="1:15" ht="51">
      <c r="A30" s="267">
        <v>1776730</v>
      </c>
      <c r="B30" s="267" t="s">
        <v>3159</v>
      </c>
      <c r="C30" s="268" t="s">
        <v>3316</v>
      </c>
      <c r="D30" s="267" t="s">
        <v>3193</v>
      </c>
      <c r="E30" s="267"/>
      <c r="F30" s="267" t="s">
        <v>3163</v>
      </c>
      <c r="G30" s="267" t="s">
        <v>3317</v>
      </c>
      <c r="H30" s="267" t="s">
        <v>3317</v>
      </c>
      <c r="I30" s="267" t="s">
        <v>3318</v>
      </c>
      <c r="J30" s="267" t="s">
        <v>3107</v>
      </c>
      <c r="K30" s="268" t="s">
        <v>76</v>
      </c>
      <c r="L30" s="267" t="s">
        <v>3181</v>
      </c>
      <c r="M30" s="267" t="s">
        <v>3168</v>
      </c>
      <c r="N30" s="267" t="s">
        <v>11</v>
      </c>
      <c r="O30" s="268" t="s">
        <v>3319</v>
      </c>
    </row>
    <row r="31" spans="1:15" ht="63.75">
      <c r="A31" s="267">
        <v>1776728</v>
      </c>
      <c r="B31" s="267" t="s">
        <v>3159</v>
      </c>
      <c r="C31" s="268" t="s">
        <v>3320</v>
      </c>
      <c r="D31" s="267" t="s">
        <v>3193</v>
      </c>
      <c r="E31" s="267"/>
      <c r="F31" s="267" t="s">
        <v>3163</v>
      </c>
      <c r="G31" s="267" t="s">
        <v>3321</v>
      </c>
      <c r="H31" s="267" t="s">
        <v>3321</v>
      </c>
      <c r="I31" s="267" t="s">
        <v>3322</v>
      </c>
      <c r="J31" s="267" t="s">
        <v>3107</v>
      </c>
      <c r="K31" s="268" t="s">
        <v>3251</v>
      </c>
      <c r="L31" s="267" t="s">
        <v>3251</v>
      </c>
      <c r="M31" s="267" t="s">
        <v>3168</v>
      </c>
      <c r="N31" s="267" t="s">
        <v>11</v>
      </c>
      <c r="O31" s="268" t="s">
        <v>3323</v>
      </c>
    </row>
    <row r="32" spans="1:15" ht="63.75">
      <c r="A32" s="267">
        <v>1776722</v>
      </c>
      <c r="B32" s="267" t="s">
        <v>3159</v>
      </c>
      <c r="C32" s="268" t="s">
        <v>3324</v>
      </c>
      <c r="D32" s="267" t="s">
        <v>3193</v>
      </c>
      <c r="E32" s="267"/>
      <c r="F32" s="267" t="s">
        <v>3163</v>
      </c>
      <c r="G32" s="267" t="s">
        <v>3325</v>
      </c>
      <c r="H32" s="267" t="s">
        <v>3325</v>
      </c>
      <c r="I32" s="267" t="s">
        <v>3326</v>
      </c>
      <c r="J32" s="267" t="s">
        <v>3107</v>
      </c>
      <c r="K32" s="268" t="s">
        <v>3251</v>
      </c>
      <c r="L32" s="267" t="s">
        <v>3251</v>
      </c>
      <c r="M32" s="267" t="s">
        <v>3168</v>
      </c>
      <c r="N32" s="267" t="s">
        <v>11</v>
      </c>
      <c r="O32" s="268" t="s">
        <v>3327</v>
      </c>
    </row>
    <row r="33" spans="1:15" ht="63.75">
      <c r="A33" s="267">
        <v>1776655</v>
      </c>
      <c r="B33" s="267" t="s">
        <v>3159</v>
      </c>
      <c r="C33" s="268" t="s">
        <v>3328</v>
      </c>
      <c r="D33" s="267" t="s">
        <v>3300</v>
      </c>
      <c r="E33" s="267"/>
      <c r="F33" s="267" t="s">
        <v>3163</v>
      </c>
      <c r="G33" s="267" t="s">
        <v>3329</v>
      </c>
      <c r="H33" s="267" t="s">
        <v>3329</v>
      </c>
      <c r="I33" s="267" t="s">
        <v>2950</v>
      </c>
      <c r="J33" s="267" t="s">
        <v>3107</v>
      </c>
      <c r="K33" s="268" t="s">
        <v>3330</v>
      </c>
      <c r="L33" s="267" t="s">
        <v>2971</v>
      </c>
      <c r="M33" s="267" t="s">
        <v>3331</v>
      </c>
      <c r="N33" s="267" t="s">
        <v>11</v>
      </c>
      <c r="O33" s="268" t="s">
        <v>3332</v>
      </c>
    </row>
    <row r="34" spans="1:15" ht="76.5">
      <c r="A34" s="267">
        <v>1776598</v>
      </c>
      <c r="B34" s="267" t="s">
        <v>3159</v>
      </c>
      <c r="C34" s="268" t="s">
        <v>3333</v>
      </c>
      <c r="D34" s="267" t="s">
        <v>3218</v>
      </c>
      <c r="E34" s="267"/>
      <c r="F34" s="267" t="s">
        <v>3163</v>
      </c>
      <c r="G34" s="267" t="s">
        <v>3334</v>
      </c>
      <c r="H34" s="267" t="s">
        <v>3334</v>
      </c>
      <c r="I34" s="267" t="s">
        <v>3335</v>
      </c>
      <c r="J34" s="267" t="s">
        <v>3222</v>
      </c>
      <c r="K34" s="268" t="s">
        <v>3270</v>
      </c>
      <c r="L34" s="267" t="s">
        <v>3112</v>
      </c>
      <c r="M34" s="267" t="s">
        <v>3168</v>
      </c>
      <c r="N34" s="267" t="s">
        <v>11</v>
      </c>
      <c r="O34" s="268" t="s">
        <v>3336</v>
      </c>
    </row>
    <row r="35" spans="1:15" ht="89.25">
      <c r="A35" s="267">
        <v>1763007</v>
      </c>
      <c r="B35" s="267" t="s">
        <v>3159</v>
      </c>
      <c r="C35" s="268" t="s">
        <v>3337</v>
      </c>
      <c r="D35" s="267" t="s">
        <v>3161</v>
      </c>
      <c r="E35" s="267" t="s">
        <v>3162</v>
      </c>
      <c r="F35" s="267" t="s">
        <v>3163</v>
      </c>
      <c r="G35" s="267" t="s">
        <v>3338</v>
      </c>
      <c r="H35" s="267" t="s">
        <v>2889</v>
      </c>
      <c r="I35" s="267" t="s">
        <v>3339</v>
      </c>
      <c r="J35" s="267" t="s">
        <v>3107</v>
      </c>
      <c r="K35" s="268" t="s">
        <v>3166</v>
      </c>
      <c r="L35" s="267" t="s">
        <v>3241</v>
      </c>
      <c r="M35" s="267" t="s">
        <v>3340</v>
      </c>
      <c r="N35" s="267" t="s">
        <v>11</v>
      </c>
      <c r="O35" s="268" t="s">
        <v>3341</v>
      </c>
    </row>
    <row r="36" spans="1:15" ht="76.5">
      <c r="A36" s="267">
        <v>1776588</v>
      </c>
      <c r="B36" s="267" t="s">
        <v>3159</v>
      </c>
      <c r="C36" s="268" t="s">
        <v>3342</v>
      </c>
      <c r="D36" s="267" t="s">
        <v>3218</v>
      </c>
      <c r="E36" s="267"/>
      <c r="F36" s="267" t="s">
        <v>3163</v>
      </c>
      <c r="G36" s="267" t="s">
        <v>3343</v>
      </c>
      <c r="H36" s="267" t="s">
        <v>3343</v>
      </c>
      <c r="I36" s="267" t="s">
        <v>3344</v>
      </c>
      <c r="J36" s="267" t="s">
        <v>3222</v>
      </c>
      <c r="K36" s="268" t="s">
        <v>3270</v>
      </c>
      <c r="L36" s="267" t="s">
        <v>2969</v>
      </c>
      <c r="M36" s="267" t="s">
        <v>3168</v>
      </c>
      <c r="N36" s="267" t="s">
        <v>11</v>
      </c>
      <c r="O36" s="268" t="s">
        <v>3345</v>
      </c>
    </row>
    <row r="37" spans="1:15" ht="89.25">
      <c r="A37" s="267">
        <v>1776530</v>
      </c>
      <c r="B37" s="267" t="s">
        <v>3159</v>
      </c>
      <c r="C37" s="268" t="s">
        <v>3346</v>
      </c>
      <c r="D37" s="267" t="s">
        <v>3218</v>
      </c>
      <c r="E37" s="267"/>
      <c r="F37" s="267" t="s">
        <v>3163</v>
      </c>
      <c r="G37" s="267" t="s">
        <v>3347</v>
      </c>
      <c r="H37" s="267" t="s">
        <v>3347</v>
      </c>
      <c r="I37" s="267" t="s">
        <v>1774</v>
      </c>
      <c r="J37" s="267" t="s">
        <v>3222</v>
      </c>
      <c r="K37" s="268" t="s">
        <v>3251</v>
      </c>
      <c r="L37" s="267" t="s">
        <v>3251</v>
      </c>
      <c r="M37" s="267" t="s">
        <v>3168</v>
      </c>
      <c r="N37" s="267" t="s">
        <v>11</v>
      </c>
      <c r="O37" s="268" t="s">
        <v>3348</v>
      </c>
    </row>
    <row r="38" spans="1:15" ht="89.25">
      <c r="A38" s="267">
        <v>1776525</v>
      </c>
      <c r="B38" s="267" t="s">
        <v>3159</v>
      </c>
      <c r="C38" s="268" t="s">
        <v>3349</v>
      </c>
      <c r="D38" s="267" t="s">
        <v>3218</v>
      </c>
      <c r="E38" s="267"/>
      <c r="F38" s="267" t="s">
        <v>3163</v>
      </c>
      <c r="G38" s="267" t="s">
        <v>3350</v>
      </c>
      <c r="H38" s="267" t="s">
        <v>3350</v>
      </c>
      <c r="I38" s="267" t="s">
        <v>3351</v>
      </c>
      <c r="J38" s="267" t="s">
        <v>3222</v>
      </c>
      <c r="K38" s="268" t="s">
        <v>3352</v>
      </c>
      <c r="L38" s="267" t="s">
        <v>2966</v>
      </c>
      <c r="M38" s="267" t="s">
        <v>3168</v>
      </c>
      <c r="N38" s="267" t="s">
        <v>11</v>
      </c>
      <c r="O38" s="268" t="s">
        <v>3353</v>
      </c>
    </row>
    <row r="39" spans="1:15" ht="89.25">
      <c r="A39" s="267">
        <v>1776512</v>
      </c>
      <c r="B39" s="267" t="s">
        <v>3159</v>
      </c>
      <c r="C39" s="268" t="s">
        <v>3354</v>
      </c>
      <c r="D39" s="267" t="s">
        <v>3218</v>
      </c>
      <c r="E39" s="267"/>
      <c r="F39" s="267" t="s">
        <v>3163</v>
      </c>
      <c r="G39" s="267" t="s">
        <v>3355</v>
      </c>
      <c r="H39" s="267" t="s">
        <v>3355</v>
      </c>
      <c r="I39" s="267" t="s">
        <v>3356</v>
      </c>
      <c r="J39" s="267" t="s">
        <v>3222</v>
      </c>
      <c r="K39" s="268" t="s">
        <v>3357</v>
      </c>
      <c r="L39" s="267" t="s">
        <v>3209</v>
      </c>
      <c r="M39" s="267" t="s">
        <v>3168</v>
      </c>
      <c r="N39" s="267" t="s">
        <v>11</v>
      </c>
      <c r="O39" s="268" t="s">
        <v>3358</v>
      </c>
    </row>
    <row r="40" spans="1:15" ht="51">
      <c r="A40" s="267">
        <v>1776346</v>
      </c>
      <c r="B40" s="267" t="s">
        <v>3159</v>
      </c>
      <c r="C40" s="268" t="s">
        <v>3359</v>
      </c>
      <c r="D40" s="267" t="s">
        <v>3161</v>
      </c>
      <c r="E40" s="267"/>
      <c r="F40" s="267" t="s">
        <v>3163</v>
      </c>
      <c r="G40" s="267" t="s">
        <v>3360</v>
      </c>
      <c r="H40" s="267" t="s">
        <v>3360</v>
      </c>
      <c r="I40" s="267" t="s">
        <v>2955</v>
      </c>
      <c r="J40" s="267" t="s">
        <v>2964</v>
      </c>
      <c r="K40" s="268" t="s">
        <v>2988</v>
      </c>
      <c r="L40" s="267" t="s">
        <v>3361</v>
      </c>
      <c r="M40" s="267" t="s">
        <v>3168</v>
      </c>
      <c r="N40" s="267" t="s">
        <v>11</v>
      </c>
      <c r="O40" s="268" t="s">
        <v>3362</v>
      </c>
    </row>
    <row r="41" spans="1:15" ht="76.5">
      <c r="A41" s="267">
        <v>1776315</v>
      </c>
      <c r="B41" s="267" t="s">
        <v>3159</v>
      </c>
      <c r="C41" s="268" t="s">
        <v>3363</v>
      </c>
      <c r="D41" s="267" t="s">
        <v>3218</v>
      </c>
      <c r="E41" s="267"/>
      <c r="F41" s="267" t="s">
        <v>3163</v>
      </c>
      <c r="G41" s="267" t="s">
        <v>3364</v>
      </c>
      <c r="H41" s="267" t="s">
        <v>3364</v>
      </c>
      <c r="I41" s="267" t="s">
        <v>3365</v>
      </c>
      <c r="J41" s="267" t="s">
        <v>3366</v>
      </c>
      <c r="K41" s="268" t="s">
        <v>156</v>
      </c>
      <c r="L41" s="267" t="s">
        <v>2965</v>
      </c>
      <c r="M41" s="267" t="s">
        <v>3168</v>
      </c>
      <c r="N41" s="267" t="s">
        <v>11</v>
      </c>
      <c r="O41" s="268" t="s">
        <v>3367</v>
      </c>
    </row>
    <row r="42" spans="1:15" ht="89.25">
      <c r="A42" s="267">
        <v>1776262</v>
      </c>
      <c r="B42" s="267" t="s">
        <v>3159</v>
      </c>
      <c r="C42" s="268" t="s">
        <v>3368</v>
      </c>
      <c r="D42" s="267" t="s">
        <v>3218</v>
      </c>
      <c r="E42" s="267"/>
      <c r="F42" s="267" t="s">
        <v>3163</v>
      </c>
      <c r="G42" s="267" t="s">
        <v>3369</v>
      </c>
      <c r="H42" s="267" t="s">
        <v>3369</v>
      </c>
      <c r="I42" s="267" t="s">
        <v>3370</v>
      </c>
      <c r="J42" s="267" t="s">
        <v>3222</v>
      </c>
      <c r="K42" s="268" t="s">
        <v>3371</v>
      </c>
      <c r="L42" s="267" t="s">
        <v>3112</v>
      </c>
      <c r="M42" s="267" t="s">
        <v>3168</v>
      </c>
      <c r="N42" s="267" t="s">
        <v>11</v>
      </c>
      <c r="O42" s="268" t="s">
        <v>3372</v>
      </c>
    </row>
    <row r="43" spans="1:15" ht="51">
      <c r="A43" s="267">
        <v>1776259</v>
      </c>
      <c r="B43" s="267" t="s">
        <v>3159</v>
      </c>
      <c r="C43" s="268" t="s">
        <v>3373</v>
      </c>
      <c r="D43" s="267" t="s">
        <v>3161</v>
      </c>
      <c r="E43" s="267"/>
      <c r="F43" s="267" t="s">
        <v>3163</v>
      </c>
      <c r="G43" s="267" t="s">
        <v>3374</v>
      </c>
      <c r="H43" s="267" t="s">
        <v>3374</v>
      </c>
      <c r="I43" s="267" t="s">
        <v>3375</v>
      </c>
      <c r="J43" s="267" t="s">
        <v>3107</v>
      </c>
      <c r="K43" s="268" t="s">
        <v>3376</v>
      </c>
      <c r="L43" s="267" t="s">
        <v>3115</v>
      </c>
      <c r="M43" s="267" t="s">
        <v>3377</v>
      </c>
      <c r="N43" s="267" t="s">
        <v>11</v>
      </c>
      <c r="O43" s="268" t="s">
        <v>3378</v>
      </c>
    </row>
    <row r="44" spans="1:15" ht="63.75">
      <c r="A44" s="267">
        <v>1776250</v>
      </c>
      <c r="B44" s="267" t="s">
        <v>3159</v>
      </c>
      <c r="C44" s="268" t="s">
        <v>3379</v>
      </c>
      <c r="D44" s="267" t="s">
        <v>3161</v>
      </c>
      <c r="E44" s="267"/>
      <c r="F44" s="267" t="s">
        <v>3163</v>
      </c>
      <c r="G44" s="267" t="s">
        <v>3380</v>
      </c>
      <c r="H44" s="267" t="s">
        <v>3380</v>
      </c>
      <c r="I44" s="267" t="s">
        <v>3381</v>
      </c>
      <c r="J44" s="267" t="s">
        <v>3382</v>
      </c>
      <c r="K44" s="268" t="s">
        <v>3383</v>
      </c>
      <c r="L44" s="267" t="s">
        <v>3384</v>
      </c>
      <c r="M44" s="267" t="s">
        <v>3168</v>
      </c>
      <c r="N44" s="267" t="s">
        <v>11</v>
      </c>
      <c r="O44" s="268" t="s">
        <v>3385</v>
      </c>
    </row>
    <row r="45" spans="1:15" ht="38.25">
      <c r="A45" s="267">
        <v>1776244</v>
      </c>
      <c r="B45" s="267" t="s">
        <v>3159</v>
      </c>
      <c r="C45" s="268" t="s">
        <v>1198</v>
      </c>
      <c r="D45" s="267" t="s">
        <v>3161</v>
      </c>
      <c r="E45" s="267"/>
      <c r="F45" s="267" t="s">
        <v>3163</v>
      </c>
      <c r="G45" s="267" t="s">
        <v>3386</v>
      </c>
      <c r="H45" s="267" t="s">
        <v>3386</v>
      </c>
      <c r="I45" s="267" t="s">
        <v>3387</v>
      </c>
      <c r="J45" s="267" t="s">
        <v>3388</v>
      </c>
      <c r="K45" s="268" t="s">
        <v>3389</v>
      </c>
      <c r="L45" s="267" t="s">
        <v>2970</v>
      </c>
      <c r="M45" s="267" t="s">
        <v>3377</v>
      </c>
      <c r="N45" s="267" t="s">
        <v>11</v>
      </c>
      <c r="O45" s="268" t="s">
        <v>3390</v>
      </c>
    </row>
    <row r="46" spans="1:15" ht="89.25">
      <c r="A46" s="267">
        <v>1776226</v>
      </c>
      <c r="B46" s="267" t="s">
        <v>3159</v>
      </c>
      <c r="C46" s="268" t="s">
        <v>3391</v>
      </c>
      <c r="D46" s="267" t="s">
        <v>3218</v>
      </c>
      <c r="E46" s="267"/>
      <c r="F46" s="267" t="s">
        <v>3163</v>
      </c>
      <c r="G46" s="267" t="s">
        <v>3392</v>
      </c>
      <c r="H46" s="267" t="s">
        <v>3392</v>
      </c>
      <c r="I46" s="267" t="s">
        <v>3393</v>
      </c>
      <c r="J46" s="267" t="s">
        <v>3222</v>
      </c>
      <c r="K46" s="268" t="s">
        <v>3270</v>
      </c>
      <c r="L46" s="267" t="s">
        <v>2969</v>
      </c>
      <c r="M46" s="267" t="s">
        <v>3168</v>
      </c>
      <c r="N46" s="267" t="s">
        <v>11</v>
      </c>
      <c r="O46" s="268" t="s">
        <v>3394</v>
      </c>
    </row>
    <row r="47" spans="1:15" ht="76.5">
      <c r="A47" s="267">
        <v>1776219</v>
      </c>
      <c r="B47" s="267" t="s">
        <v>3159</v>
      </c>
      <c r="C47" s="268" t="s">
        <v>3395</v>
      </c>
      <c r="D47" s="267" t="s">
        <v>3218</v>
      </c>
      <c r="E47" s="267"/>
      <c r="F47" s="267" t="s">
        <v>3163</v>
      </c>
      <c r="G47" s="267" t="s">
        <v>3396</v>
      </c>
      <c r="H47" s="267" t="s">
        <v>3396</v>
      </c>
      <c r="I47" s="267" t="s">
        <v>3397</v>
      </c>
      <c r="J47" s="267" t="s">
        <v>3222</v>
      </c>
      <c r="K47" s="268" t="s">
        <v>3270</v>
      </c>
      <c r="L47" s="267" t="s">
        <v>2969</v>
      </c>
      <c r="M47" s="267" t="s">
        <v>3168</v>
      </c>
      <c r="N47" s="267" t="s">
        <v>11</v>
      </c>
      <c r="O47" s="268" t="s">
        <v>3398</v>
      </c>
    </row>
    <row r="48" spans="1:15" ht="76.5">
      <c r="A48" s="267">
        <v>1776215</v>
      </c>
      <c r="B48" s="267" t="s">
        <v>3159</v>
      </c>
      <c r="C48" s="268" t="s">
        <v>3399</v>
      </c>
      <c r="D48" s="267" t="s">
        <v>3218</v>
      </c>
      <c r="E48" s="267"/>
      <c r="F48" s="267" t="s">
        <v>3163</v>
      </c>
      <c r="G48" s="267" t="s">
        <v>3400</v>
      </c>
      <c r="H48" s="267" t="s">
        <v>3400</v>
      </c>
      <c r="I48" s="267" t="s">
        <v>1774</v>
      </c>
      <c r="J48" s="267" t="s">
        <v>3222</v>
      </c>
      <c r="K48" s="268" t="s">
        <v>3401</v>
      </c>
      <c r="L48" s="267" t="s">
        <v>3228</v>
      </c>
      <c r="M48" s="267" t="s">
        <v>3168</v>
      </c>
      <c r="N48" s="267" t="s">
        <v>11</v>
      </c>
      <c r="O48" s="268" t="s">
        <v>3402</v>
      </c>
    </row>
    <row r="49" spans="1:15" ht="89.25">
      <c r="A49" s="267">
        <v>1776198</v>
      </c>
      <c r="B49" s="267" t="s">
        <v>3159</v>
      </c>
      <c r="C49" s="268" t="s">
        <v>3403</v>
      </c>
      <c r="D49" s="267" t="s">
        <v>3218</v>
      </c>
      <c r="E49" s="267"/>
      <c r="F49" s="267" t="s">
        <v>3163</v>
      </c>
      <c r="G49" s="267" t="s">
        <v>3404</v>
      </c>
      <c r="H49" s="267" t="s">
        <v>3404</v>
      </c>
      <c r="I49" s="267" t="s">
        <v>3196</v>
      </c>
      <c r="J49" s="267" t="s">
        <v>3107</v>
      </c>
      <c r="K49" s="268" t="s">
        <v>3234</v>
      </c>
      <c r="L49" s="267" t="s">
        <v>2971</v>
      </c>
      <c r="M49" s="267" t="s">
        <v>3168</v>
      </c>
      <c r="N49" s="267" t="s">
        <v>11</v>
      </c>
      <c r="O49" s="268" t="s">
        <v>3405</v>
      </c>
    </row>
    <row r="50" spans="1:15" ht="89.25">
      <c r="A50" s="267">
        <v>1776183</v>
      </c>
      <c r="B50" s="267" t="s">
        <v>3159</v>
      </c>
      <c r="C50" s="268" t="s">
        <v>3406</v>
      </c>
      <c r="D50" s="267" t="s">
        <v>3218</v>
      </c>
      <c r="E50" s="267"/>
      <c r="F50" s="267" t="s">
        <v>3163</v>
      </c>
      <c r="G50" s="267" t="s">
        <v>3407</v>
      </c>
      <c r="H50" s="267" t="s">
        <v>3407</v>
      </c>
      <c r="I50" s="267" t="s">
        <v>1816</v>
      </c>
      <c r="J50" s="267" t="s">
        <v>3107</v>
      </c>
      <c r="K50" s="268" t="s">
        <v>3234</v>
      </c>
      <c r="L50" s="267" t="s">
        <v>3189</v>
      </c>
      <c r="M50" s="267" t="s">
        <v>3168</v>
      </c>
      <c r="N50" s="267" t="s">
        <v>11</v>
      </c>
      <c r="O50" s="268" t="s">
        <v>3408</v>
      </c>
    </row>
    <row r="51" spans="1:15" ht="89.25">
      <c r="A51" s="267">
        <v>1776169</v>
      </c>
      <c r="B51" s="267" t="s">
        <v>3159</v>
      </c>
      <c r="C51" s="268" t="s">
        <v>3409</v>
      </c>
      <c r="D51" s="267" t="s">
        <v>3218</v>
      </c>
      <c r="E51" s="267"/>
      <c r="F51" s="267" t="s">
        <v>3163</v>
      </c>
      <c r="G51" s="267" t="s">
        <v>3410</v>
      </c>
      <c r="H51" s="267" t="s">
        <v>3410</v>
      </c>
      <c r="I51" s="267" t="s">
        <v>3411</v>
      </c>
      <c r="J51" s="267" t="s">
        <v>3107</v>
      </c>
      <c r="K51" s="268" t="s">
        <v>3234</v>
      </c>
      <c r="L51" s="267" t="s">
        <v>2971</v>
      </c>
      <c r="M51" s="267" t="s">
        <v>3168</v>
      </c>
      <c r="N51" s="267" t="s">
        <v>11</v>
      </c>
      <c r="O51" s="268" t="s">
        <v>3412</v>
      </c>
    </row>
    <row r="52" spans="1:15" ht="89.25">
      <c r="A52" s="267">
        <v>1776167</v>
      </c>
      <c r="B52" s="267" t="s">
        <v>3159</v>
      </c>
      <c r="C52" s="268" t="s">
        <v>3413</v>
      </c>
      <c r="D52" s="267" t="s">
        <v>3218</v>
      </c>
      <c r="E52" s="267"/>
      <c r="F52" s="267" t="s">
        <v>3163</v>
      </c>
      <c r="G52" s="267" t="s">
        <v>3414</v>
      </c>
      <c r="H52" s="267" t="s">
        <v>3414</v>
      </c>
      <c r="I52" s="267" t="s">
        <v>3415</v>
      </c>
      <c r="J52" s="267" t="s">
        <v>3107</v>
      </c>
      <c r="K52" s="268" t="s">
        <v>3234</v>
      </c>
      <c r="L52" s="267" t="s">
        <v>2971</v>
      </c>
      <c r="M52" s="267" t="s">
        <v>3168</v>
      </c>
      <c r="N52" s="267" t="s">
        <v>11</v>
      </c>
      <c r="O52" s="268" t="s">
        <v>3416</v>
      </c>
    </row>
    <row r="53" spans="1:15" ht="89.25">
      <c r="A53" s="267">
        <v>1776158</v>
      </c>
      <c r="B53" s="267" t="s">
        <v>3159</v>
      </c>
      <c r="C53" s="268" t="s">
        <v>3417</v>
      </c>
      <c r="D53" s="267" t="s">
        <v>3218</v>
      </c>
      <c r="E53" s="267"/>
      <c r="F53" s="267" t="s">
        <v>3163</v>
      </c>
      <c r="G53" s="267" t="s">
        <v>3418</v>
      </c>
      <c r="H53" s="267" t="s">
        <v>3418</v>
      </c>
      <c r="I53" s="267" t="s">
        <v>3419</v>
      </c>
      <c r="J53" s="267" t="s">
        <v>3107</v>
      </c>
      <c r="K53" s="268" t="s">
        <v>3234</v>
      </c>
      <c r="L53" s="267" t="s">
        <v>2971</v>
      </c>
      <c r="M53" s="267" t="s">
        <v>3168</v>
      </c>
      <c r="N53" s="267" t="s">
        <v>11</v>
      </c>
      <c r="O53" s="268" t="s">
        <v>3420</v>
      </c>
    </row>
    <row r="54" spans="1:15" ht="318.75">
      <c r="A54" s="267">
        <v>1775472</v>
      </c>
      <c r="B54" s="267" t="s">
        <v>3159</v>
      </c>
      <c r="C54" s="268" t="s">
        <v>3421</v>
      </c>
      <c r="D54" s="267" t="s">
        <v>3193</v>
      </c>
      <c r="E54" s="267"/>
      <c r="F54" s="267" t="s">
        <v>3163</v>
      </c>
      <c r="G54" s="267" t="s">
        <v>3422</v>
      </c>
      <c r="H54" s="267" t="s">
        <v>3423</v>
      </c>
      <c r="I54" s="267" t="s">
        <v>3424</v>
      </c>
      <c r="J54" s="267" t="s">
        <v>3107</v>
      </c>
      <c r="K54" s="268" t="s">
        <v>3251</v>
      </c>
      <c r="L54" s="267" t="s">
        <v>3251</v>
      </c>
      <c r="M54" s="267" t="s">
        <v>3168</v>
      </c>
      <c r="N54" s="267" t="s">
        <v>11</v>
      </c>
      <c r="O54" s="268" t="s">
        <v>3425</v>
      </c>
    </row>
    <row r="55" spans="1:15" ht="102">
      <c r="A55" s="267">
        <v>1776061</v>
      </c>
      <c r="B55" s="267" t="s">
        <v>3159</v>
      </c>
      <c r="C55" s="268" t="s">
        <v>3426</v>
      </c>
      <c r="D55" s="267" t="s">
        <v>3193</v>
      </c>
      <c r="E55" s="267"/>
      <c r="F55" s="267" t="s">
        <v>3163</v>
      </c>
      <c r="G55" s="267" t="s">
        <v>3427</v>
      </c>
      <c r="H55" s="267" t="s">
        <v>3427</v>
      </c>
      <c r="I55" s="267" t="s">
        <v>3428</v>
      </c>
      <c r="J55" s="267" t="s">
        <v>3107</v>
      </c>
      <c r="K55" s="268" t="s">
        <v>3251</v>
      </c>
      <c r="L55" s="267" t="s">
        <v>3251</v>
      </c>
      <c r="M55" s="267" t="s">
        <v>3168</v>
      </c>
      <c r="N55" s="267" t="s">
        <v>11</v>
      </c>
      <c r="O55" s="268" t="s">
        <v>3429</v>
      </c>
    </row>
    <row r="56" spans="1:15" ht="63.75">
      <c r="A56" s="267">
        <v>1776059</v>
      </c>
      <c r="B56" s="267" t="s">
        <v>3159</v>
      </c>
      <c r="C56" s="268" t="s">
        <v>3430</v>
      </c>
      <c r="D56" s="267" t="s">
        <v>3193</v>
      </c>
      <c r="E56" s="267"/>
      <c r="F56" s="267" t="s">
        <v>3163</v>
      </c>
      <c r="G56" s="267" t="s">
        <v>3431</v>
      </c>
      <c r="H56" s="267" t="s">
        <v>3431</v>
      </c>
      <c r="I56" s="267" t="s">
        <v>3428</v>
      </c>
      <c r="J56" s="267" t="s">
        <v>3107</v>
      </c>
      <c r="K56" s="268" t="s">
        <v>76</v>
      </c>
      <c r="L56" s="267" t="s">
        <v>3203</v>
      </c>
      <c r="M56" s="267" t="s">
        <v>3168</v>
      </c>
      <c r="N56" s="267" t="s">
        <v>11</v>
      </c>
      <c r="O56" s="268" t="s">
        <v>3432</v>
      </c>
    </row>
    <row r="57" spans="1:15" ht="102">
      <c r="A57" s="267">
        <v>1775904</v>
      </c>
      <c r="B57" s="267" t="s">
        <v>3159</v>
      </c>
      <c r="C57" s="268" t="s">
        <v>3433</v>
      </c>
      <c r="D57" s="267" t="s">
        <v>3193</v>
      </c>
      <c r="E57" s="267"/>
      <c r="F57" s="267" t="s">
        <v>3163</v>
      </c>
      <c r="G57" s="267" t="s">
        <v>3434</v>
      </c>
      <c r="H57" s="267" t="s">
        <v>3434</v>
      </c>
      <c r="I57" s="267" t="s">
        <v>3435</v>
      </c>
      <c r="J57" s="267" t="s">
        <v>3107</v>
      </c>
      <c r="K57" s="268" t="s">
        <v>3251</v>
      </c>
      <c r="L57" s="267" t="s">
        <v>3251</v>
      </c>
      <c r="M57" s="267" t="s">
        <v>3168</v>
      </c>
      <c r="N57" s="267" t="s">
        <v>11</v>
      </c>
      <c r="O57" s="268" t="s">
        <v>3436</v>
      </c>
    </row>
    <row r="58" spans="1:15" ht="242.25">
      <c r="A58" s="267">
        <v>1775731</v>
      </c>
      <c r="B58" s="267" t="s">
        <v>3159</v>
      </c>
      <c r="C58" s="268" t="s">
        <v>3437</v>
      </c>
      <c r="D58" s="267" t="s">
        <v>3193</v>
      </c>
      <c r="E58" s="267"/>
      <c r="F58" s="267" t="s">
        <v>3163</v>
      </c>
      <c r="G58" s="267" t="s">
        <v>3438</v>
      </c>
      <c r="H58" s="267" t="s">
        <v>3438</v>
      </c>
      <c r="I58" s="267" t="s">
        <v>3439</v>
      </c>
      <c r="J58" s="267" t="s">
        <v>3107</v>
      </c>
      <c r="K58" s="268" t="s">
        <v>3251</v>
      </c>
      <c r="L58" s="267" t="s">
        <v>3251</v>
      </c>
      <c r="M58" s="267" t="s">
        <v>3168</v>
      </c>
      <c r="N58" s="267" t="s">
        <v>11</v>
      </c>
      <c r="O58" s="268" t="s">
        <v>3440</v>
      </c>
    </row>
    <row r="59" spans="1:15" ht="76.5">
      <c r="A59" s="267">
        <v>1775714</v>
      </c>
      <c r="B59" s="267" t="s">
        <v>3159</v>
      </c>
      <c r="C59" s="268" t="s">
        <v>3441</v>
      </c>
      <c r="D59" s="267" t="s">
        <v>3300</v>
      </c>
      <c r="E59" s="267"/>
      <c r="F59" s="267" t="s">
        <v>3163</v>
      </c>
      <c r="G59" s="267" t="s">
        <v>3442</v>
      </c>
      <c r="H59" s="267" t="s">
        <v>3442</v>
      </c>
      <c r="I59" s="267" t="s">
        <v>3443</v>
      </c>
      <c r="J59" s="267" t="s">
        <v>2963</v>
      </c>
      <c r="K59" s="268" t="s">
        <v>3444</v>
      </c>
      <c r="L59" s="267" t="s">
        <v>3241</v>
      </c>
      <c r="M59" s="267" t="s">
        <v>3168</v>
      </c>
      <c r="N59" s="267" t="s">
        <v>11</v>
      </c>
      <c r="O59" s="268" t="s">
        <v>3445</v>
      </c>
    </row>
    <row r="60" spans="1:15" ht="102">
      <c r="A60" s="267">
        <v>1775684</v>
      </c>
      <c r="B60" s="267" t="s">
        <v>3159</v>
      </c>
      <c r="C60" s="268" t="s">
        <v>3446</v>
      </c>
      <c r="D60" s="267" t="s">
        <v>3300</v>
      </c>
      <c r="E60" s="267"/>
      <c r="F60" s="267" t="s">
        <v>3163</v>
      </c>
      <c r="G60" s="267" t="s">
        <v>3447</v>
      </c>
      <c r="H60" s="267" t="s">
        <v>3447</v>
      </c>
      <c r="I60" s="267" t="s">
        <v>3448</v>
      </c>
      <c r="J60" s="267" t="s">
        <v>3107</v>
      </c>
      <c r="K60" s="268" t="s">
        <v>3310</v>
      </c>
      <c r="L60" s="267" t="s">
        <v>3310</v>
      </c>
      <c r="M60" s="267" t="s">
        <v>3168</v>
      </c>
      <c r="N60" s="267" t="s">
        <v>11</v>
      </c>
      <c r="O60" s="268" t="s">
        <v>3449</v>
      </c>
    </row>
    <row r="61" spans="1:15" ht="89.25">
      <c r="A61" s="267">
        <v>1775678</v>
      </c>
      <c r="B61" s="267" t="s">
        <v>3159</v>
      </c>
      <c r="C61" s="268" t="s">
        <v>3450</v>
      </c>
      <c r="D61" s="267" t="s">
        <v>3161</v>
      </c>
      <c r="E61" s="267"/>
      <c r="F61" s="267" t="s">
        <v>3163</v>
      </c>
      <c r="G61" s="267" t="s">
        <v>3451</v>
      </c>
      <c r="H61" s="267" t="s">
        <v>3451</v>
      </c>
      <c r="I61" s="267" t="s">
        <v>3452</v>
      </c>
      <c r="J61" s="267" t="s">
        <v>3166</v>
      </c>
      <c r="K61" s="268" t="s">
        <v>3166</v>
      </c>
      <c r="L61" s="267" t="s">
        <v>3167</v>
      </c>
      <c r="M61" s="267" t="s">
        <v>3168</v>
      </c>
      <c r="N61" s="267" t="s">
        <v>11</v>
      </c>
      <c r="O61" s="268" t="s">
        <v>3453</v>
      </c>
    </row>
    <row r="62" spans="1:15" ht="51">
      <c r="A62" s="267">
        <v>1775667</v>
      </c>
      <c r="B62" s="267" t="s">
        <v>3159</v>
      </c>
      <c r="C62" s="268" t="s">
        <v>3454</v>
      </c>
      <c r="D62" s="267" t="s">
        <v>3300</v>
      </c>
      <c r="E62" s="267"/>
      <c r="F62" s="267" t="s">
        <v>3163</v>
      </c>
      <c r="G62" s="267" t="s">
        <v>3455</v>
      </c>
      <c r="H62" s="267" t="s">
        <v>3455</v>
      </c>
      <c r="I62" s="267" t="s">
        <v>3179</v>
      </c>
      <c r="J62" s="267" t="s">
        <v>3107</v>
      </c>
      <c r="K62" s="268" t="s">
        <v>3456</v>
      </c>
      <c r="L62" s="267" t="s">
        <v>3203</v>
      </c>
      <c r="M62" s="267" t="s">
        <v>3168</v>
      </c>
      <c r="N62" s="267" t="s">
        <v>11</v>
      </c>
      <c r="O62" s="268" t="s">
        <v>3457</v>
      </c>
    </row>
    <row r="63" spans="1:15" ht="89.25">
      <c r="A63" s="267">
        <v>1775655</v>
      </c>
      <c r="B63" s="267" t="s">
        <v>3159</v>
      </c>
      <c r="C63" s="268" t="s">
        <v>3458</v>
      </c>
      <c r="D63" s="267" t="s">
        <v>3300</v>
      </c>
      <c r="E63" s="267"/>
      <c r="F63" s="267" t="s">
        <v>3163</v>
      </c>
      <c r="G63" s="267" t="s">
        <v>3459</v>
      </c>
      <c r="H63" s="267" t="s">
        <v>3459</v>
      </c>
      <c r="I63" s="267" t="s">
        <v>3375</v>
      </c>
      <c r="J63" s="267" t="s">
        <v>3107</v>
      </c>
      <c r="K63" s="268" t="s">
        <v>3310</v>
      </c>
      <c r="L63" s="267" t="s">
        <v>3310</v>
      </c>
      <c r="M63" s="267" t="s">
        <v>3168</v>
      </c>
      <c r="N63" s="267" t="s">
        <v>11</v>
      </c>
      <c r="O63" s="268" t="s">
        <v>3460</v>
      </c>
    </row>
    <row r="64" spans="1:15" ht="114.75">
      <c r="A64" s="267">
        <v>1775630</v>
      </c>
      <c r="B64" s="267" t="s">
        <v>3159</v>
      </c>
      <c r="C64" s="268" t="s">
        <v>3461</v>
      </c>
      <c r="D64" s="267" t="s">
        <v>3300</v>
      </c>
      <c r="E64" s="267"/>
      <c r="F64" s="267" t="s">
        <v>3163</v>
      </c>
      <c r="G64" s="267" t="s">
        <v>3462</v>
      </c>
      <c r="H64" s="267" t="s">
        <v>3462</v>
      </c>
      <c r="I64" s="267" t="s">
        <v>3463</v>
      </c>
      <c r="J64" s="267" t="s">
        <v>3107</v>
      </c>
      <c r="K64" s="268" t="s">
        <v>3310</v>
      </c>
      <c r="L64" s="267" t="s">
        <v>3310</v>
      </c>
      <c r="M64" s="267" t="s">
        <v>3168</v>
      </c>
      <c r="N64" s="267" t="s">
        <v>11</v>
      </c>
      <c r="O64" s="268" t="s">
        <v>3464</v>
      </c>
    </row>
    <row r="65" spans="1:15" ht="293.25">
      <c r="A65" s="267">
        <v>1775625</v>
      </c>
      <c r="B65" s="267" t="s">
        <v>3159</v>
      </c>
      <c r="C65" s="268" t="s">
        <v>3465</v>
      </c>
      <c r="D65" s="267" t="s">
        <v>3300</v>
      </c>
      <c r="E65" s="267"/>
      <c r="F65" s="267" t="s">
        <v>3163</v>
      </c>
      <c r="G65" s="267" t="s">
        <v>3466</v>
      </c>
      <c r="H65" s="267" t="s">
        <v>3466</v>
      </c>
      <c r="I65" s="267" t="s">
        <v>3381</v>
      </c>
      <c r="J65" s="267" t="s">
        <v>3107</v>
      </c>
      <c r="K65" s="268" t="s">
        <v>3310</v>
      </c>
      <c r="L65" s="267" t="s">
        <v>3310</v>
      </c>
      <c r="M65" s="267" t="s">
        <v>3168</v>
      </c>
      <c r="N65" s="267" t="s">
        <v>11</v>
      </c>
      <c r="O65" s="268" t="s">
        <v>3467</v>
      </c>
    </row>
    <row r="66" spans="1:15" ht="76.5">
      <c r="A66" s="267">
        <v>1775470</v>
      </c>
      <c r="B66" s="267" t="s">
        <v>3159</v>
      </c>
      <c r="C66" s="268" t="s">
        <v>3468</v>
      </c>
      <c r="D66" s="267" t="s">
        <v>3193</v>
      </c>
      <c r="E66" s="267"/>
      <c r="F66" s="267" t="s">
        <v>3163</v>
      </c>
      <c r="G66" s="267" t="s">
        <v>3469</v>
      </c>
      <c r="H66" s="267" t="s">
        <v>3469</v>
      </c>
      <c r="I66" s="267" t="s">
        <v>3470</v>
      </c>
      <c r="J66" s="267" t="s">
        <v>3107</v>
      </c>
      <c r="K66" s="268" t="s">
        <v>3471</v>
      </c>
      <c r="L66" s="267" t="s">
        <v>3241</v>
      </c>
      <c r="M66" s="267" t="s">
        <v>3168</v>
      </c>
      <c r="N66" s="267" t="s">
        <v>11</v>
      </c>
      <c r="O66" s="268" t="s">
        <v>3472</v>
      </c>
    </row>
    <row r="67" spans="1:15" ht="63.75">
      <c r="A67" s="267">
        <v>1775460</v>
      </c>
      <c r="B67" s="267" t="s">
        <v>3159</v>
      </c>
      <c r="C67" s="268" t="s">
        <v>3473</v>
      </c>
      <c r="D67" s="267" t="s">
        <v>3193</v>
      </c>
      <c r="E67" s="267"/>
      <c r="F67" s="267" t="s">
        <v>3163</v>
      </c>
      <c r="G67" s="267" t="s">
        <v>3474</v>
      </c>
      <c r="H67" s="267" t="s">
        <v>3474</v>
      </c>
      <c r="I67" s="267" t="s">
        <v>3475</v>
      </c>
      <c r="J67" s="267" t="s">
        <v>3107</v>
      </c>
      <c r="K67" s="268" t="s">
        <v>3476</v>
      </c>
      <c r="L67" s="267" t="s">
        <v>3477</v>
      </c>
      <c r="M67" s="267" t="s">
        <v>3168</v>
      </c>
      <c r="N67" s="267" t="s">
        <v>11</v>
      </c>
      <c r="O67" s="268" t="s">
        <v>3478</v>
      </c>
    </row>
    <row r="68" spans="1:15" ht="63.75">
      <c r="A68" s="267">
        <v>1775459</v>
      </c>
      <c r="B68" s="267" t="s">
        <v>3159</v>
      </c>
      <c r="C68" s="268" t="s">
        <v>3473</v>
      </c>
      <c r="D68" s="267" t="s">
        <v>3193</v>
      </c>
      <c r="E68" s="267"/>
      <c r="F68" s="267" t="s">
        <v>3163</v>
      </c>
      <c r="G68" s="267" t="s">
        <v>3479</v>
      </c>
      <c r="H68" s="267" t="s">
        <v>3479</v>
      </c>
      <c r="I68" s="267" t="s">
        <v>3475</v>
      </c>
      <c r="J68" s="267" t="s">
        <v>3107</v>
      </c>
      <c r="K68" s="268" t="s">
        <v>3476</v>
      </c>
      <c r="L68" s="267" t="s">
        <v>3477</v>
      </c>
      <c r="M68" s="267" t="s">
        <v>3168</v>
      </c>
      <c r="N68" s="267" t="s">
        <v>11</v>
      </c>
      <c r="O68" s="268" t="s">
        <v>3478</v>
      </c>
    </row>
    <row r="69" spans="1:15" ht="63.75">
      <c r="A69" s="267">
        <v>1775458</v>
      </c>
      <c r="B69" s="267" t="s">
        <v>3159</v>
      </c>
      <c r="C69" s="268" t="s">
        <v>3473</v>
      </c>
      <c r="D69" s="267" t="s">
        <v>3193</v>
      </c>
      <c r="E69" s="267"/>
      <c r="F69" s="267" t="s">
        <v>3163</v>
      </c>
      <c r="G69" s="267" t="s">
        <v>3480</v>
      </c>
      <c r="H69" s="267" t="s">
        <v>3480</v>
      </c>
      <c r="I69" s="267" t="s">
        <v>3475</v>
      </c>
      <c r="J69" s="267" t="s">
        <v>3107</v>
      </c>
      <c r="K69" s="268" t="s">
        <v>3476</v>
      </c>
      <c r="L69" s="267" t="s">
        <v>3477</v>
      </c>
      <c r="M69" s="267" t="s">
        <v>3168</v>
      </c>
      <c r="N69" s="267" t="s">
        <v>11</v>
      </c>
      <c r="O69" s="268" t="s">
        <v>3478</v>
      </c>
    </row>
    <row r="70" spans="1:15" ht="76.5">
      <c r="A70" s="267">
        <v>1775444</v>
      </c>
      <c r="B70" s="267" t="s">
        <v>3159</v>
      </c>
      <c r="C70" s="268" t="s">
        <v>3481</v>
      </c>
      <c r="D70" s="267" t="s">
        <v>3193</v>
      </c>
      <c r="E70" s="267"/>
      <c r="F70" s="267" t="s">
        <v>3163</v>
      </c>
      <c r="G70" s="267" t="s">
        <v>3482</v>
      </c>
      <c r="H70" s="267" t="s">
        <v>3482</v>
      </c>
      <c r="I70" s="267" t="s">
        <v>3483</v>
      </c>
      <c r="J70" s="267" t="s">
        <v>3107</v>
      </c>
      <c r="K70" s="268" t="s">
        <v>3484</v>
      </c>
      <c r="L70" s="267" t="s">
        <v>3241</v>
      </c>
      <c r="M70" s="267" t="s">
        <v>3168</v>
      </c>
      <c r="N70" s="267" t="s">
        <v>11</v>
      </c>
      <c r="O70" s="268" t="s">
        <v>3485</v>
      </c>
    </row>
    <row r="71" spans="1:15" ht="63.75">
      <c r="A71" s="267">
        <v>1775443</v>
      </c>
      <c r="B71" s="267" t="s">
        <v>3159</v>
      </c>
      <c r="C71" s="268" t="s">
        <v>3486</v>
      </c>
      <c r="D71" s="267" t="s">
        <v>3193</v>
      </c>
      <c r="E71" s="267"/>
      <c r="F71" s="267" t="s">
        <v>3163</v>
      </c>
      <c r="G71" s="267" t="s">
        <v>3487</v>
      </c>
      <c r="H71" s="267" t="s">
        <v>3487</v>
      </c>
      <c r="I71" s="267" t="s">
        <v>3488</v>
      </c>
      <c r="J71" s="267" t="s">
        <v>3107</v>
      </c>
      <c r="K71" s="268" t="s">
        <v>76</v>
      </c>
      <c r="L71" s="267" t="s">
        <v>3203</v>
      </c>
      <c r="M71" s="267" t="s">
        <v>3168</v>
      </c>
      <c r="N71" s="267" t="s">
        <v>11</v>
      </c>
      <c r="O71" s="268" t="s">
        <v>3489</v>
      </c>
    </row>
    <row r="72" spans="1:15" ht="63.75">
      <c r="A72" s="267">
        <v>1775339</v>
      </c>
      <c r="B72" s="267" t="s">
        <v>3159</v>
      </c>
      <c r="C72" s="268" t="s">
        <v>3490</v>
      </c>
      <c r="D72" s="267" t="s">
        <v>3193</v>
      </c>
      <c r="E72" s="267"/>
      <c r="F72" s="267" t="s">
        <v>3163</v>
      </c>
      <c r="G72" s="267" t="s">
        <v>3491</v>
      </c>
      <c r="H72" s="267" t="s">
        <v>3491</v>
      </c>
      <c r="I72" s="267" t="s">
        <v>3492</v>
      </c>
      <c r="J72" s="267" t="s">
        <v>3107</v>
      </c>
      <c r="K72" s="268" t="s">
        <v>3476</v>
      </c>
      <c r="L72" s="267" t="s">
        <v>3241</v>
      </c>
      <c r="M72" s="267" t="s">
        <v>3168</v>
      </c>
      <c r="N72" s="267" t="s">
        <v>11</v>
      </c>
      <c r="O72" s="268" t="s">
        <v>3493</v>
      </c>
    </row>
    <row r="73" spans="1:15" ht="63.75">
      <c r="A73" s="267">
        <v>1775331</v>
      </c>
      <c r="B73" s="267" t="s">
        <v>3159</v>
      </c>
      <c r="C73" s="268" t="s">
        <v>3494</v>
      </c>
      <c r="D73" s="267" t="s">
        <v>3193</v>
      </c>
      <c r="E73" s="267"/>
      <c r="F73" s="267" t="s">
        <v>3163</v>
      </c>
      <c r="G73" s="267" t="s">
        <v>3495</v>
      </c>
      <c r="H73" s="267" t="s">
        <v>3495</v>
      </c>
      <c r="I73" s="267" t="s">
        <v>3496</v>
      </c>
      <c r="J73" s="267" t="s">
        <v>3107</v>
      </c>
      <c r="K73" s="268" t="s">
        <v>3497</v>
      </c>
      <c r="L73" s="267" t="s">
        <v>3189</v>
      </c>
      <c r="M73" s="267" t="s">
        <v>3168</v>
      </c>
      <c r="N73" s="267" t="s">
        <v>11</v>
      </c>
      <c r="O73" s="268" t="s">
        <v>3498</v>
      </c>
    </row>
    <row r="74" spans="1:15" ht="76.5">
      <c r="A74" s="267">
        <v>1775322</v>
      </c>
      <c r="B74" s="267" t="s">
        <v>3159</v>
      </c>
      <c r="C74" s="268" t="s">
        <v>3499</v>
      </c>
      <c r="D74" s="267" t="s">
        <v>3193</v>
      </c>
      <c r="E74" s="267"/>
      <c r="F74" s="267" t="s">
        <v>3163</v>
      </c>
      <c r="G74" s="267" t="s">
        <v>3500</v>
      </c>
      <c r="H74" s="267" t="s">
        <v>3500</v>
      </c>
      <c r="I74" s="267" t="s">
        <v>3496</v>
      </c>
      <c r="J74" s="267" t="s">
        <v>3107</v>
      </c>
      <c r="K74" s="268" t="s">
        <v>3501</v>
      </c>
      <c r="L74" s="267" t="s">
        <v>3241</v>
      </c>
      <c r="M74" s="267" t="s">
        <v>3168</v>
      </c>
      <c r="N74" s="267" t="s">
        <v>11</v>
      </c>
      <c r="O74" s="268" t="s">
        <v>3502</v>
      </c>
    </row>
    <row r="75" spans="1:15" ht="102">
      <c r="A75" s="267">
        <v>1775306</v>
      </c>
      <c r="B75" s="267" t="s">
        <v>3159</v>
      </c>
      <c r="C75" s="268" t="s">
        <v>3503</v>
      </c>
      <c r="D75" s="267" t="s">
        <v>3300</v>
      </c>
      <c r="E75" s="267"/>
      <c r="F75" s="267" t="s">
        <v>3163</v>
      </c>
      <c r="G75" s="267" t="s">
        <v>3504</v>
      </c>
      <c r="H75" s="267" t="s">
        <v>3504</v>
      </c>
      <c r="I75" s="267" t="s">
        <v>3310</v>
      </c>
      <c r="J75" s="267" t="s">
        <v>3107</v>
      </c>
      <c r="K75" s="268" t="s">
        <v>3310</v>
      </c>
      <c r="L75" s="267" t="s">
        <v>3310</v>
      </c>
      <c r="M75" s="267" t="s">
        <v>3168</v>
      </c>
      <c r="N75" s="267" t="s">
        <v>11</v>
      </c>
      <c r="O75" s="268" t="s">
        <v>3505</v>
      </c>
    </row>
    <row r="76" spans="1:15" ht="63.75">
      <c r="A76" s="267">
        <v>1775276</v>
      </c>
      <c r="B76" s="267" t="s">
        <v>3159</v>
      </c>
      <c r="C76" s="268" t="s">
        <v>3506</v>
      </c>
      <c r="D76" s="267" t="s">
        <v>3193</v>
      </c>
      <c r="E76" s="267"/>
      <c r="F76" s="267" t="s">
        <v>3163</v>
      </c>
      <c r="G76" s="267" t="s">
        <v>3507</v>
      </c>
      <c r="H76" s="267" t="s">
        <v>3507</v>
      </c>
      <c r="I76" s="267" t="s">
        <v>3496</v>
      </c>
      <c r="J76" s="267" t="s">
        <v>3107</v>
      </c>
      <c r="K76" s="268" t="s">
        <v>3476</v>
      </c>
      <c r="L76" s="267" t="s">
        <v>2967</v>
      </c>
      <c r="M76" s="267" t="s">
        <v>3168</v>
      </c>
      <c r="N76" s="267" t="s">
        <v>11</v>
      </c>
      <c r="O76" s="268" t="s">
        <v>3508</v>
      </c>
    </row>
    <row r="77" spans="1:15" ht="63.75">
      <c r="A77" s="267">
        <v>1775269</v>
      </c>
      <c r="B77" s="267" t="s">
        <v>3159</v>
      </c>
      <c r="C77" s="268" t="s">
        <v>3509</v>
      </c>
      <c r="D77" s="267" t="s">
        <v>3193</v>
      </c>
      <c r="E77" s="267"/>
      <c r="F77" s="267" t="s">
        <v>3163</v>
      </c>
      <c r="G77" s="267" t="s">
        <v>3510</v>
      </c>
      <c r="H77" s="267" t="s">
        <v>3510</v>
      </c>
      <c r="I77" s="267" t="s">
        <v>1772</v>
      </c>
      <c r="J77" s="267" t="s">
        <v>3107</v>
      </c>
      <c r="K77" s="268" t="s">
        <v>3476</v>
      </c>
      <c r="L77" s="267" t="s">
        <v>3181</v>
      </c>
      <c r="M77" s="267" t="s">
        <v>3168</v>
      </c>
      <c r="N77" s="267" t="s">
        <v>11</v>
      </c>
      <c r="O77" s="268" t="s">
        <v>3511</v>
      </c>
    </row>
    <row r="78" spans="1:15" ht="63.75">
      <c r="A78" s="267">
        <v>1775267</v>
      </c>
      <c r="B78" s="267" t="s">
        <v>3159</v>
      </c>
      <c r="C78" s="268" t="s">
        <v>3512</v>
      </c>
      <c r="D78" s="267" t="s">
        <v>3193</v>
      </c>
      <c r="E78" s="267"/>
      <c r="F78" s="267" t="s">
        <v>3163</v>
      </c>
      <c r="G78" s="267" t="s">
        <v>3513</v>
      </c>
      <c r="H78" s="267" t="s">
        <v>3513</v>
      </c>
      <c r="I78" s="267" t="s">
        <v>3514</v>
      </c>
      <c r="J78" s="267" t="s">
        <v>3107</v>
      </c>
      <c r="K78" s="268" t="s">
        <v>3476</v>
      </c>
      <c r="L78" s="267" t="s">
        <v>3241</v>
      </c>
      <c r="M78" s="267" t="s">
        <v>3168</v>
      </c>
      <c r="N78" s="267" t="s">
        <v>11</v>
      </c>
      <c r="O78" s="268" t="s">
        <v>3515</v>
      </c>
    </row>
    <row r="79" spans="1:15" ht="63.75">
      <c r="A79" s="267">
        <v>1775262</v>
      </c>
      <c r="B79" s="267" t="s">
        <v>3159</v>
      </c>
      <c r="C79" s="268" t="s">
        <v>3516</v>
      </c>
      <c r="D79" s="267" t="s">
        <v>3193</v>
      </c>
      <c r="E79" s="267"/>
      <c r="F79" s="267" t="s">
        <v>3163</v>
      </c>
      <c r="G79" s="267" t="s">
        <v>3517</v>
      </c>
      <c r="H79" s="267" t="s">
        <v>3517</v>
      </c>
      <c r="I79" s="267" t="s">
        <v>3518</v>
      </c>
      <c r="J79" s="267" t="s">
        <v>3107</v>
      </c>
      <c r="K79" s="268" t="s">
        <v>76</v>
      </c>
      <c r="L79" s="267" t="s">
        <v>3519</v>
      </c>
      <c r="M79" s="267" t="s">
        <v>3168</v>
      </c>
      <c r="N79" s="267" t="s">
        <v>11</v>
      </c>
      <c r="O79" s="268" t="s">
        <v>3520</v>
      </c>
    </row>
    <row r="80" spans="1:15" ht="63.75">
      <c r="A80" s="267">
        <v>1775258</v>
      </c>
      <c r="B80" s="267" t="s">
        <v>3159</v>
      </c>
      <c r="C80" s="268" t="s">
        <v>3521</v>
      </c>
      <c r="D80" s="267" t="s">
        <v>3193</v>
      </c>
      <c r="E80" s="267"/>
      <c r="F80" s="267" t="s">
        <v>3163</v>
      </c>
      <c r="G80" s="267" t="s">
        <v>3522</v>
      </c>
      <c r="H80" s="267" t="s">
        <v>3522</v>
      </c>
      <c r="I80" s="267" t="s">
        <v>3523</v>
      </c>
      <c r="J80" s="267" t="s">
        <v>3107</v>
      </c>
      <c r="K80" s="268" t="s">
        <v>3476</v>
      </c>
      <c r="L80" s="267" t="s">
        <v>3241</v>
      </c>
      <c r="M80" s="267" t="s">
        <v>3168</v>
      </c>
      <c r="N80" s="267" t="s">
        <v>11</v>
      </c>
      <c r="O80" s="268" t="s">
        <v>3524</v>
      </c>
    </row>
    <row r="81" spans="1:15" ht="89.25">
      <c r="A81" s="267">
        <v>1775242</v>
      </c>
      <c r="B81" s="267" t="s">
        <v>3159</v>
      </c>
      <c r="C81" s="268" t="s">
        <v>3525</v>
      </c>
      <c r="D81" s="267" t="s">
        <v>3193</v>
      </c>
      <c r="E81" s="267"/>
      <c r="F81" s="267" t="s">
        <v>3163</v>
      </c>
      <c r="G81" s="267" t="s">
        <v>3526</v>
      </c>
      <c r="H81" s="267" t="s">
        <v>3526</v>
      </c>
      <c r="I81" s="267" t="s">
        <v>3527</v>
      </c>
      <c r="J81" s="267" t="s">
        <v>3107</v>
      </c>
      <c r="K81" s="268" t="s">
        <v>3528</v>
      </c>
      <c r="L81" s="267" t="s">
        <v>3241</v>
      </c>
      <c r="M81" s="267" t="s">
        <v>3168</v>
      </c>
      <c r="N81" s="267" t="s">
        <v>11</v>
      </c>
      <c r="O81" s="268" t="s">
        <v>3529</v>
      </c>
    </row>
    <row r="82" spans="1:15" ht="204">
      <c r="A82" s="267">
        <v>1775225</v>
      </c>
      <c r="B82" s="267" t="s">
        <v>3159</v>
      </c>
      <c r="C82" s="268" t="s">
        <v>3530</v>
      </c>
      <c r="D82" s="267" t="s">
        <v>3193</v>
      </c>
      <c r="E82" s="267"/>
      <c r="F82" s="267" t="s">
        <v>3163</v>
      </c>
      <c r="G82" s="267" t="s">
        <v>3531</v>
      </c>
      <c r="H82" s="267" t="s">
        <v>3531</v>
      </c>
      <c r="I82" s="267" t="s">
        <v>3527</v>
      </c>
      <c r="J82" s="267" t="s">
        <v>3107</v>
      </c>
      <c r="K82" s="268" t="s">
        <v>3251</v>
      </c>
      <c r="L82" s="267" t="s">
        <v>3251</v>
      </c>
      <c r="M82" s="267" t="s">
        <v>3168</v>
      </c>
      <c r="N82" s="267" t="s">
        <v>11</v>
      </c>
      <c r="O82" s="268" t="s">
        <v>3532</v>
      </c>
    </row>
    <row r="83" spans="1:15" ht="63.75">
      <c r="A83" s="267">
        <v>1775160</v>
      </c>
      <c r="B83" s="267" t="s">
        <v>3159</v>
      </c>
      <c r="C83" s="268" t="s">
        <v>3533</v>
      </c>
      <c r="D83" s="267" t="s">
        <v>3193</v>
      </c>
      <c r="E83" s="267"/>
      <c r="F83" s="267" t="s">
        <v>3163</v>
      </c>
      <c r="G83" s="267" t="s">
        <v>3534</v>
      </c>
      <c r="H83" s="267" t="s">
        <v>3534</v>
      </c>
      <c r="I83" s="267" t="s">
        <v>3535</v>
      </c>
      <c r="J83" s="267" t="s">
        <v>3107</v>
      </c>
      <c r="K83" s="268" t="s">
        <v>3536</v>
      </c>
      <c r="L83" s="267" t="s">
        <v>2971</v>
      </c>
      <c r="M83" s="267" t="s">
        <v>3168</v>
      </c>
      <c r="N83" s="267" t="s">
        <v>11</v>
      </c>
      <c r="O83" s="268" t="s">
        <v>3537</v>
      </c>
    </row>
    <row r="84" spans="1:15" ht="102">
      <c r="A84" s="267">
        <v>1775059</v>
      </c>
      <c r="B84" s="267" t="s">
        <v>3159</v>
      </c>
      <c r="C84" s="268" t="s">
        <v>3538</v>
      </c>
      <c r="D84" s="267" t="s">
        <v>3161</v>
      </c>
      <c r="E84" s="267"/>
      <c r="F84" s="267" t="s">
        <v>3163</v>
      </c>
      <c r="G84" s="267" t="s">
        <v>3539</v>
      </c>
      <c r="H84" s="267" t="s">
        <v>3539</v>
      </c>
      <c r="I84" s="267" t="s">
        <v>3540</v>
      </c>
      <c r="J84" s="267" t="s">
        <v>3107</v>
      </c>
      <c r="K84" s="268" t="s">
        <v>3166</v>
      </c>
      <c r="L84" s="267" t="s">
        <v>3167</v>
      </c>
      <c r="M84" s="267" t="s">
        <v>3168</v>
      </c>
      <c r="N84" s="267" t="s">
        <v>11</v>
      </c>
      <c r="O84" s="268" t="s">
        <v>3541</v>
      </c>
    </row>
    <row r="85" spans="1:15" ht="63.75">
      <c r="A85" s="267">
        <v>1775011</v>
      </c>
      <c r="B85" s="267" t="s">
        <v>3159</v>
      </c>
      <c r="C85" s="268" t="s">
        <v>3542</v>
      </c>
      <c r="D85" s="267" t="s">
        <v>3300</v>
      </c>
      <c r="E85" s="267"/>
      <c r="F85" s="267" t="s">
        <v>3163</v>
      </c>
      <c r="G85" s="267" t="s">
        <v>3543</v>
      </c>
      <c r="H85" s="267" t="s">
        <v>3543</v>
      </c>
      <c r="I85" s="267" t="s">
        <v>3544</v>
      </c>
      <c r="J85" s="267" t="s">
        <v>3107</v>
      </c>
      <c r="K85" s="268" t="s">
        <v>3545</v>
      </c>
      <c r="L85" s="267" t="s">
        <v>3546</v>
      </c>
      <c r="M85" s="267" t="s">
        <v>3168</v>
      </c>
      <c r="N85" s="267" t="s">
        <v>11</v>
      </c>
      <c r="O85" s="268" t="s">
        <v>3547</v>
      </c>
    </row>
    <row r="86" spans="1:15" ht="76.5">
      <c r="A86" s="267">
        <v>1774787</v>
      </c>
      <c r="B86" s="267" t="s">
        <v>3159</v>
      </c>
      <c r="C86" s="268" t="s">
        <v>3548</v>
      </c>
      <c r="D86" s="267" t="s">
        <v>3300</v>
      </c>
      <c r="E86" s="267"/>
      <c r="F86" s="267" t="s">
        <v>3163</v>
      </c>
      <c r="G86" s="267" t="s">
        <v>3549</v>
      </c>
      <c r="H86" s="267" t="s">
        <v>3549</v>
      </c>
      <c r="I86" s="267" t="s">
        <v>3550</v>
      </c>
      <c r="J86" s="267" t="s">
        <v>3107</v>
      </c>
      <c r="K86" s="268" t="s">
        <v>3310</v>
      </c>
      <c r="L86" s="267" t="s">
        <v>3310</v>
      </c>
      <c r="M86" s="267" t="s">
        <v>3168</v>
      </c>
      <c r="N86" s="267" t="s">
        <v>11</v>
      </c>
      <c r="O86" s="268" t="s">
        <v>3551</v>
      </c>
    </row>
    <row r="87" spans="1:15" ht="76.5">
      <c r="A87" s="267">
        <v>1774765</v>
      </c>
      <c r="B87" s="267" t="s">
        <v>3159</v>
      </c>
      <c r="C87" s="268" t="s">
        <v>3552</v>
      </c>
      <c r="D87" s="267" t="s">
        <v>3300</v>
      </c>
      <c r="E87" s="267"/>
      <c r="F87" s="267" t="s">
        <v>3163</v>
      </c>
      <c r="G87" s="267" t="s">
        <v>3553</v>
      </c>
      <c r="H87" s="267" t="s">
        <v>3553</v>
      </c>
      <c r="I87" s="267" t="s">
        <v>3554</v>
      </c>
      <c r="J87" s="267" t="s">
        <v>3107</v>
      </c>
      <c r="K87" s="268" t="s">
        <v>3310</v>
      </c>
      <c r="L87" s="267" t="s">
        <v>3310</v>
      </c>
      <c r="M87" s="267" t="s">
        <v>3168</v>
      </c>
      <c r="N87" s="267" t="s">
        <v>11</v>
      </c>
      <c r="O87" s="268" t="s">
        <v>3555</v>
      </c>
    </row>
    <row r="88" spans="1:15" ht="51">
      <c r="A88" s="267">
        <v>1774742</v>
      </c>
      <c r="B88" s="267" t="s">
        <v>3159</v>
      </c>
      <c r="C88" s="268" t="s">
        <v>3556</v>
      </c>
      <c r="D88" s="267" t="s">
        <v>3300</v>
      </c>
      <c r="E88" s="267"/>
      <c r="F88" s="267" t="s">
        <v>3163</v>
      </c>
      <c r="G88" s="267" t="s">
        <v>3557</v>
      </c>
      <c r="H88" s="267" t="s">
        <v>3557</v>
      </c>
      <c r="I88" s="267" t="s">
        <v>3558</v>
      </c>
      <c r="J88" s="267" t="s">
        <v>3107</v>
      </c>
      <c r="K88" s="268" t="s">
        <v>3559</v>
      </c>
      <c r="L88" s="267" t="s">
        <v>2968</v>
      </c>
      <c r="M88" s="267" t="s">
        <v>3168</v>
      </c>
      <c r="N88" s="267" t="s">
        <v>11</v>
      </c>
      <c r="O88" s="268" t="s">
        <v>3560</v>
      </c>
    </row>
    <row r="89" spans="1:15" ht="63.75">
      <c r="A89" s="267">
        <v>1774738</v>
      </c>
      <c r="B89" s="267" t="s">
        <v>3159</v>
      </c>
      <c r="C89" s="268" t="s">
        <v>3561</v>
      </c>
      <c r="D89" s="267" t="s">
        <v>3171</v>
      </c>
      <c r="E89" s="267"/>
      <c r="F89" s="267" t="s">
        <v>3163</v>
      </c>
      <c r="G89" s="267" t="s">
        <v>3562</v>
      </c>
      <c r="H89" s="267" t="s">
        <v>3562</v>
      </c>
      <c r="I89" s="267" t="s">
        <v>3563</v>
      </c>
      <c r="J89" s="267" t="s">
        <v>3107</v>
      </c>
      <c r="K89" s="268" t="s">
        <v>3564</v>
      </c>
      <c r="L89" s="267" t="s">
        <v>3112</v>
      </c>
      <c r="M89" s="267" t="s">
        <v>3168</v>
      </c>
      <c r="N89" s="267" t="s">
        <v>11</v>
      </c>
      <c r="O89" s="268" t="s">
        <v>3565</v>
      </c>
    </row>
    <row r="90" spans="1:15" ht="51">
      <c r="A90" s="267">
        <v>1774725</v>
      </c>
      <c r="B90" s="267" t="s">
        <v>3159</v>
      </c>
      <c r="C90" s="268" t="s">
        <v>3566</v>
      </c>
      <c r="D90" s="267" t="s">
        <v>3171</v>
      </c>
      <c r="E90" s="267"/>
      <c r="F90" s="267" t="s">
        <v>3163</v>
      </c>
      <c r="G90" s="267" t="s">
        <v>3567</v>
      </c>
      <c r="H90" s="267" t="s">
        <v>3567</v>
      </c>
      <c r="I90" s="267" t="s">
        <v>3568</v>
      </c>
      <c r="J90" s="267" t="s">
        <v>3569</v>
      </c>
      <c r="K90" s="268" t="s">
        <v>76</v>
      </c>
      <c r="L90" s="267" t="s">
        <v>3181</v>
      </c>
      <c r="M90" s="267" t="s">
        <v>3168</v>
      </c>
      <c r="N90" s="267" t="s">
        <v>11</v>
      </c>
      <c r="O90" s="268" t="s">
        <v>3570</v>
      </c>
    </row>
    <row r="91" spans="1:15" ht="89.25">
      <c r="A91" s="267">
        <v>1774714</v>
      </c>
      <c r="B91" s="267" t="s">
        <v>3159</v>
      </c>
      <c r="C91" s="268" t="s">
        <v>3571</v>
      </c>
      <c r="D91" s="267" t="s">
        <v>3300</v>
      </c>
      <c r="E91" s="267"/>
      <c r="F91" s="267" t="s">
        <v>3163</v>
      </c>
      <c r="G91" s="267" t="s">
        <v>3572</v>
      </c>
      <c r="H91" s="267" t="s">
        <v>3572</v>
      </c>
      <c r="I91" s="267" t="s">
        <v>3573</v>
      </c>
      <c r="J91" s="267" t="s">
        <v>3107</v>
      </c>
      <c r="K91" s="268" t="s">
        <v>3310</v>
      </c>
      <c r="L91" s="267" t="s">
        <v>3310</v>
      </c>
      <c r="M91" s="267" t="s">
        <v>3168</v>
      </c>
      <c r="N91" s="267" t="s">
        <v>11</v>
      </c>
      <c r="O91" s="268" t="s">
        <v>3574</v>
      </c>
    </row>
    <row r="92" spans="1:15" ht="89.25">
      <c r="A92" s="267">
        <v>1774708</v>
      </c>
      <c r="B92" s="267" t="s">
        <v>3159</v>
      </c>
      <c r="C92" s="268" t="s">
        <v>3575</v>
      </c>
      <c r="D92" s="267" t="s">
        <v>3171</v>
      </c>
      <c r="E92" s="267"/>
      <c r="F92" s="267" t="s">
        <v>3163</v>
      </c>
      <c r="G92" s="267" t="s">
        <v>3576</v>
      </c>
      <c r="H92" s="267" t="s">
        <v>3576</v>
      </c>
      <c r="I92" s="267" t="s">
        <v>3577</v>
      </c>
      <c r="J92" s="267" t="s">
        <v>3107</v>
      </c>
      <c r="K92" s="268" t="s">
        <v>3578</v>
      </c>
      <c r="L92" s="267" t="s">
        <v>3579</v>
      </c>
      <c r="M92" s="267" t="s">
        <v>3168</v>
      </c>
      <c r="N92" s="267" t="s">
        <v>11</v>
      </c>
      <c r="O92" s="268" t="s">
        <v>3580</v>
      </c>
    </row>
    <row r="93" spans="1:15" ht="89.25">
      <c r="A93" s="267">
        <v>1774706</v>
      </c>
      <c r="B93" s="267" t="s">
        <v>3159</v>
      </c>
      <c r="C93" s="268" t="s">
        <v>3581</v>
      </c>
      <c r="D93" s="267" t="s">
        <v>3171</v>
      </c>
      <c r="E93" s="267"/>
      <c r="F93" s="267" t="s">
        <v>3163</v>
      </c>
      <c r="G93" s="267" t="s">
        <v>3582</v>
      </c>
      <c r="H93" s="267" t="s">
        <v>3582</v>
      </c>
      <c r="I93" s="267" t="s">
        <v>3583</v>
      </c>
      <c r="J93" s="267" t="s">
        <v>3107</v>
      </c>
      <c r="K93" s="268" t="s">
        <v>3578</v>
      </c>
      <c r="L93" s="267" t="s">
        <v>2969</v>
      </c>
      <c r="M93" s="267" t="s">
        <v>3168</v>
      </c>
      <c r="N93" s="267" t="s">
        <v>11</v>
      </c>
      <c r="O93" s="268" t="s">
        <v>3584</v>
      </c>
    </row>
    <row r="94" spans="1:15" ht="89.25">
      <c r="A94" s="267">
        <v>1774703</v>
      </c>
      <c r="B94" s="267" t="s">
        <v>3159</v>
      </c>
      <c r="C94" s="268" t="s">
        <v>3585</v>
      </c>
      <c r="D94" s="267" t="s">
        <v>3171</v>
      </c>
      <c r="E94" s="267"/>
      <c r="F94" s="267" t="s">
        <v>3163</v>
      </c>
      <c r="G94" s="267" t="s">
        <v>3586</v>
      </c>
      <c r="H94" s="267" t="s">
        <v>3586</v>
      </c>
      <c r="I94" s="267" t="s">
        <v>3587</v>
      </c>
      <c r="J94" s="267" t="s">
        <v>3107</v>
      </c>
      <c r="K94" s="268" t="s">
        <v>3578</v>
      </c>
      <c r="L94" s="267" t="s">
        <v>2969</v>
      </c>
      <c r="M94" s="267" t="s">
        <v>3168</v>
      </c>
      <c r="N94" s="267" t="s">
        <v>11</v>
      </c>
      <c r="O94" s="268" t="s">
        <v>3588</v>
      </c>
    </row>
    <row r="95" spans="1:15" ht="89.25">
      <c r="A95" s="267">
        <v>1774492</v>
      </c>
      <c r="B95" s="267" t="s">
        <v>3159</v>
      </c>
      <c r="C95" s="268" t="s">
        <v>3589</v>
      </c>
      <c r="D95" s="267" t="s">
        <v>3218</v>
      </c>
      <c r="E95" s="267"/>
      <c r="F95" s="267" t="s">
        <v>3163</v>
      </c>
      <c r="G95" s="267" t="s">
        <v>3590</v>
      </c>
      <c r="H95" s="267" t="s">
        <v>3590</v>
      </c>
      <c r="I95" s="267" t="s">
        <v>3591</v>
      </c>
      <c r="J95" s="267" t="s">
        <v>3592</v>
      </c>
      <c r="K95" s="268" t="s">
        <v>3593</v>
      </c>
      <c r="L95" s="267" t="s">
        <v>861</v>
      </c>
      <c r="M95" s="267" t="s">
        <v>3168</v>
      </c>
      <c r="N95" s="267" t="s">
        <v>11</v>
      </c>
      <c r="O95" s="268" t="s">
        <v>3594</v>
      </c>
    </row>
    <row r="96" spans="1:15" ht="76.5">
      <c r="A96" s="267">
        <v>1774482</v>
      </c>
      <c r="B96" s="267" t="s">
        <v>3159</v>
      </c>
      <c r="C96" s="268" t="s">
        <v>3595</v>
      </c>
      <c r="D96" s="267" t="s">
        <v>3218</v>
      </c>
      <c r="E96" s="267"/>
      <c r="F96" s="267" t="s">
        <v>3163</v>
      </c>
      <c r="G96" s="267" t="s">
        <v>3596</v>
      </c>
      <c r="H96" s="267" t="s">
        <v>3596</v>
      </c>
      <c r="I96" s="267" t="s">
        <v>3597</v>
      </c>
      <c r="J96" s="267" t="s">
        <v>3222</v>
      </c>
      <c r="K96" s="268" t="s">
        <v>3251</v>
      </c>
      <c r="L96" s="267" t="s">
        <v>3251</v>
      </c>
      <c r="M96" s="267" t="s">
        <v>3168</v>
      </c>
      <c r="N96" s="267" t="s">
        <v>11</v>
      </c>
      <c r="O96" s="268" t="s">
        <v>3598</v>
      </c>
    </row>
    <row r="97" spans="1:15" ht="76.5">
      <c r="A97" s="267">
        <v>1774465</v>
      </c>
      <c r="B97" s="267" t="s">
        <v>3159</v>
      </c>
      <c r="C97" s="268" t="s">
        <v>3599</v>
      </c>
      <c r="D97" s="267" t="s">
        <v>3218</v>
      </c>
      <c r="E97" s="267"/>
      <c r="F97" s="267" t="s">
        <v>3163</v>
      </c>
      <c r="G97" s="267" t="s">
        <v>3600</v>
      </c>
      <c r="H97" s="267" t="s">
        <v>3600</v>
      </c>
      <c r="I97" s="267" t="s">
        <v>3601</v>
      </c>
      <c r="J97" s="267" t="s">
        <v>2957</v>
      </c>
      <c r="K97" s="268" t="s">
        <v>1259</v>
      </c>
      <c r="L97" s="267" t="s">
        <v>3241</v>
      </c>
      <c r="M97" s="267" t="s">
        <v>3168</v>
      </c>
      <c r="N97" s="267" t="s">
        <v>11</v>
      </c>
      <c r="O97" s="268" t="s">
        <v>3602</v>
      </c>
    </row>
    <row r="98" spans="1:15" ht="89.25">
      <c r="A98" s="267">
        <v>1774459</v>
      </c>
      <c r="B98" s="267" t="s">
        <v>3159</v>
      </c>
      <c r="C98" s="268" t="s">
        <v>3603</v>
      </c>
      <c r="D98" s="267" t="s">
        <v>3218</v>
      </c>
      <c r="E98" s="267"/>
      <c r="F98" s="267" t="s">
        <v>3163</v>
      </c>
      <c r="G98" s="267" t="s">
        <v>3604</v>
      </c>
      <c r="H98" s="267" t="s">
        <v>3604</v>
      </c>
      <c r="I98" s="267" t="s">
        <v>3605</v>
      </c>
      <c r="J98" s="267" t="s">
        <v>2957</v>
      </c>
      <c r="K98" s="268" t="s">
        <v>3606</v>
      </c>
      <c r="L98" s="267" t="s">
        <v>2971</v>
      </c>
      <c r="M98" s="267" t="s">
        <v>3168</v>
      </c>
      <c r="N98" s="267" t="s">
        <v>11</v>
      </c>
      <c r="O98" s="268" t="s">
        <v>3607</v>
      </c>
    </row>
    <row r="99" spans="1:15" ht="89.25">
      <c r="A99" s="267">
        <v>1774450</v>
      </c>
      <c r="B99" s="267" t="s">
        <v>3159</v>
      </c>
      <c r="C99" s="268" t="s">
        <v>3608</v>
      </c>
      <c r="D99" s="267" t="s">
        <v>3218</v>
      </c>
      <c r="E99" s="267"/>
      <c r="F99" s="267" t="s">
        <v>3163</v>
      </c>
      <c r="G99" s="267" t="s">
        <v>3609</v>
      </c>
      <c r="H99" s="267" t="s">
        <v>3609</v>
      </c>
      <c r="I99" s="267" t="s">
        <v>3610</v>
      </c>
      <c r="J99" s="267" t="s">
        <v>2957</v>
      </c>
      <c r="K99" s="268" t="s">
        <v>3611</v>
      </c>
      <c r="L99" s="267" t="s">
        <v>3203</v>
      </c>
      <c r="M99" s="267" t="s">
        <v>3168</v>
      </c>
      <c r="N99" s="267" t="s">
        <v>11</v>
      </c>
      <c r="O99" s="268" t="s">
        <v>3612</v>
      </c>
    </row>
    <row r="100" spans="1:15" ht="89.25">
      <c r="A100" s="267">
        <v>1774444</v>
      </c>
      <c r="B100" s="267" t="s">
        <v>3159</v>
      </c>
      <c r="C100" s="268" t="s">
        <v>3613</v>
      </c>
      <c r="D100" s="267" t="s">
        <v>3218</v>
      </c>
      <c r="E100" s="267"/>
      <c r="F100" s="267" t="s">
        <v>3163</v>
      </c>
      <c r="G100" s="267" t="s">
        <v>3614</v>
      </c>
      <c r="H100" s="267" t="s">
        <v>3614</v>
      </c>
      <c r="I100" s="267" t="s">
        <v>3615</v>
      </c>
      <c r="J100" s="267" t="s">
        <v>2957</v>
      </c>
      <c r="K100" s="268" t="s">
        <v>3616</v>
      </c>
      <c r="L100" s="267" t="s">
        <v>2971</v>
      </c>
      <c r="M100" s="267" t="s">
        <v>3168</v>
      </c>
      <c r="N100" s="267" t="s">
        <v>11</v>
      </c>
      <c r="O100" s="268" t="s">
        <v>3617</v>
      </c>
    </row>
    <row r="101" spans="1:15" ht="76.5">
      <c r="A101" s="267">
        <v>1774437</v>
      </c>
      <c r="B101" s="267" t="s">
        <v>3159</v>
      </c>
      <c r="C101" s="268" t="s">
        <v>3618</v>
      </c>
      <c r="D101" s="267" t="s">
        <v>3218</v>
      </c>
      <c r="E101" s="267"/>
      <c r="F101" s="267" t="s">
        <v>3163</v>
      </c>
      <c r="G101" s="267" t="s">
        <v>3619</v>
      </c>
      <c r="H101" s="267" t="s">
        <v>3619</v>
      </c>
      <c r="I101" s="267" t="s">
        <v>3620</v>
      </c>
      <c r="J101" s="267" t="s">
        <v>3251</v>
      </c>
      <c r="K101" s="268" t="s">
        <v>3251</v>
      </c>
      <c r="L101" s="267" t="s">
        <v>3251</v>
      </c>
      <c r="M101" s="267" t="s">
        <v>3168</v>
      </c>
      <c r="N101" s="267" t="s">
        <v>11</v>
      </c>
      <c r="O101" s="268" t="s">
        <v>3621</v>
      </c>
    </row>
    <row r="102" spans="1:15" ht="89.25">
      <c r="A102" s="267">
        <v>1774432</v>
      </c>
      <c r="B102" s="267" t="s">
        <v>3159</v>
      </c>
      <c r="C102" s="268" t="s">
        <v>3622</v>
      </c>
      <c r="D102" s="267" t="s">
        <v>3218</v>
      </c>
      <c r="E102" s="267"/>
      <c r="F102" s="267" t="s">
        <v>3163</v>
      </c>
      <c r="G102" s="267" t="s">
        <v>3623</v>
      </c>
      <c r="H102" s="267" t="s">
        <v>3623</v>
      </c>
      <c r="I102" s="267" t="s">
        <v>3624</v>
      </c>
      <c r="J102" s="267" t="s">
        <v>2957</v>
      </c>
      <c r="K102" s="268" t="s">
        <v>1624</v>
      </c>
      <c r="L102" s="267" t="s">
        <v>3033</v>
      </c>
      <c r="M102" s="267" t="s">
        <v>3168</v>
      </c>
      <c r="N102" s="267" t="s">
        <v>11</v>
      </c>
      <c r="O102" s="268" t="s">
        <v>3625</v>
      </c>
    </row>
    <row r="103" spans="1:15" ht="76.5">
      <c r="A103" s="267">
        <v>1774382</v>
      </c>
      <c r="B103" s="267" t="s">
        <v>3159</v>
      </c>
      <c r="C103" s="268" t="s">
        <v>3626</v>
      </c>
      <c r="D103" s="267" t="s">
        <v>3300</v>
      </c>
      <c r="E103" s="267"/>
      <c r="F103" s="267" t="s">
        <v>3163</v>
      </c>
      <c r="G103" s="267" t="s">
        <v>3627</v>
      </c>
      <c r="H103" s="267" t="s">
        <v>3627</v>
      </c>
      <c r="I103" s="267" t="s">
        <v>3628</v>
      </c>
      <c r="J103" s="267" t="s">
        <v>3107</v>
      </c>
      <c r="K103" s="268" t="s">
        <v>3123</v>
      </c>
      <c r="L103" s="267" t="s">
        <v>3189</v>
      </c>
      <c r="M103" s="267" t="s">
        <v>3168</v>
      </c>
      <c r="N103" s="267" t="s">
        <v>11</v>
      </c>
      <c r="O103" s="268" t="s">
        <v>3629</v>
      </c>
    </row>
    <row r="104" spans="1:15" ht="89.25">
      <c r="A104" s="267">
        <v>1774342</v>
      </c>
      <c r="B104" s="267" t="s">
        <v>3159</v>
      </c>
      <c r="C104" s="268" t="s">
        <v>3630</v>
      </c>
      <c r="D104" s="267" t="s">
        <v>3218</v>
      </c>
      <c r="E104" s="267"/>
      <c r="F104" s="267" t="s">
        <v>3163</v>
      </c>
      <c r="G104" s="267" t="s">
        <v>3631</v>
      </c>
      <c r="H104" s="267" t="s">
        <v>3631</v>
      </c>
      <c r="I104" s="267" t="s">
        <v>3632</v>
      </c>
      <c r="J104" s="267" t="s">
        <v>2957</v>
      </c>
      <c r="K104" s="268" t="s">
        <v>1258</v>
      </c>
      <c r="L104" s="267" t="s">
        <v>2967</v>
      </c>
      <c r="M104" s="267" t="s">
        <v>3168</v>
      </c>
      <c r="N104" s="267" t="s">
        <v>11</v>
      </c>
      <c r="O104" s="268" t="s">
        <v>3633</v>
      </c>
    </row>
    <row r="105" spans="1:15" ht="76.5">
      <c r="A105" s="267">
        <v>1774335</v>
      </c>
      <c r="B105" s="267" t="s">
        <v>3159</v>
      </c>
      <c r="C105" s="268" t="s">
        <v>3634</v>
      </c>
      <c r="D105" s="267" t="s">
        <v>3218</v>
      </c>
      <c r="E105" s="267"/>
      <c r="F105" s="267" t="s">
        <v>3163</v>
      </c>
      <c r="G105" s="267" t="s">
        <v>3635</v>
      </c>
      <c r="H105" s="267" t="s">
        <v>3635</v>
      </c>
      <c r="I105" s="267" t="s">
        <v>3636</v>
      </c>
      <c r="J105" s="267" t="s">
        <v>2957</v>
      </c>
      <c r="K105" s="268" t="s">
        <v>3251</v>
      </c>
      <c r="L105" s="267" t="s">
        <v>3251</v>
      </c>
      <c r="M105" s="267" t="s">
        <v>3168</v>
      </c>
      <c r="N105" s="267" t="s">
        <v>11</v>
      </c>
      <c r="O105" s="268" t="s">
        <v>3637</v>
      </c>
    </row>
    <row r="106" spans="1:15" ht="76.5">
      <c r="A106" s="267">
        <v>1774327</v>
      </c>
      <c r="B106" s="267" t="s">
        <v>3159</v>
      </c>
      <c r="C106" s="268" t="s">
        <v>3638</v>
      </c>
      <c r="D106" s="267" t="s">
        <v>3300</v>
      </c>
      <c r="E106" s="267"/>
      <c r="F106" s="267" t="s">
        <v>3163</v>
      </c>
      <c r="G106" s="267" t="s">
        <v>3639</v>
      </c>
      <c r="H106" s="267" t="s">
        <v>3639</v>
      </c>
      <c r="I106" s="267" t="s">
        <v>3640</v>
      </c>
      <c r="J106" s="267" t="s">
        <v>3107</v>
      </c>
      <c r="K106" s="268" t="s">
        <v>3310</v>
      </c>
      <c r="L106" s="267" t="s">
        <v>2965</v>
      </c>
      <c r="M106" s="267" t="s">
        <v>3168</v>
      </c>
      <c r="N106" s="267" t="s">
        <v>11</v>
      </c>
      <c r="O106" s="268" t="s">
        <v>3641</v>
      </c>
    </row>
    <row r="107" spans="1:15" ht="89.25">
      <c r="A107" s="267">
        <v>1774318</v>
      </c>
      <c r="B107" s="267" t="s">
        <v>3159</v>
      </c>
      <c r="C107" s="268" t="s">
        <v>3642</v>
      </c>
      <c r="D107" s="267" t="s">
        <v>3218</v>
      </c>
      <c r="E107" s="267"/>
      <c r="F107" s="267" t="s">
        <v>3163</v>
      </c>
      <c r="G107" s="267" t="s">
        <v>3643</v>
      </c>
      <c r="H107" s="267" t="s">
        <v>3643</v>
      </c>
      <c r="I107" s="267" t="s">
        <v>3644</v>
      </c>
      <c r="J107" s="267" t="s">
        <v>3592</v>
      </c>
      <c r="K107" s="268" t="s">
        <v>3645</v>
      </c>
      <c r="L107" s="267" t="s">
        <v>2971</v>
      </c>
      <c r="M107" s="267" t="s">
        <v>3168</v>
      </c>
      <c r="N107" s="267" t="s">
        <v>11</v>
      </c>
      <c r="O107" s="268" t="s">
        <v>3646</v>
      </c>
    </row>
    <row r="108" spans="1:15" ht="76.5">
      <c r="A108" s="267">
        <v>1774315</v>
      </c>
      <c r="B108" s="267" t="s">
        <v>3159</v>
      </c>
      <c r="C108" s="268" t="s">
        <v>3647</v>
      </c>
      <c r="D108" s="267" t="s">
        <v>3300</v>
      </c>
      <c r="E108" s="267"/>
      <c r="F108" s="267" t="s">
        <v>3163</v>
      </c>
      <c r="G108" s="267" t="s">
        <v>3648</v>
      </c>
      <c r="H108" s="267" t="s">
        <v>3648</v>
      </c>
      <c r="I108" s="267" t="s">
        <v>209</v>
      </c>
      <c r="J108" s="267" t="s">
        <v>2960</v>
      </c>
      <c r="K108" s="268" t="s">
        <v>3123</v>
      </c>
      <c r="L108" s="267" t="s">
        <v>3649</v>
      </c>
      <c r="M108" s="267" t="s">
        <v>3168</v>
      </c>
      <c r="N108" s="267" t="s">
        <v>11</v>
      </c>
      <c r="O108" s="268" t="s">
        <v>3650</v>
      </c>
    </row>
    <row r="109" spans="1:15" ht="89.25">
      <c r="A109" s="267">
        <v>1774312</v>
      </c>
      <c r="B109" s="267" t="s">
        <v>3159</v>
      </c>
      <c r="C109" s="268" t="s">
        <v>3651</v>
      </c>
      <c r="D109" s="267" t="s">
        <v>3218</v>
      </c>
      <c r="E109" s="267"/>
      <c r="F109" s="267" t="s">
        <v>3163</v>
      </c>
      <c r="G109" s="267" t="s">
        <v>3652</v>
      </c>
      <c r="H109" s="267" t="s">
        <v>3652</v>
      </c>
      <c r="I109" s="267" t="s">
        <v>3653</v>
      </c>
      <c r="J109" s="267" t="s">
        <v>3592</v>
      </c>
      <c r="K109" s="268" t="s">
        <v>3654</v>
      </c>
      <c r="L109" s="267" t="s">
        <v>2971</v>
      </c>
      <c r="M109" s="267" t="s">
        <v>3168</v>
      </c>
      <c r="N109" s="267" t="s">
        <v>11</v>
      </c>
      <c r="O109" s="268" t="s">
        <v>3655</v>
      </c>
    </row>
    <row r="110" spans="1:15" ht="89.25">
      <c r="A110" s="267">
        <v>1774298</v>
      </c>
      <c r="B110" s="267" t="s">
        <v>3159</v>
      </c>
      <c r="C110" s="268" t="s">
        <v>3656</v>
      </c>
      <c r="D110" s="267" t="s">
        <v>3218</v>
      </c>
      <c r="E110" s="267"/>
      <c r="F110" s="267" t="s">
        <v>3163</v>
      </c>
      <c r="G110" s="267" t="s">
        <v>3657</v>
      </c>
      <c r="H110" s="267" t="s">
        <v>3657</v>
      </c>
      <c r="I110" s="267" t="s">
        <v>3658</v>
      </c>
      <c r="J110" s="267" t="s">
        <v>3659</v>
      </c>
      <c r="K110" s="268" t="s">
        <v>3645</v>
      </c>
      <c r="L110" s="267" t="s">
        <v>3203</v>
      </c>
      <c r="M110" s="267" t="s">
        <v>3168</v>
      </c>
      <c r="N110" s="267" t="s">
        <v>11</v>
      </c>
      <c r="O110" s="268" t="s">
        <v>3660</v>
      </c>
    </row>
    <row r="111" spans="1:15" ht="76.5">
      <c r="A111" s="267">
        <v>1774295</v>
      </c>
      <c r="B111" s="267" t="s">
        <v>3159</v>
      </c>
      <c r="C111" s="268" t="s">
        <v>3661</v>
      </c>
      <c r="D111" s="267" t="s">
        <v>3218</v>
      </c>
      <c r="E111" s="267"/>
      <c r="F111" s="267" t="s">
        <v>3163</v>
      </c>
      <c r="G111" s="267" t="s">
        <v>3662</v>
      </c>
      <c r="H111" s="267" t="s">
        <v>3662</v>
      </c>
      <c r="I111" s="267" t="s">
        <v>3663</v>
      </c>
      <c r="J111" s="267" t="s">
        <v>3659</v>
      </c>
      <c r="K111" s="268" t="s">
        <v>3251</v>
      </c>
      <c r="L111" s="267" t="s">
        <v>3251</v>
      </c>
      <c r="M111" s="267" t="s">
        <v>3168</v>
      </c>
      <c r="N111" s="267" t="s">
        <v>11</v>
      </c>
      <c r="O111" s="268" t="s">
        <v>3664</v>
      </c>
    </row>
    <row r="112" spans="1:15" ht="63.75">
      <c r="A112" s="267">
        <v>1774284</v>
      </c>
      <c r="B112" s="267" t="s">
        <v>3159</v>
      </c>
      <c r="C112" s="268" t="s">
        <v>3665</v>
      </c>
      <c r="D112" s="267" t="s">
        <v>3300</v>
      </c>
      <c r="E112" s="267"/>
      <c r="F112" s="267" t="s">
        <v>3163</v>
      </c>
      <c r="G112" s="267" t="s">
        <v>3666</v>
      </c>
      <c r="H112" s="267" t="s">
        <v>3666</v>
      </c>
      <c r="I112" s="267" t="s">
        <v>3667</v>
      </c>
      <c r="J112" s="267" t="s">
        <v>3107</v>
      </c>
      <c r="K112" s="268" t="s">
        <v>3668</v>
      </c>
      <c r="L112" s="267" t="s">
        <v>3110</v>
      </c>
      <c r="M112" s="267" t="s">
        <v>3168</v>
      </c>
      <c r="N112" s="267" t="s">
        <v>11</v>
      </c>
      <c r="O112" s="268" t="s">
        <v>3669</v>
      </c>
    </row>
    <row r="113" spans="1:15" ht="89.25">
      <c r="A113" s="267">
        <v>1774273</v>
      </c>
      <c r="B113" s="267" t="s">
        <v>3159</v>
      </c>
      <c r="C113" s="268" t="s">
        <v>3670</v>
      </c>
      <c r="D113" s="267" t="s">
        <v>3218</v>
      </c>
      <c r="E113" s="267"/>
      <c r="F113" s="267" t="s">
        <v>3163</v>
      </c>
      <c r="G113" s="267" t="s">
        <v>3671</v>
      </c>
      <c r="H113" s="267" t="s">
        <v>3671</v>
      </c>
      <c r="I113" s="267" t="s">
        <v>3672</v>
      </c>
      <c r="J113" s="267" t="s">
        <v>3659</v>
      </c>
      <c r="K113" s="268" t="s">
        <v>3673</v>
      </c>
      <c r="L113" s="267" t="s">
        <v>3265</v>
      </c>
      <c r="M113" s="267" t="s">
        <v>3168</v>
      </c>
      <c r="N113" s="267" t="s">
        <v>11</v>
      </c>
      <c r="O113" s="268" t="s">
        <v>3674</v>
      </c>
    </row>
    <row r="114" spans="1:15" ht="38.25">
      <c r="A114" s="267">
        <v>1774170</v>
      </c>
      <c r="B114" s="267" t="s">
        <v>3159</v>
      </c>
      <c r="C114" s="268" t="s">
        <v>3675</v>
      </c>
      <c r="D114" s="267" t="s">
        <v>3161</v>
      </c>
      <c r="E114" s="267"/>
      <c r="F114" s="267" t="s">
        <v>3163</v>
      </c>
      <c r="G114" s="267" t="s">
        <v>3676</v>
      </c>
      <c r="H114" s="267" t="s">
        <v>3676</v>
      </c>
      <c r="I114" s="267" t="s">
        <v>3677</v>
      </c>
      <c r="J114" s="267" t="s">
        <v>3107</v>
      </c>
      <c r="K114" s="268" t="s">
        <v>3678</v>
      </c>
      <c r="L114" s="267" t="s">
        <v>3649</v>
      </c>
      <c r="M114" s="267" t="s">
        <v>3168</v>
      </c>
      <c r="N114" s="267" t="s">
        <v>11</v>
      </c>
      <c r="O114" s="268" t="s">
        <v>3679</v>
      </c>
    </row>
    <row r="115" spans="1:15" ht="153">
      <c r="A115" s="267">
        <v>1775609</v>
      </c>
      <c r="B115" s="267" t="s">
        <v>3159</v>
      </c>
      <c r="C115" s="268" t="s">
        <v>3680</v>
      </c>
      <c r="D115" s="267" t="s">
        <v>3300</v>
      </c>
      <c r="E115" s="267"/>
      <c r="F115" s="267" t="s">
        <v>3681</v>
      </c>
      <c r="G115" s="267"/>
      <c r="H115" s="267" t="s">
        <v>3682</v>
      </c>
      <c r="I115" s="267" t="s">
        <v>3428</v>
      </c>
      <c r="J115" s="267" t="s">
        <v>3107</v>
      </c>
      <c r="K115" s="268" t="s">
        <v>3310</v>
      </c>
      <c r="L115" s="267" t="s">
        <v>3310</v>
      </c>
      <c r="M115" s="267" t="s">
        <v>3168</v>
      </c>
      <c r="N115" s="267" t="s">
        <v>11</v>
      </c>
      <c r="O115" s="268" t="s">
        <v>3683</v>
      </c>
    </row>
    <row r="116" spans="1:15" ht="89.25">
      <c r="A116" s="267">
        <v>1774262</v>
      </c>
      <c r="B116" s="267" t="s">
        <v>3159</v>
      </c>
      <c r="C116" s="268" t="s">
        <v>3684</v>
      </c>
      <c r="D116" s="267" t="s">
        <v>3218</v>
      </c>
      <c r="E116" s="267" t="s">
        <v>3162</v>
      </c>
      <c r="F116" s="267" t="s">
        <v>3681</v>
      </c>
      <c r="G116" s="267"/>
      <c r="H116" s="267" t="s">
        <v>3685</v>
      </c>
      <c r="I116" s="267" t="s">
        <v>3686</v>
      </c>
      <c r="J116" s="267" t="s">
        <v>3659</v>
      </c>
      <c r="K116" s="268" t="s">
        <v>3251</v>
      </c>
      <c r="L116" s="267" t="s">
        <v>3251</v>
      </c>
      <c r="M116" s="267" t="s">
        <v>3168</v>
      </c>
      <c r="N116" s="267" t="s">
        <v>3272</v>
      </c>
      <c r="O116" s="268" t="s">
        <v>3687</v>
      </c>
    </row>
    <row r="117" spans="1:15" ht="102">
      <c r="A117" s="267">
        <v>1774253</v>
      </c>
      <c r="B117" s="267" t="s">
        <v>3159</v>
      </c>
      <c r="C117" s="268" t="s">
        <v>3688</v>
      </c>
      <c r="D117" s="267" t="s">
        <v>3218</v>
      </c>
      <c r="E117" s="267" t="s">
        <v>3162</v>
      </c>
      <c r="F117" s="267" t="s">
        <v>3681</v>
      </c>
      <c r="G117" s="267"/>
      <c r="H117" s="267" t="s">
        <v>3689</v>
      </c>
      <c r="I117" s="267" t="s">
        <v>3690</v>
      </c>
      <c r="J117" s="267" t="s">
        <v>3659</v>
      </c>
      <c r="K117" s="268" t="s">
        <v>3691</v>
      </c>
      <c r="L117" s="267" t="s">
        <v>3241</v>
      </c>
      <c r="M117" s="267" t="s">
        <v>3168</v>
      </c>
      <c r="N117" s="267" t="s">
        <v>11</v>
      </c>
      <c r="O117" s="268" t="s">
        <v>3692</v>
      </c>
    </row>
    <row r="118" spans="1:15" ht="76.5">
      <c r="A118" s="267">
        <v>1774250</v>
      </c>
      <c r="B118" s="267" t="s">
        <v>3159</v>
      </c>
      <c r="C118" s="268" t="s">
        <v>633</v>
      </c>
      <c r="D118" s="267" t="s">
        <v>3161</v>
      </c>
      <c r="E118" s="267" t="s">
        <v>3162</v>
      </c>
      <c r="F118" s="267" t="s">
        <v>3681</v>
      </c>
      <c r="G118" s="267"/>
      <c r="H118" s="267" t="s">
        <v>3693</v>
      </c>
      <c r="I118" s="267" t="s">
        <v>3694</v>
      </c>
      <c r="J118" s="267" t="s">
        <v>3695</v>
      </c>
      <c r="K118" s="268" t="s">
        <v>3696</v>
      </c>
      <c r="L118" s="267" t="s">
        <v>3697</v>
      </c>
      <c r="M118" s="267" t="s">
        <v>3168</v>
      </c>
      <c r="N118" s="267" t="s">
        <v>11</v>
      </c>
      <c r="O118" s="268" t="s">
        <v>3698</v>
      </c>
    </row>
    <row r="119" spans="1:15" ht="89.25">
      <c r="A119" s="267">
        <v>1774245</v>
      </c>
      <c r="B119" s="267" t="s">
        <v>3159</v>
      </c>
      <c r="C119" s="268" t="s">
        <v>3699</v>
      </c>
      <c r="D119" s="267" t="s">
        <v>3218</v>
      </c>
      <c r="E119" s="267" t="s">
        <v>3162</v>
      </c>
      <c r="F119" s="267" t="s">
        <v>3681</v>
      </c>
      <c r="G119" s="267"/>
      <c r="H119" s="267" t="s">
        <v>3700</v>
      </c>
      <c r="I119" s="267" t="s">
        <v>3701</v>
      </c>
      <c r="J119" s="267" t="s">
        <v>3251</v>
      </c>
      <c r="K119" s="268" t="s">
        <v>3251</v>
      </c>
      <c r="L119" s="267" t="s">
        <v>3702</v>
      </c>
      <c r="M119" s="267" t="s">
        <v>3168</v>
      </c>
      <c r="N119" s="267" t="s">
        <v>3703</v>
      </c>
      <c r="O119" s="268" t="s">
        <v>3704</v>
      </c>
    </row>
    <row r="120" spans="1:15" ht="51">
      <c r="A120" s="267">
        <v>1774239</v>
      </c>
      <c r="B120" s="267" t="s">
        <v>3159</v>
      </c>
      <c r="C120" s="268" t="s">
        <v>3705</v>
      </c>
      <c r="D120" s="267" t="s">
        <v>3161</v>
      </c>
      <c r="E120" s="267" t="s">
        <v>3162</v>
      </c>
      <c r="F120" s="267" t="s">
        <v>3681</v>
      </c>
      <c r="G120" s="267"/>
      <c r="H120" s="267" t="s">
        <v>3706</v>
      </c>
      <c r="I120" s="267" t="s">
        <v>3707</v>
      </c>
      <c r="J120" s="267" t="s">
        <v>3708</v>
      </c>
      <c r="K120" s="268" t="s">
        <v>3040</v>
      </c>
      <c r="L120" s="267" t="s">
        <v>3110</v>
      </c>
      <c r="M120" s="267" t="s">
        <v>3168</v>
      </c>
      <c r="N120" s="267" t="s">
        <v>11</v>
      </c>
      <c r="O120" s="268" t="s">
        <v>3709</v>
      </c>
    </row>
    <row r="121" spans="1:15" ht="102">
      <c r="A121" s="267">
        <v>1774234</v>
      </c>
      <c r="B121" s="267" t="s">
        <v>3159</v>
      </c>
      <c r="C121" s="268" t="s">
        <v>3710</v>
      </c>
      <c r="D121" s="267" t="s">
        <v>3218</v>
      </c>
      <c r="E121" s="267" t="s">
        <v>3162</v>
      </c>
      <c r="F121" s="267" t="s">
        <v>3681</v>
      </c>
      <c r="G121" s="267"/>
      <c r="H121" s="267" t="s">
        <v>3711</v>
      </c>
      <c r="I121" s="267" t="s">
        <v>3712</v>
      </c>
      <c r="J121" s="267" t="s">
        <v>3592</v>
      </c>
      <c r="K121" s="268" t="s">
        <v>3713</v>
      </c>
      <c r="L121" s="267" t="s">
        <v>3203</v>
      </c>
      <c r="M121" s="267" t="s">
        <v>3168</v>
      </c>
      <c r="N121" s="267" t="s">
        <v>11</v>
      </c>
      <c r="O121" s="268" t="s">
        <v>3714</v>
      </c>
    </row>
    <row r="122" spans="1:15" ht="102">
      <c r="A122" s="267">
        <v>1774224</v>
      </c>
      <c r="B122" s="267" t="s">
        <v>3159</v>
      </c>
      <c r="C122" s="268" t="s">
        <v>3715</v>
      </c>
      <c r="D122" s="267" t="s">
        <v>3218</v>
      </c>
      <c r="E122" s="267" t="s">
        <v>3162</v>
      </c>
      <c r="F122" s="267" t="s">
        <v>3681</v>
      </c>
      <c r="G122" s="267"/>
      <c r="H122" s="267" t="s">
        <v>3716</v>
      </c>
      <c r="I122" s="267" t="s">
        <v>3435</v>
      </c>
      <c r="J122" s="267" t="s">
        <v>3592</v>
      </c>
      <c r="K122" s="268" t="s">
        <v>3717</v>
      </c>
      <c r="L122" s="267" t="s">
        <v>2971</v>
      </c>
      <c r="M122" s="267" t="s">
        <v>3168</v>
      </c>
      <c r="N122" s="267" t="s">
        <v>11</v>
      </c>
      <c r="O122" s="268" t="s">
        <v>3718</v>
      </c>
    </row>
    <row r="123" spans="1:15" ht="102">
      <c r="A123" s="267">
        <v>1774218</v>
      </c>
      <c r="B123" s="267" t="s">
        <v>3159</v>
      </c>
      <c r="C123" s="268" t="s">
        <v>3719</v>
      </c>
      <c r="D123" s="267" t="s">
        <v>3218</v>
      </c>
      <c r="E123" s="267" t="s">
        <v>3162</v>
      </c>
      <c r="F123" s="267" t="s">
        <v>3681</v>
      </c>
      <c r="G123" s="267"/>
      <c r="H123" s="267" t="s">
        <v>3720</v>
      </c>
      <c r="I123" s="267" t="s">
        <v>3721</v>
      </c>
      <c r="J123" s="267" t="s">
        <v>3592</v>
      </c>
      <c r="K123" s="268" t="s">
        <v>3722</v>
      </c>
      <c r="L123" s="267" t="s">
        <v>861</v>
      </c>
      <c r="M123" s="267" t="s">
        <v>3168</v>
      </c>
      <c r="N123" s="267" t="s">
        <v>11</v>
      </c>
      <c r="O123" s="268" t="s">
        <v>3723</v>
      </c>
    </row>
    <row r="124" spans="1:15" ht="89.25">
      <c r="A124" s="267">
        <v>1774208</v>
      </c>
      <c r="B124" s="267" t="s">
        <v>3159</v>
      </c>
      <c r="C124" s="268" t="s">
        <v>3724</v>
      </c>
      <c r="D124" s="267" t="s">
        <v>3218</v>
      </c>
      <c r="E124" s="267" t="s">
        <v>3162</v>
      </c>
      <c r="F124" s="267" t="s">
        <v>3681</v>
      </c>
      <c r="G124" s="267"/>
      <c r="H124" s="267" t="s">
        <v>3725</v>
      </c>
      <c r="I124" s="267" t="s">
        <v>3726</v>
      </c>
      <c r="J124" s="267" t="s">
        <v>3592</v>
      </c>
      <c r="K124" s="268" t="s">
        <v>3251</v>
      </c>
      <c r="L124" s="267" t="s">
        <v>3251</v>
      </c>
      <c r="M124" s="267" t="s">
        <v>3168</v>
      </c>
      <c r="N124" s="267" t="s">
        <v>11</v>
      </c>
      <c r="O124" s="268" t="s">
        <v>3727</v>
      </c>
    </row>
    <row r="125" spans="1:15" ht="51">
      <c r="A125" s="267">
        <v>1774186</v>
      </c>
      <c r="B125" s="267" t="s">
        <v>3159</v>
      </c>
      <c r="C125" s="268" t="s">
        <v>3728</v>
      </c>
      <c r="D125" s="267" t="s">
        <v>3161</v>
      </c>
      <c r="E125" s="267" t="s">
        <v>3162</v>
      </c>
      <c r="F125" s="267" t="s">
        <v>3681</v>
      </c>
      <c r="G125" s="267"/>
      <c r="H125" s="267" t="s">
        <v>3729</v>
      </c>
      <c r="I125" s="267" t="s">
        <v>3730</v>
      </c>
      <c r="J125" s="267" t="s">
        <v>3107</v>
      </c>
      <c r="K125" s="268" t="s">
        <v>3731</v>
      </c>
      <c r="L125" s="267" t="s">
        <v>2971</v>
      </c>
      <c r="M125" s="267" t="s">
        <v>3168</v>
      </c>
      <c r="N125" s="267" t="s">
        <v>11</v>
      </c>
      <c r="O125" s="268" t="s">
        <v>3732</v>
      </c>
    </row>
    <row r="126" spans="1:15" ht="102">
      <c r="A126" s="267">
        <v>1774179</v>
      </c>
      <c r="B126" s="267" t="s">
        <v>3159</v>
      </c>
      <c r="C126" s="268" t="s">
        <v>3733</v>
      </c>
      <c r="D126" s="267" t="s">
        <v>3218</v>
      </c>
      <c r="E126" s="267" t="s">
        <v>3162</v>
      </c>
      <c r="F126" s="267" t="s">
        <v>3681</v>
      </c>
      <c r="G126" s="267"/>
      <c r="H126" s="267" t="s">
        <v>3734</v>
      </c>
      <c r="I126" s="267" t="s">
        <v>3290</v>
      </c>
      <c r="J126" s="267" t="s">
        <v>3592</v>
      </c>
      <c r="K126" s="268" t="s">
        <v>3735</v>
      </c>
      <c r="L126" s="267" t="s">
        <v>3203</v>
      </c>
      <c r="M126" s="267" t="s">
        <v>3168</v>
      </c>
      <c r="N126" s="267" t="s">
        <v>11</v>
      </c>
      <c r="O126" s="268" t="s">
        <v>3736</v>
      </c>
    </row>
    <row r="127" spans="1:15" ht="76.5">
      <c r="A127" s="267">
        <v>1774159</v>
      </c>
      <c r="B127" s="267" t="s">
        <v>3159</v>
      </c>
      <c r="C127" s="268" t="s">
        <v>3737</v>
      </c>
      <c r="D127" s="267" t="s">
        <v>3161</v>
      </c>
      <c r="E127" s="267" t="s">
        <v>3162</v>
      </c>
      <c r="F127" s="267" t="s">
        <v>3681</v>
      </c>
      <c r="G127" s="267"/>
      <c r="H127" s="267" t="s">
        <v>3738</v>
      </c>
      <c r="I127" s="267" t="s">
        <v>3351</v>
      </c>
      <c r="J127" s="267" t="s">
        <v>3107</v>
      </c>
      <c r="K127" s="268" t="s">
        <v>3357</v>
      </c>
      <c r="L127" s="267" t="s">
        <v>3110</v>
      </c>
      <c r="M127" s="267" t="s">
        <v>3168</v>
      </c>
      <c r="N127" s="267" t="s">
        <v>11</v>
      </c>
      <c r="O127" s="268" t="s">
        <v>3739</v>
      </c>
    </row>
    <row r="128" spans="1:15" ht="51">
      <c r="A128" s="267">
        <v>1774155</v>
      </c>
      <c r="B128" s="267" t="s">
        <v>3159</v>
      </c>
      <c r="C128" s="268" t="s">
        <v>3740</v>
      </c>
      <c r="D128" s="267" t="s">
        <v>3161</v>
      </c>
      <c r="E128" s="267" t="s">
        <v>3162</v>
      </c>
      <c r="F128" s="267" t="s">
        <v>3681</v>
      </c>
      <c r="G128" s="267"/>
      <c r="H128" s="267" t="s">
        <v>3741</v>
      </c>
      <c r="I128" s="267" t="s">
        <v>3742</v>
      </c>
      <c r="J128" s="267" t="s">
        <v>3107</v>
      </c>
      <c r="K128" s="268" t="s">
        <v>3270</v>
      </c>
      <c r="L128" s="267" t="s">
        <v>2969</v>
      </c>
      <c r="M128" s="267" t="s">
        <v>3168</v>
      </c>
      <c r="N128" s="267" t="s">
        <v>11</v>
      </c>
      <c r="O128" s="268" t="s">
        <v>3743</v>
      </c>
    </row>
    <row r="129" spans="1:15" ht="63.75">
      <c r="A129" s="267">
        <v>1774153</v>
      </c>
      <c r="B129" s="267" t="s">
        <v>3159</v>
      </c>
      <c r="C129" s="268" t="s">
        <v>3744</v>
      </c>
      <c r="D129" s="267" t="s">
        <v>3300</v>
      </c>
      <c r="E129" s="267" t="s">
        <v>3162</v>
      </c>
      <c r="F129" s="267" t="s">
        <v>3681</v>
      </c>
      <c r="G129" s="267"/>
      <c r="H129" s="267" t="s">
        <v>3745</v>
      </c>
      <c r="I129" s="267" t="s">
        <v>3742</v>
      </c>
      <c r="J129" s="267" t="s">
        <v>3107</v>
      </c>
      <c r="K129" s="268" t="s">
        <v>3746</v>
      </c>
      <c r="L129" s="267" t="s">
        <v>2971</v>
      </c>
      <c r="M129" s="267" t="s">
        <v>3168</v>
      </c>
      <c r="N129" s="267" t="s">
        <v>11</v>
      </c>
      <c r="O129" s="268" t="s">
        <v>3747</v>
      </c>
    </row>
    <row r="130" spans="1:15" ht="51">
      <c r="A130" s="267">
        <v>1774142</v>
      </c>
      <c r="B130" s="267" t="s">
        <v>3159</v>
      </c>
      <c r="C130" s="268" t="s">
        <v>3748</v>
      </c>
      <c r="D130" s="267" t="s">
        <v>3161</v>
      </c>
      <c r="E130" s="267" t="s">
        <v>3162</v>
      </c>
      <c r="F130" s="267" t="s">
        <v>3681</v>
      </c>
      <c r="G130" s="267"/>
      <c r="H130" s="267" t="s">
        <v>3749</v>
      </c>
      <c r="I130" s="267" t="s">
        <v>3750</v>
      </c>
      <c r="J130" s="267" t="s">
        <v>3107</v>
      </c>
      <c r="K130" s="268" t="s">
        <v>3751</v>
      </c>
      <c r="L130" s="267" t="s">
        <v>3033</v>
      </c>
      <c r="M130" s="267" t="s">
        <v>3168</v>
      </c>
      <c r="N130" s="267" t="s">
        <v>11</v>
      </c>
      <c r="O130" s="268" t="s">
        <v>3752</v>
      </c>
    </row>
    <row r="131" spans="1:15" ht="63.75">
      <c r="A131" s="267">
        <v>1774129</v>
      </c>
      <c r="B131" s="267" t="s">
        <v>3159</v>
      </c>
      <c r="C131" s="268" t="s">
        <v>89</v>
      </c>
      <c r="D131" s="267" t="s">
        <v>3161</v>
      </c>
      <c r="E131" s="267" t="s">
        <v>3162</v>
      </c>
      <c r="F131" s="267" t="s">
        <v>3681</v>
      </c>
      <c r="G131" s="267"/>
      <c r="H131" s="267" t="s">
        <v>3753</v>
      </c>
      <c r="I131" s="267" t="s">
        <v>3754</v>
      </c>
      <c r="J131" s="267" t="s">
        <v>3755</v>
      </c>
      <c r="K131" s="268" t="s">
        <v>3756</v>
      </c>
      <c r="L131" s="267" t="s">
        <v>3241</v>
      </c>
      <c r="M131" s="267" t="s">
        <v>3168</v>
      </c>
      <c r="N131" s="267" t="s">
        <v>11</v>
      </c>
      <c r="O131" s="268" t="s">
        <v>3757</v>
      </c>
    </row>
    <row r="132" spans="1:15" ht="114.75">
      <c r="A132" s="267">
        <v>1773857</v>
      </c>
      <c r="B132" s="267" t="s">
        <v>3159</v>
      </c>
      <c r="C132" s="268" t="s">
        <v>3758</v>
      </c>
      <c r="D132" s="267" t="s">
        <v>3300</v>
      </c>
      <c r="E132" s="267" t="s">
        <v>3162</v>
      </c>
      <c r="F132" s="267" t="s">
        <v>3681</v>
      </c>
      <c r="G132" s="267"/>
      <c r="H132" s="267" t="s">
        <v>3759</v>
      </c>
      <c r="I132" s="267" t="s">
        <v>3760</v>
      </c>
      <c r="J132" s="267" t="s">
        <v>3107</v>
      </c>
      <c r="K132" s="268" t="s">
        <v>3310</v>
      </c>
      <c r="L132" s="267" t="s">
        <v>3241</v>
      </c>
      <c r="M132" s="267" t="s">
        <v>3168</v>
      </c>
      <c r="N132" s="267" t="s">
        <v>11</v>
      </c>
      <c r="O132" s="268" t="s">
        <v>3761</v>
      </c>
    </row>
    <row r="133" spans="1:15" ht="63.75">
      <c r="A133" s="267">
        <v>1773697</v>
      </c>
      <c r="B133" s="267" t="s">
        <v>3159</v>
      </c>
      <c r="C133" s="268" t="s">
        <v>3762</v>
      </c>
      <c r="D133" s="267" t="s">
        <v>3161</v>
      </c>
      <c r="E133" s="267" t="s">
        <v>3162</v>
      </c>
      <c r="F133" s="267" t="s">
        <v>3681</v>
      </c>
      <c r="G133" s="267"/>
      <c r="H133" s="267" t="s">
        <v>3763</v>
      </c>
      <c r="I133" s="267" t="s">
        <v>3764</v>
      </c>
      <c r="J133" s="267" t="s">
        <v>3592</v>
      </c>
      <c r="K133" s="268" t="s">
        <v>3765</v>
      </c>
      <c r="L133" s="267" t="s">
        <v>3241</v>
      </c>
      <c r="M133" s="267" t="s">
        <v>3168</v>
      </c>
      <c r="N133" s="267" t="s">
        <v>11</v>
      </c>
      <c r="O133" s="268" t="s">
        <v>3766</v>
      </c>
    </row>
    <row r="134" spans="1:15" ht="140.25">
      <c r="A134" s="267">
        <v>1773648</v>
      </c>
      <c r="B134" s="267" t="s">
        <v>3159</v>
      </c>
      <c r="C134" s="268" t="s">
        <v>3767</v>
      </c>
      <c r="D134" s="267" t="s">
        <v>3161</v>
      </c>
      <c r="E134" s="267" t="s">
        <v>3162</v>
      </c>
      <c r="F134" s="267" t="s">
        <v>3681</v>
      </c>
      <c r="G134" s="267"/>
      <c r="H134" s="267" t="s">
        <v>3768</v>
      </c>
      <c r="I134" s="267" t="s">
        <v>3769</v>
      </c>
      <c r="J134" s="267" t="s">
        <v>3770</v>
      </c>
      <c r="K134" s="268" t="s">
        <v>3166</v>
      </c>
      <c r="L134" s="267" t="s">
        <v>3167</v>
      </c>
      <c r="M134" s="267" t="s">
        <v>3168</v>
      </c>
      <c r="N134" s="267" t="s">
        <v>11</v>
      </c>
      <c r="O134" s="268" t="s">
        <v>3771</v>
      </c>
    </row>
    <row r="135" spans="1:15" ht="76.5">
      <c r="A135" s="267">
        <v>1773641</v>
      </c>
      <c r="B135" s="267" t="s">
        <v>3159</v>
      </c>
      <c r="C135" s="268" t="s">
        <v>3772</v>
      </c>
      <c r="D135" s="267" t="s">
        <v>3161</v>
      </c>
      <c r="E135" s="267" t="s">
        <v>3162</v>
      </c>
      <c r="F135" s="267" t="s">
        <v>3681</v>
      </c>
      <c r="G135" s="267"/>
      <c r="H135" s="267" t="s">
        <v>3773</v>
      </c>
      <c r="I135" s="267" t="s">
        <v>3774</v>
      </c>
      <c r="J135" s="267" t="s">
        <v>3775</v>
      </c>
      <c r="K135" s="268" t="s">
        <v>3776</v>
      </c>
      <c r="L135" s="267" t="s">
        <v>2969</v>
      </c>
      <c r="M135" s="267" t="s">
        <v>3168</v>
      </c>
      <c r="N135" s="267" t="s">
        <v>11</v>
      </c>
      <c r="O135" s="268" t="s">
        <v>3777</v>
      </c>
    </row>
    <row r="136" spans="1:15" ht="63.75">
      <c r="A136" s="267">
        <v>1773624</v>
      </c>
      <c r="B136" s="267" t="s">
        <v>3159</v>
      </c>
      <c r="C136" s="268" t="s">
        <v>3778</v>
      </c>
      <c r="D136" s="267" t="s">
        <v>3161</v>
      </c>
      <c r="E136" s="267" t="s">
        <v>3162</v>
      </c>
      <c r="F136" s="267" t="s">
        <v>3681</v>
      </c>
      <c r="G136" s="267"/>
      <c r="H136" s="267" t="s">
        <v>3779</v>
      </c>
      <c r="I136" s="267" t="s">
        <v>3463</v>
      </c>
      <c r="J136" s="267" t="s">
        <v>3107</v>
      </c>
      <c r="K136" s="268" t="s">
        <v>3780</v>
      </c>
      <c r="L136" s="267" t="s">
        <v>3203</v>
      </c>
      <c r="M136" s="267" t="s">
        <v>3781</v>
      </c>
      <c r="N136" s="267" t="s">
        <v>11</v>
      </c>
      <c r="O136" s="268" t="s">
        <v>3782</v>
      </c>
    </row>
    <row r="137" spans="1:15" ht="63.75">
      <c r="A137" s="267">
        <v>1773446</v>
      </c>
      <c r="B137" s="267" t="s">
        <v>3159</v>
      </c>
      <c r="C137" s="268" t="s">
        <v>3783</v>
      </c>
      <c r="D137" s="267" t="s">
        <v>3300</v>
      </c>
      <c r="E137" s="267" t="s">
        <v>3162</v>
      </c>
      <c r="F137" s="267" t="s">
        <v>3681</v>
      </c>
      <c r="G137" s="267"/>
      <c r="H137" s="267" t="s">
        <v>3784</v>
      </c>
      <c r="I137" s="267" t="s">
        <v>3785</v>
      </c>
      <c r="J137" s="267" t="s">
        <v>3107</v>
      </c>
      <c r="K137" s="268" t="s">
        <v>3786</v>
      </c>
      <c r="L137" s="267" t="s">
        <v>3241</v>
      </c>
      <c r="M137" s="267" t="s">
        <v>3168</v>
      </c>
      <c r="N137" s="267" t="s">
        <v>11</v>
      </c>
      <c r="O137" s="268" t="s">
        <v>3787</v>
      </c>
    </row>
    <row r="138" spans="1:15" ht="165.75">
      <c r="A138" s="267">
        <v>1773442</v>
      </c>
      <c r="B138" s="267" t="s">
        <v>3159</v>
      </c>
      <c r="C138" s="268" t="s">
        <v>3788</v>
      </c>
      <c r="D138" s="267" t="s">
        <v>3300</v>
      </c>
      <c r="E138" s="267" t="s">
        <v>3162</v>
      </c>
      <c r="F138" s="267" t="s">
        <v>3681</v>
      </c>
      <c r="G138" s="267"/>
      <c r="H138" s="267" t="s">
        <v>3789</v>
      </c>
      <c r="I138" s="267" t="s">
        <v>3790</v>
      </c>
      <c r="J138" s="267" t="s">
        <v>3770</v>
      </c>
      <c r="K138" s="268" t="s">
        <v>3310</v>
      </c>
      <c r="L138" s="267" t="s">
        <v>3310</v>
      </c>
      <c r="M138" s="267" t="s">
        <v>3168</v>
      </c>
      <c r="N138" s="267" t="s">
        <v>11</v>
      </c>
      <c r="O138" s="268" t="s">
        <v>3791</v>
      </c>
    </row>
    <row r="139" spans="1:15" ht="63.75">
      <c r="A139" s="267">
        <v>1773424</v>
      </c>
      <c r="B139" s="267" t="s">
        <v>3159</v>
      </c>
      <c r="C139" s="268" t="s">
        <v>3792</v>
      </c>
      <c r="D139" s="267" t="s">
        <v>3300</v>
      </c>
      <c r="E139" s="267" t="s">
        <v>3162</v>
      </c>
      <c r="F139" s="267" t="s">
        <v>3681</v>
      </c>
      <c r="G139" s="267"/>
      <c r="H139" s="267" t="s">
        <v>3793</v>
      </c>
      <c r="I139" s="267" t="s">
        <v>3794</v>
      </c>
      <c r="J139" s="267" t="s">
        <v>3108</v>
      </c>
      <c r="K139" s="268" t="s">
        <v>3795</v>
      </c>
      <c r="L139" s="267" t="s">
        <v>3519</v>
      </c>
      <c r="M139" s="267" t="s">
        <v>3168</v>
      </c>
      <c r="N139" s="267" t="s">
        <v>11</v>
      </c>
      <c r="O139" s="268" t="s">
        <v>3796</v>
      </c>
    </row>
    <row r="140" spans="1:15" ht="63.75">
      <c r="A140" s="267">
        <v>1773421</v>
      </c>
      <c r="B140" s="267" t="s">
        <v>3159</v>
      </c>
      <c r="C140" s="268" t="s">
        <v>3797</v>
      </c>
      <c r="D140" s="267" t="s">
        <v>3300</v>
      </c>
      <c r="E140" s="267" t="s">
        <v>3162</v>
      </c>
      <c r="F140" s="267" t="s">
        <v>3681</v>
      </c>
      <c r="G140" s="267"/>
      <c r="H140" s="267" t="s">
        <v>3798</v>
      </c>
      <c r="I140" s="267" t="s">
        <v>3799</v>
      </c>
      <c r="J140" s="267" t="s">
        <v>3107</v>
      </c>
      <c r="K140" s="268" t="s">
        <v>3786</v>
      </c>
      <c r="L140" s="267" t="s">
        <v>3241</v>
      </c>
      <c r="M140" s="267" t="s">
        <v>3168</v>
      </c>
      <c r="N140" s="267" t="s">
        <v>11</v>
      </c>
      <c r="O140" s="268" t="s">
        <v>3800</v>
      </c>
    </row>
    <row r="141" spans="1:15" ht="63.75">
      <c r="A141" s="267">
        <v>1773417</v>
      </c>
      <c r="B141" s="267" t="s">
        <v>3159</v>
      </c>
      <c r="C141" s="268" t="s">
        <v>3801</v>
      </c>
      <c r="D141" s="267" t="s">
        <v>3300</v>
      </c>
      <c r="E141" s="267" t="s">
        <v>3162</v>
      </c>
      <c r="F141" s="267" t="s">
        <v>3681</v>
      </c>
      <c r="G141" s="267"/>
      <c r="H141" s="267" t="s">
        <v>3802</v>
      </c>
      <c r="I141" s="267" t="s">
        <v>3803</v>
      </c>
      <c r="J141" s="267" t="s">
        <v>3107</v>
      </c>
      <c r="K141" s="268" t="s">
        <v>3804</v>
      </c>
      <c r="L141" s="267" t="s">
        <v>3203</v>
      </c>
      <c r="M141" s="267" t="s">
        <v>3168</v>
      </c>
      <c r="N141" s="267" t="s">
        <v>11</v>
      </c>
      <c r="O141" s="268" t="s">
        <v>3805</v>
      </c>
    </row>
    <row r="142" spans="1:15" ht="89.25">
      <c r="A142" s="267">
        <v>1773412</v>
      </c>
      <c r="B142" s="267" t="s">
        <v>3159</v>
      </c>
      <c r="C142" s="268" t="s">
        <v>3806</v>
      </c>
      <c r="D142" s="267" t="s">
        <v>3300</v>
      </c>
      <c r="E142" s="267" t="s">
        <v>3162</v>
      </c>
      <c r="F142" s="267" t="s">
        <v>3681</v>
      </c>
      <c r="G142" s="267"/>
      <c r="H142" s="267" t="s">
        <v>3807</v>
      </c>
      <c r="I142" s="267" t="s">
        <v>3310</v>
      </c>
      <c r="J142" s="267" t="s">
        <v>2957</v>
      </c>
      <c r="K142" s="268" t="s">
        <v>3808</v>
      </c>
      <c r="L142" s="267" t="s">
        <v>2969</v>
      </c>
      <c r="M142" s="267" t="s">
        <v>3168</v>
      </c>
      <c r="N142" s="267" t="s">
        <v>11</v>
      </c>
      <c r="O142" s="268" t="s">
        <v>3809</v>
      </c>
    </row>
    <row r="143" spans="1:15" ht="102">
      <c r="A143" s="267">
        <v>1773403</v>
      </c>
      <c r="B143" s="267" t="s">
        <v>3159</v>
      </c>
      <c r="C143" s="268" t="s">
        <v>3810</v>
      </c>
      <c r="D143" s="267" t="s">
        <v>3300</v>
      </c>
      <c r="E143" s="267" t="s">
        <v>3162</v>
      </c>
      <c r="F143" s="267" t="s">
        <v>3681</v>
      </c>
      <c r="G143" s="267"/>
      <c r="H143" s="267" t="s">
        <v>3811</v>
      </c>
      <c r="I143" s="267" t="s">
        <v>3310</v>
      </c>
      <c r="J143" s="267" t="s">
        <v>3107</v>
      </c>
      <c r="K143" s="268" t="s">
        <v>3812</v>
      </c>
      <c r="L143" s="267" t="s">
        <v>2968</v>
      </c>
      <c r="M143" s="267" t="s">
        <v>3168</v>
      </c>
      <c r="N143" s="267" t="s">
        <v>11</v>
      </c>
      <c r="O143" s="268" t="s">
        <v>3813</v>
      </c>
    </row>
    <row r="144" spans="1:15" ht="114.75">
      <c r="A144" s="267">
        <v>1773391</v>
      </c>
      <c r="B144" s="267" t="s">
        <v>3159</v>
      </c>
      <c r="C144" s="268" t="s">
        <v>3814</v>
      </c>
      <c r="D144" s="267" t="s">
        <v>3300</v>
      </c>
      <c r="E144" s="267" t="s">
        <v>3162</v>
      </c>
      <c r="F144" s="267" t="s">
        <v>3681</v>
      </c>
      <c r="G144" s="267"/>
      <c r="H144" s="267" t="s">
        <v>3815</v>
      </c>
      <c r="I144" s="267" t="s">
        <v>3816</v>
      </c>
      <c r="J144" s="267" t="s">
        <v>3775</v>
      </c>
      <c r="K144" s="268" t="s">
        <v>3786</v>
      </c>
      <c r="L144" s="267" t="s">
        <v>3241</v>
      </c>
      <c r="M144" s="267" t="s">
        <v>3168</v>
      </c>
      <c r="N144" s="267" t="s">
        <v>11</v>
      </c>
      <c r="O144" s="268" t="s">
        <v>3817</v>
      </c>
    </row>
    <row r="145" spans="1:15" ht="102">
      <c r="A145" s="267">
        <v>1773390</v>
      </c>
      <c r="B145" s="267" t="s">
        <v>3159</v>
      </c>
      <c r="C145" s="268" t="s">
        <v>3818</v>
      </c>
      <c r="D145" s="267" t="s">
        <v>3171</v>
      </c>
      <c r="E145" s="267" t="s">
        <v>3162</v>
      </c>
      <c r="F145" s="267" t="s">
        <v>3681</v>
      </c>
      <c r="G145" s="267"/>
      <c r="H145" s="267" t="s">
        <v>3819</v>
      </c>
      <c r="I145" s="267" t="s">
        <v>2954</v>
      </c>
      <c r="J145" s="267" t="s">
        <v>2964</v>
      </c>
      <c r="K145" s="268" t="s">
        <v>2988</v>
      </c>
      <c r="L145" s="267" t="s">
        <v>3209</v>
      </c>
      <c r="M145" s="267" t="s">
        <v>3168</v>
      </c>
      <c r="N145" s="267" t="s">
        <v>11</v>
      </c>
      <c r="O145" s="268" t="s">
        <v>3820</v>
      </c>
    </row>
    <row r="146" spans="1:15" ht="114.75">
      <c r="A146" s="267">
        <v>1773385</v>
      </c>
      <c r="B146" s="267" t="s">
        <v>3159</v>
      </c>
      <c r="C146" s="268" t="s">
        <v>407</v>
      </c>
      <c r="D146" s="267" t="s">
        <v>3300</v>
      </c>
      <c r="E146" s="267" t="s">
        <v>3162</v>
      </c>
      <c r="F146" s="267" t="s">
        <v>3681</v>
      </c>
      <c r="G146" s="267"/>
      <c r="H146" s="267" t="s">
        <v>3821</v>
      </c>
      <c r="I146" s="267" t="s">
        <v>3822</v>
      </c>
      <c r="J146" s="267" t="s">
        <v>2957</v>
      </c>
      <c r="K146" s="268" t="s">
        <v>3310</v>
      </c>
      <c r="L146" s="267" t="s">
        <v>3310</v>
      </c>
      <c r="M146" s="267" t="s">
        <v>3168</v>
      </c>
      <c r="N146" s="267" t="s">
        <v>11</v>
      </c>
      <c r="O146" s="268" t="s">
        <v>3823</v>
      </c>
    </row>
    <row r="147" spans="1:15" ht="76.5">
      <c r="A147" s="267">
        <v>1773374</v>
      </c>
      <c r="B147" s="267" t="s">
        <v>3159</v>
      </c>
      <c r="C147" s="268" t="s">
        <v>3824</v>
      </c>
      <c r="D147" s="267" t="s">
        <v>3300</v>
      </c>
      <c r="E147" s="267" t="s">
        <v>3162</v>
      </c>
      <c r="F147" s="267" t="s">
        <v>3681</v>
      </c>
      <c r="G147" s="267"/>
      <c r="H147" s="267" t="s">
        <v>3825</v>
      </c>
      <c r="I147" s="267" t="s">
        <v>3826</v>
      </c>
      <c r="J147" s="267" t="s">
        <v>2957</v>
      </c>
      <c r="K147" s="268" t="s">
        <v>3827</v>
      </c>
      <c r="L147" s="267" t="s">
        <v>3241</v>
      </c>
      <c r="M147" s="267" t="s">
        <v>3168</v>
      </c>
      <c r="N147" s="267" t="s">
        <v>11</v>
      </c>
      <c r="O147" s="268" t="s">
        <v>3828</v>
      </c>
    </row>
    <row r="148" spans="1:15" ht="114.75">
      <c r="A148" s="267">
        <v>1773366</v>
      </c>
      <c r="B148" s="267" t="s">
        <v>3159</v>
      </c>
      <c r="C148" s="268" t="s">
        <v>3829</v>
      </c>
      <c r="D148" s="267" t="s">
        <v>3300</v>
      </c>
      <c r="E148" s="267" t="s">
        <v>3162</v>
      </c>
      <c r="F148" s="267" t="s">
        <v>3681</v>
      </c>
      <c r="G148" s="267"/>
      <c r="H148" s="267" t="s">
        <v>3830</v>
      </c>
      <c r="I148" s="267" t="s">
        <v>3831</v>
      </c>
      <c r="J148" s="267" t="s">
        <v>2957</v>
      </c>
      <c r="K148" s="268" t="s">
        <v>3310</v>
      </c>
      <c r="L148" s="267" t="s">
        <v>3310</v>
      </c>
      <c r="M148" s="267" t="s">
        <v>3168</v>
      </c>
      <c r="N148" s="267" t="s">
        <v>11</v>
      </c>
      <c r="O148" s="268" t="s">
        <v>3832</v>
      </c>
    </row>
    <row r="149" spans="1:15" ht="63.75">
      <c r="A149" s="267">
        <v>1773359</v>
      </c>
      <c r="B149" s="267" t="s">
        <v>3159</v>
      </c>
      <c r="C149" s="268" t="s">
        <v>3833</v>
      </c>
      <c r="D149" s="267" t="s">
        <v>3300</v>
      </c>
      <c r="E149" s="267" t="s">
        <v>3162</v>
      </c>
      <c r="F149" s="267" t="s">
        <v>3681</v>
      </c>
      <c r="G149" s="267"/>
      <c r="H149" s="267" t="s">
        <v>3834</v>
      </c>
      <c r="I149" s="267" t="s">
        <v>3285</v>
      </c>
      <c r="J149" s="267" t="s">
        <v>2957</v>
      </c>
      <c r="K149" s="268" t="s">
        <v>3835</v>
      </c>
      <c r="L149" s="267" t="s">
        <v>3241</v>
      </c>
      <c r="M149" s="267" t="s">
        <v>3168</v>
      </c>
      <c r="N149" s="267" t="s">
        <v>11</v>
      </c>
      <c r="O149" s="268" t="s">
        <v>3836</v>
      </c>
    </row>
    <row r="150" spans="1:15" ht="63.75">
      <c r="A150" s="267">
        <v>1773353</v>
      </c>
      <c r="B150" s="267" t="s">
        <v>3159</v>
      </c>
      <c r="C150" s="268" t="s">
        <v>3837</v>
      </c>
      <c r="D150" s="267" t="s">
        <v>3300</v>
      </c>
      <c r="E150" s="267" t="s">
        <v>3162</v>
      </c>
      <c r="F150" s="267" t="s">
        <v>3681</v>
      </c>
      <c r="G150" s="267"/>
      <c r="H150" s="267" t="s">
        <v>3838</v>
      </c>
      <c r="I150" s="267" t="s">
        <v>3839</v>
      </c>
      <c r="J150" s="267" t="s">
        <v>3770</v>
      </c>
      <c r="K150" s="268" t="s">
        <v>3840</v>
      </c>
      <c r="L150" s="267" t="s">
        <v>3241</v>
      </c>
      <c r="M150" s="267" t="s">
        <v>3168</v>
      </c>
      <c r="N150" s="267" t="s">
        <v>11</v>
      </c>
      <c r="O150" s="268" t="s">
        <v>3841</v>
      </c>
    </row>
    <row r="151" spans="1:15" ht="76.5">
      <c r="A151" s="267">
        <v>1773345</v>
      </c>
      <c r="B151" s="267" t="s">
        <v>3159</v>
      </c>
      <c r="C151" s="268" t="s">
        <v>3842</v>
      </c>
      <c r="D151" s="267" t="s">
        <v>3300</v>
      </c>
      <c r="E151" s="267" t="s">
        <v>3162</v>
      </c>
      <c r="F151" s="267" t="s">
        <v>3681</v>
      </c>
      <c r="G151" s="267"/>
      <c r="H151" s="267" t="s">
        <v>3843</v>
      </c>
      <c r="I151" s="267" t="s">
        <v>3844</v>
      </c>
      <c r="J151" s="267" t="s">
        <v>3107</v>
      </c>
      <c r="K151" s="268" t="s">
        <v>3845</v>
      </c>
      <c r="L151" s="267" t="s">
        <v>3649</v>
      </c>
      <c r="M151" s="267" t="s">
        <v>3168</v>
      </c>
      <c r="N151" s="267" t="s">
        <v>11</v>
      </c>
      <c r="O151" s="268" t="s">
        <v>3846</v>
      </c>
    </row>
    <row r="152" spans="1:15" ht="102">
      <c r="A152" s="267">
        <v>1773336</v>
      </c>
      <c r="B152" s="267" t="s">
        <v>3159</v>
      </c>
      <c r="C152" s="268" t="s">
        <v>3847</v>
      </c>
      <c r="D152" s="267" t="s">
        <v>3300</v>
      </c>
      <c r="E152" s="267" t="s">
        <v>3162</v>
      </c>
      <c r="F152" s="267" t="s">
        <v>3681</v>
      </c>
      <c r="G152" s="267"/>
      <c r="H152" s="267" t="s">
        <v>3848</v>
      </c>
      <c r="I152" s="267" t="s">
        <v>3310</v>
      </c>
      <c r="J152" s="267" t="s">
        <v>3107</v>
      </c>
      <c r="K152" s="268" t="s">
        <v>3849</v>
      </c>
      <c r="L152" s="267" t="s">
        <v>2968</v>
      </c>
      <c r="M152" s="267" t="s">
        <v>3168</v>
      </c>
      <c r="N152" s="267" t="s">
        <v>11</v>
      </c>
      <c r="O152" s="268" t="s">
        <v>3850</v>
      </c>
    </row>
    <row r="153" spans="1:15" ht="140.25">
      <c r="A153" s="267">
        <v>1773335</v>
      </c>
      <c r="B153" s="267" t="s">
        <v>3159</v>
      </c>
      <c r="C153" s="268" t="s">
        <v>3851</v>
      </c>
      <c r="D153" s="267" t="s">
        <v>3161</v>
      </c>
      <c r="E153" s="267" t="s">
        <v>3162</v>
      </c>
      <c r="F153" s="267" t="s">
        <v>3681</v>
      </c>
      <c r="G153" s="267"/>
      <c r="H153" s="267" t="s">
        <v>3852</v>
      </c>
      <c r="I153" s="267" t="s">
        <v>3853</v>
      </c>
      <c r="J153" s="267" t="s">
        <v>3166</v>
      </c>
      <c r="K153" s="268" t="s">
        <v>3166</v>
      </c>
      <c r="L153" s="267" t="s">
        <v>3167</v>
      </c>
      <c r="M153" s="267" t="s">
        <v>3168</v>
      </c>
      <c r="N153" s="267" t="s">
        <v>11</v>
      </c>
      <c r="O153" s="268" t="s">
        <v>3854</v>
      </c>
    </row>
    <row r="154" spans="1:15" ht="63.75">
      <c r="A154" s="267">
        <v>1773332</v>
      </c>
      <c r="B154" s="267" t="s">
        <v>3159</v>
      </c>
      <c r="C154" s="268" t="s">
        <v>3855</v>
      </c>
      <c r="D154" s="267" t="s">
        <v>3300</v>
      </c>
      <c r="E154" s="267" t="s">
        <v>3162</v>
      </c>
      <c r="F154" s="267" t="s">
        <v>3681</v>
      </c>
      <c r="G154" s="267"/>
      <c r="H154" s="267" t="s">
        <v>3856</v>
      </c>
      <c r="I154" s="267" t="s">
        <v>3857</v>
      </c>
      <c r="J154" s="267" t="s">
        <v>3107</v>
      </c>
      <c r="K154" s="268" t="s">
        <v>3858</v>
      </c>
      <c r="L154" s="267" t="s">
        <v>2968</v>
      </c>
      <c r="M154" s="267" t="s">
        <v>3168</v>
      </c>
      <c r="N154" s="267" t="s">
        <v>11</v>
      </c>
      <c r="O154" s="268" t="s">
        <v>3859</v>
      </c>
    </row>
    <row r="155" spans="1:15" ht="76.5">
      <c r="A155" s="267">
        <v>1773329</v>
      </c>
      <c r="B155" s="267" t="s">
        <v>3159</v>
      </c>
      <c r="C155" s="268" t="s">
        <v>3860</v>
      </c>
      <c r="D155" s="267" t="s">
        <v>3300</v>
      </c>
      <c r="E155" s="267" t="s">
        <v>3162</v>
      </c>
      <c r="F155" s="267" t="s">
        <v>3681</v>
      </c>
      <c r="G155" s="267"/>
      <c r="H155" s="267" t="s">
        <v>3861</v>
      </c>
      <c r="I155" s="267" t="s">
        <v>3862</v>
      </c>
      <c r="J155" s="267" t="s">
        <v>3107</v>
      </c>
      <c r="K155" s="268" t="s">
        <v>3863</v>
      </c>
      <c r="L155" s="267" t="s">
        <v>3864</v>
      </c>
      <c r="M155" s="267" t="s">
        <v>3168</v>
      </c>
      <c r="N155" s="267" t="s">
        <v>11</v>
      </c>
      <c r="O155" s="268" t="s">
        <v>3865</v>
      </c>
    </row>
    <row r="156" spans="1:15" ht="63.75">
      <c r="A156" s="267">
        <v>1773324</v>
      </c>
      <c r="B156" s="267" t="s">
        <v>3159</v>
      </c>
      <c r="C156" s="268" t="s">
        <v>3866</v>
      </c>
      <c r="D156" s="267" t="s">
        <v>3300</v>
      </c>
      <c r="E156" s="267" t="s">
        <v>3162</v>
      </c>
      <c r="F156" s="267" t="s">
        <v>3681</v>
      </c>
      <c r="G156" s="267"/>
      <c r="H156" s="267" t="s">
        <v>3867</v>
      </c>
      <c r="I156" s="267" t="s">
        <v>3868</v>
      </c>
      <c r="J156" s="267" t="s">
        <v>3107</v>
      </c>
      <c r="K156" s="268" t="s">
        <v>3869</v>
      </c>
      <c r="L156" s="267" t="s">
        <v>3870</v>
      </c>
      <c r="M156" s="267" t="s">
        <v>3168</v>
      </c>
      <c r="N156" s="267" t="s">
        <v>11</v>
      </c>
      <c r="O156" s="268" t="s">
        <v>3871</v>
      </c>
    </row>
    <row r="157" spans="1:15" ht="63.75">
      <c r="A157" s="267">
        <v>1773321</v>
      </c>
      <c r="B157" s="267" t="s">
        <v>3159</v>
      </c>
      <c r="C157" s="268" t="s">
        <v>3872</v>
      </c>
      <c r="D157" s="267" t="s">
        <v>3300</v>
      </c>
      <c r="E157" s="267" t="s">
        <v>3162</v>
      </c>
      <c r="F157" s="267" t="s">
        <v>3681</v>
      </c>
      <c r="G157" s="267"/>
      <c r="H157" s="267" t="s">
        <v>3873</v>
      </c>
      <c r="I157" s="267" t="s">
        <v>3874</v>
      </c>
      <c r="J157" s="267" t="s">
        <v>3107</v>
      </c>
      <c r="K157" s="268" t="s">
        <v>3875</v>
      </c>
      <c r="L157" s="267" t="s">
        <v>3870</v>
      </c>
      <c r="M157" s="267" t="s">
        <v>3168</v>
      </c>
      <c r="N157" s="267" t="s">
        <v>11</v>
      </c>
      <c r="O157" s="268" t="s">
        <v>3876</v>
      </c>
    </row>
    <row r="158" spans="1:15" ht="127.5">
      <c r="A158" s="267">
        <v>1773274</v>
      </c>
      <c r="B158" s="267" t="s">
        <v>3159</v>
      </c>
      <c r="C158" s="268" t="s">
        <v>3877</v>
      </c>
      <c r="D158" s="267" t="s">
        <v>3300</v>
      </c>
      <c r="E158" s="267" t="s">
        <v>3162</v>
      </c>
      <c r="F158" s="267" t="s">
        <v>3681</v>
      </c>
      <c r="G158" s="267"/>
      <c r="H158" s="267" t="s">
        <v>3878</v>
      </c>
      <c r="I158" s="267" t="s">
        <v>3879</v>
      </c>
      <c r="J158" s="267" t="s">
        <v>3107</v>
      </c>
      <c r="K158" s="268" t="s">
        <v>3310</v>
      </c>
      <c r="L158" s="267" t="s">
        <v>3310</v>
      </c>
      <c r="M158" s="267" t="s">
        <v>3168</v>
      </c>
      <c r="N158" s="267" t="s">
        <v>11</v>
      </c>
      <c r="O158" s="268" t="s">
        <v>3880</v>
      </c>
    </row>
    <row r="159" spans="1:15" ht="127.5">
      <c r="A159" s="267">
        <v>1773051</v>
      </c>
      <c r="B159" s="267" t="s">
        <v>3159</v>
      </c>
      <c r="C159" s="268" t="s">
        <v>3881</v>
      </c>
      <c r="D159" s="267" t="s">
        <v>3161</v>
      </c>
      <c r="E159" s="267" t="s">
        <v>3162</v>
      </c>
      <c r="F159" s="267" t="s">
        <v>3681</v>
      </c>
      <c r="G159" s="267"/>
      <c r="H159" s="267" t="s">
        <v>3882</v>
      </c>
      <c r="I159" s="267" t="s">
        <v>3387</v>
      </c>
      <c r="J159" s="267" t="s">
        <v>3166</v>
      </c>
      <c r="K159" s="268" t="s">
        <v>3166</v>
      </c>
      <c r="L159" s="267" t="s">
        <v>3167</v>
      </c>
      <c r="M159" s="267" t="s">
        <v>3168</v>
      </c>
      <c r="N159" s="267" t="s">
        <v>11</v>
      </c>
      <c r="O159" s="268" t="s">
        <v>3883</v>
      </c>
    </row>
    <row r="160" spans="1:15" ht="76.5">
      <c r="A160" s="267">
        <v>1772783</v>
      </c>
      <c r="B160" s="267" t="s">
        <v>3159</v>
      </c>
      <c r="C160" s="268" t="s">
        <v>3884</v>
      </c>
      <c r="D160" s="267" t="s">
        <v>3161</v>
      </c>
      <c r="E160" s="267" t="s">
        <v>3162</v>
      </c>
      <c r="F160" s="267" t="s">
        <v>3681</v>
      </c>
      <c r="G160" s="267"/>
      <c r="H160" s="267" t="s">
        <v>3885</v>
      </c>
      <c r="I160" s="267" t="s">
        <v>186</v>
      </c>
      <c r="J160" s="267" t="s">
        <v>3886</v>
      </c>
      <c r="K160" s="268" t="s">
        <v>3887</v>
      </c>
      <c r="L160" s="267" t="s">
        <v>3271</v>
      </c>
      <c r="M160" s="267" t="s">
        <v>3168</v>
      </c>
      <c r="N160" s="267" t="s">
        <v>11</v>
      </c>
      <c r="O160" s="268" t="s">
        <v>3888</v>
      </c>
    </row>
    <row r="161" spans="1:15" ht="63.75">
      <c r="A161" s="267">
        <v>1772655</v>
      </c>
      <c r="B161" s="267" t="s">
        <v>3159</v>
      </c>
      <c r="C161" s="268" t="s">
        <v>3889</v>
      </c>
      <c r="D161" s="267" t="s">
        <v>3171</v>
      </c>
      <c r="E161" s="267" t="s">
        <v>3162</v>
      </c>
      <c r="F161" s="267" t="s">
        <v>3681</v>
      </c>
      <c r="G161" s="267"/>
      <c r="H161" s="267" t="s">
        <v>3890</v>
      </c>
      <c r="I161" s="267" t="s">
        <v>3891</v>
      </c>
      <c r="J161" s="267" t="s">
        <v>3892</v>
      </c>
      <c r="K161" s="268" t="s">
        <v>76</v>
      </c>
      <c r="L161" s="267" t="s">
        <v>3115</v>
      </c>
      <c r="M161" s="267" t="s">
        <v>3168</v>
      </c>
      <c r="N161" s="267" t="s">
        <v>11</v>
      </c>
      <c r="O161" s="268" t="s">
        <v>3893</v>
      </c>
    </row>
    <row r="162" spans="1:15" ht="63.75">
      <c r="A162" s="267">
        <v>1772652</v>
      </c>
      <c r="B162" s="267" t="s">
        <v>3159</v>
      </c>
      <c r="C162" s="268" t="s">
        <v>3894</v>
      </c>
      <c r="D162" s="267" t="s">
        <v>3171</v>
      </c>
      <c r="E162" s="267" t="s">
        <v>3162</v>
      </c>
      <c r="F162" s="267" t="s">
        <v>3681</v>
      </c>
      <c r="G162" s="267"/>
      <c r="H162" s="267" t="s">
        <v>3895</v>
      </c>
      <c r="I162" s="267" t="s">
        <v>3896</v>
      </c>
      <c r="J162" s="267" t="s">
        <v>2957</v>
      </c>
      <c r="K162" s="268" t="s">
        <v>76</v>
      </c>
      <c r="L162" s="267" t="s">
        <v>3115</v>
      </c>
      <c r="M162" s="267" t="s">
        <v>3168</v>
      </c>
      <c r="N162" s="267" t="s">
        <v>11</v>
      </c>
      <c r="O162" s="268" t="s">
        <v>3897</v>
      </c>
    </row>
    <row r="163" spans="1:15" ht="63.75">
      <c r="A163" s="267">
        <v>1772648</v>
      </c>
      <c r="B163" s="267" t="s">
        <v>3159</v>
      </c>
      <c r="C163" s="268" t="s">
        <v>3898</v>
      </c>
      <c r="D163" s="267" t="s">
        <v>3171</v>
      </c>
      <c r="E163" s="267" t="s">
        <v>3162</v>
      </c>
      <c r="F163" s="267" t="s">
        <v>3681</v>
      </c>
      <c r="G163" s="267"/>
      <c r="H163" s="267" t="s">
        <v>3899</v>
      </c>
      <c r="I163" s="267" t="s">
        <v>3900</v>
      </c>
      <c r="J163" s="267" t="s">
        <v>3034</v>
      </c>
      <c r="K163" s="268" t="s">
        <v>76</v>
      </c>
      <c r="L163" s="267" t="s">
        <v>3241</v>
      </c>
      <c r="M163" s="267" t="s">
        <v>3168</v>
      </c>
      <c r="N163" s="267" t="s">
        <v>11</v>
      </c>
      <c r="O163" s="268" t="s">
        <v>3901</v>
      </c>
    </row>
    <row r="164" spans="1:15" ht="76.5">
      <c r="A164" s="267">
        <v>1772638</v>
      </c>
      <c r="B164" s="267" t="s">
        <v>3159</v>
      </c>
      <c r="C164" s="268" t="s">
        <v>3902</v>
      </c>
      <c r="D164" s="267" t="s">
        <v>3161</v>
      </c>
      <c r="E164" s="267" t="s">
        <v>3162</v>
      </c>
      <c r="F164" s="267" t="s">
        <v>3681</v>
      </c>
      <c r="G164" s="267"/>
      <c r="H164" s="267" t="s">
        <v>3903</v>
      </c>
      <c r="I164" s="267" t="s">
        <v>3904</v>
      </c>
      <c r="J164" s="267" t="s">
        <v>3388</v>
      </c>
      <c r="K164" s="268" t="s">
        <v>3905</v>
      </c>
      <c r="L164" s="267" t="s">
        <v>3181</v>
      </c>
      <c r="M164" s="267" t="s">
        <v>3168</v>
      </c>
      <c r="N164" s="267" t="s">
        <v>11</v>
      </c>
      <c r="O164" s="268" t="s">
        <v>3906</v>
      </c>
    </row>
    <row r="165" spans="1:15" ht="51">
      <c r="A165" s="267">
        <v>1772496</v>
      </c>
      <c r="B165" s="267" t="s">
        <v>3159</v>
      </c>
      <c r="C165" s="268" t="s">
        <v>3907</v>
      </c>
      <c r="D165" s="267" t="s">
        <v>3161</v>
      </c>
      <c r="E165" s="267" t="s">
        <v>3162</v>
      </c>
      <c r="F165" s="267" t="s">
        <v>3681</v>
      </c>
      <c r="G165" s="267"/>
      <c r="H165" s="267" t="s">
        <v>3908</v>
      </c>
      <c r="I165" s="267" t="s">
        <v>3443</v>
      </c>
      <c r="J165" s="267" t="s">
        <v>3909</v>
      </c>
      <c r="K165" s="268" t="s">
        <v>3035</v>
      </c>
      <c r="L165" s="267" t="s">
        <v>2969</v>
      </c>
      <c r="M165" s="267" t="s">
        <v>3168</v>
      </c>
      <c r="N165" s="267" t="s">
        <v>11</v>
      </c>
      <c r="O165" s="268" t="s">
        <v>3910</v>
      </c>
    </row>
    <row r="166" spans="1:15" ht="76.5">
      <c r="A166" s="267">
        <v>1772494</v>
      </c>
      <c r="B166" s="267" t="s">
        <v>3159</v>
      </c>
      <c r="C166" s="268" t="s">
        <v>3911</v>
      </c>
      <c r="D166" s="267" t="s">
        <v>3171</v>
      </c>
      <c r="E166" s="267" t="s">
        <v>3162</v>
      </c>
      <c r="F166" s="267" t="s">
        <v>3681</v>
      </c>
      <c r="G166" s="267"/>
      <c r="H166" s="267" t="s">
        <v>3912</v>
      </c>
      <c r="I166" s="267" t="s">
        <v>3632</v>
      </c>
      <c r="J166" s="267" t="s">
        <v>3107</v>
      </c>
      <c r="K166" s="268" t="s">
        <v>3913</v>
      </c>
      <c r="L166" s="267" t="s">
        <v>2971</v>
      </c>
      <c r="M166" s="267" t="s">
        <v>3168</v>
      </c>
      <c r="N166" s="267" t="s">
        <v>11</v>
      </c>
      <c r="O166" s="268" t="s">
        <v>3914</v>
      </c>
    </row>
    <row r="167" spans="1:15" ht="76.5">
      <c r="A167" s="267">
        <v>1772348</v>
      </c>
      <c r="B167" s="267" t="s">
        <v>3159</v>
      </c>
      <c r="C167" s="268" t="s">
        <v>3915</v>
      </c>
      <c r="D167" s="267" t="s">
        <v>3300</v>
      </c>
      <c r="E167" s="267" t="s">
        <v>3162</v>
      </c>
      <c r="F167" s="267" t="s">
        <v>3681</v>
      </c>
      <c r="G167" s="267"/>
      <c r="H167" s="267" t="s">
        <v>3916</v>
      </c>
      <c r="I167" s="267" t="s">
        <v>3917</v>
      </c>
      <c r="J167" s="267" t="s">
        <v>3107</v>
      </c>
      <c r="K167" s="268" t="s">
        <v>3918</v>
      </c>
      <c r="L167" s="267" t="s">
        <v>3241</v>
      </c>
      <c r="M167" s="267" t="s">
        <v>3168</v>
      </c>
      <c r="N167" s="267" t="s">
        <v>11</v>
      </c>
      <c r="O167" s="268" t="s">
        <v>3919</v>
      </c>
    </row>
    <row r="168" spans="1:15" ht="76.5">
      <c r="A168" s="267">
        <v>1772347</v>
      </c>
      <c r="B168" s="267" t="s">
        <v>3159</v>
      </c>
      <c r="C168" s="268" t="s">
        <v>3920</v>
      </c>
      <c r="D168" s="267" t="s">
        <v>3300</v>
      </c>
      <c r="E168" s="267" t="s">
        <v>3162</v>
      </c>
      <c r="F168" s="267" t="s">
        <v>3681</v>
      </c>
      <c r="G168" s="267"/>
      <c r="H168" s="267" t="s">
        <v>3921</v>
      </c>
      <c r="I168" s="267" t="s">
        <v>3922</v>
      </c>
      <c r="J168" s="267" t="s">
        <v>3107</v>
      </c>
      <c r="K168" s="268" t="s">
        <v>3923</v>
      </c>
      <c r="L168" s="267" t="s">
        <v>3241</v>
      </c>
      <c r="M168" s="267" t="s">
        <v>3168</v>
      </c>
      <c r="N168" s="267" t="s">
        <v>11</v>
      </c>
      <c r="O168" s="268" t="s">
        <v>3924</v>
      </c>
    </row>
    <row r="169" spans="1:15" ht="63.75">
      <c r="A169" s="267">
        <v>1772340</v>
      </c>
      <c r="B169" s="267" t="s">
        <v>3159</v>
      </c>
      <c r="C169" s="268" t="s">
        <v>3925</v>
      </c>
      <c r="D169" s="267" t="s">
        <v>3300</v>
      </c>
      <c r="E169" s="267" t="s">
        <v>3162</v>
      </c>
      <c r="F169" s="267" t="s">
        <v>3681</v>
      </c>
      <c r="G169" s="267"/>
      <c r="H169" s="267" t="s">
        <v>3926</v>
      </c>
      <c r="I169" s="267" t="s">
        <v>3927</v>
      </c>
      <c r="J169" s="267" t="s">
        <v>2957</v>
      </c>
      <c r="K169" s="268" t="s">
        <v>2691</v>
      </c>
      <c r="L169" s="267" t="s">
        <v>3649</v>
      </c>
      <c r="M169" s="267" t="s">
        <v>3168</v>
      </c>
      <c r="N169" s="267" t="s">
        <v>11</v>
      </c>
      <c r="O169" s="268" t="s">
        <v>3928</v>
      </c>
    </row>
    <row r="170" spans="1:15" ht="76.5">
      <c r="A170" s="267">
        <v>1772335</v>
      </c>
      <c r="B170" s="267" t="s">
        <v>3159</v>
      </c>
      <c r="C170" s="268" t="s">
        <v>3929</v>
      </c>
      <c r="D170" s="267" t="s">
        <v>3300</v>
      </c>
      <c r="E170" s="267" t="s">
        <v>3162</v>
      </c>
      <c r="F170" s="267" t="s">
        <v>3681</v>
      </c>
      <c r="G170" s="267"/>
      <c r="H170" s="267" t="s">
        <v>3930</v>
      </c>
      <c r="I170" s="267" t="s">
        <v>3931</v>
      </c>
      <c r="J170" s="267" t="s">
        <v>3107</v>
      </c>
      <c r="K170" s="268" t="s">
        <v>3932</v>
      </c>
      <c r="L170" s="267" t="s">
        <v>3241</v>
      </c>
      <c r="M170" s="267" t="s">
        <v>3168</v>
      </c>
      <c r="N170" s="267" t="s">
        <v>11</v>
      </c>
      <c r="O170" s="268" t="s">
        <v>3933</v>
      </c>
    </row>
    <row r="171" spans="1:15" ht="63.75">
      <c r="A171" s="267">
        <v>1772334</v>
      </c>
      <c r="B171" s="267" t="s">
        <v>3159</v>
      </c>
      <c r="C171" s="268" t="s">
        <v>3934</v>
      </c>
      <c r="D171" s="267" t="s">
        <v>3935</v>
      </c>
      <c r="E171" s="267" t="s">
        <v>3162</v>
      </c>
      <c r="F171" s="267" t="s">
        <v>3681</v>
      </c>
      <c r="G171" s="267"/>
      <c r="H171" s="267" t="s">
        <v>3936</v>
      </c>
      <c r="I171" s="267" t="s">
        <v>3937</v>
      </c>
      <c r="J171" s="267" t="s">
        <v>3107</v>
      </c>
      <c r="K171" s="268" t="s">
        <v>3938</v>
      </c>
      <c r="L171" s="267" t="s">
        <v>3241</v>
      </c>
      <c r="M171" s="267" t="s">
        <v>3168</v>
      </c>
      <c r="N171" s="267" t="s">
        <v>11</v>
      </c>
      <c r="O171" s="268" t="s">
        <v>3939</v>
      </c>
    </row>
    <row r="172" spans="1:15" ht="63.75">
      <c r="A172" s="267">
        <v>1772330</v>
      </c>
      <c r="B172" s="267" t="s">
        <v>3159</v>
      </c>
      <c r="C172" s="268" t="s">
        <v>3940</v>
      </c>
      <c r="D172" s="267" t="s">
        <v>3300</v>
      </c>
      <c r="E172" s="267" t="s">
        <v>3162</v>
      </c>
      <c r="F172" s="267" t="s">
        <v>3681</v>
      </c>
      <c r="G172" s="267"/>
      <c r="H172" s="267" t="s">
        <v>3941</v>
      </c>
      <c r="I172" s="267" t="s">
        <v>3942</v>
      </c>
      <c r="J172" s="267" t="s">
        <v>2957</v>
      </c>
      <c r="K172" s="268" t="s">
        <v>3918</v>
      </c>
      <c r="L172" s="267" t="s">
        <v>3241</v>
      </c>
      <c r="M172" s="267" t="s">
        <v>3168</v>
      </c>
      <c r="N172" s="267" t="s">
        <v>11</v>
      </c>
      <c r="O172" s="268" t="s">
        <v>3943</v>
      </c>
    </row>
    <row r="173" spans="1:15" ht="102">
      <c r="A173" s="267">
        <v>1772328</v>
      </c>
      <c r="B173" s="267" t="s">
        <v>3159</v>
      </c>
      <c r="C173" s="268" t="s">
        <v>3944</v>
      </c>
      <c r="D173" s="267" t="s">
        <v>3300</v>
      </c>
      <c r="E173" s="267" t="s">
        <v>3162</v>
      </c>
      <c r="F173" s="267" t="s">
        <v>3681</v>
      </c>
      <c r="G173" s="267"/>
      <c r="H173" s="267" t="s">
        <v>3945</v>
      </c>
      <c r="I173" s="267" t="s">
        <v>3946</v>
      </c>
      <c r="J173" s="267" t="s">
        <v>3388</v>
      </c>
      <c r="K173" s="268" t="s">
        <v>3310</v>
      </c>
      <c r="L173" s="267" t="s">
        <v>3310</v>
      </c>
      <c r="M173" s="267" t="s">
        <v>3168</v>
      </c>
      <c r="N173" s="267" t="s">
        <v>11</v>
      </c>
      <c r="O173" s="268" t="s">
        <v>3947</v>
      </c>
    </row>
    <row r="174" spans="1:15" ht="63.75">
      <c r="A174" s="267">
        <v>1772315</v>
      </c>
      <c r="B174" s="267" t="s">
        <v>3159</v>
      </c>
      <c r="C174" s="268" t="s">
        <v>3948</v>
      </c>
      <c r="D174" s="267" t="s">
        <v>3300</v>
      </c>
      <c r="E174" s="267" t="s">
        <v>3162</v>
      </c>
      <c r="F174" s="267" t="s">
        <v>3681</v>
      </c>
      <c r="G174" s="267"/>
      <c r="H174" s="267" t="s">
        <v>3949</v>
      </c>
      <c r="I174" s="267" t="s">
        <v>3950</v>
      </c>
      <c r="J174" s="267" t="s">
        <v>2963</v>
      </c>
      <c r="K174" s="268" t="s">
        <v>3951</v>
      </c>
      <c r="L174" s="267" t="s">
        <v>3241</v>
      </c>
      <c r="M174" s="267" t="s">
        <v>3168</v>
      </c>
      <c r="N174" s="267" t="s">
        <v>11</v>
      </c>
      <c r="O174" s="268" t="s">
        <v>3952</v>
      </c>
    </row>
    <row r="175" spans="1:15" ht="63.75">
      <c r="A175" s="267">
        <v>1772264</v>
      </c>
      <c r="B175" s="267" t="s">
        <v>3159</v>
      </c>
      <c r="C175" s="268" t="s">
        <v>3953</v>
      </c>
      <c r="D175" s="267" t="s">
        <v>3161</v>
      </c>
      <c r="E175" s="267" t="s">
        <v>3162</v>
      </c>
      <c r="F175" s="267" t="s">
        <v>3681</v>
      </c>
      <c r="G175" s="267"/>
      <c r="H175" s="267" t="s">
        <v>3954</v>
      </c>
      <c r="I175" s="267" t="s">
        <v>3955</v>
      </c>
      <c r="J175" s="267" t="s">
        <v>3956</v>
      </c>
      <c r="K175" s="268" t="s">
        <v>3957</v>
      </c>
      <c r="L175" s="267" t="s">
        <v>3579</v>
      </c>
      <c r="M175" s="267" t="s">
        <v>3958</v>
      </c>
      <c r="N175" s="267" t="s">
        <v>11</v>
      </c>
      <c r="O175" s="268" t="s">
        <v>3959</v>
      </c>
    </row>
    <row r="176" spans="1:15" ht="102">
      <c r="A176" s="267">
        <v>1772252</v>
      </c>
      <c r="B176" s="267" t="s">
        <v>3159</v>
      </c>
      <c r="C176" s="268" t="s">
        <v>3960</v>
      </c>
      <c r="D176" s="267" t="s">
        <v>3161</v>
      </c>
      <c r="E176" s="267" t="s">
        <v>3162</v>
      </c>
      <c r="F176" s="267" t="s">
        <v>3681</v>
      </c>
      <c r="G176" s="267"/>
      <c r="H176" s="267" t="s">
        <v>3961</v>
      </c>
      <c r="I176" s="267" t="s">
        <v>3962</v>
      </c>
      <c r="J176" s="267" t="s">
        <v>2964</v>
      </c>
      <c r="K176" s="268" t="s">
        <v>3963</v>
      </c>
      <c r="L176" s="267" t="s">
        <v>3181</v>
      </c>
      <c r="M176" s="267" t="s">
        <v>3168</v>
      </c>
      <c r="N176" s="267" t="s">
        <v>11</v>
      </c>
      <c r="O176" s="268" t="s">
        <v>3964</v>
      </c>
    </row>
    <row r="177" spans="1:15" ht="51">
      <c r="A177" s="267">
        <v>1772245</v>
      </c>
      <c r="B177" s="267" t="s">
        <v>3159</v>
      </c>
      <c r="C177" s="268" t="s">
        <v>3965</v>
      </c>
      <c r="D177" s="267" t="s">
        <v>3161</v>
      </c>
      <c r="E177" s="267" t="s">
        <v>3162</v>
      </c>
      <c r="F177" s="267" t="s">
        <v>3681</v>
      </c>
      <c r="G177" s="267"/>
      <c r="H177" s="267" t="s">
        <v>3966</v>
      </c>
      <c r="I177" s="267" t="s">
        <v>3967</v>
      </c>
      <c r="J177" s="267" t="s">
        <v>3107</v>
      </c>
      <c r="K177" s="268" t="s">
        <v>3968</v>
      </c>
      <c r="L177" s="267" t="s">
        <v>3969</v>
      </c>
      <c r="M177" s="267" t="s">
        <v>3168</v>
      </c>
      <c r="N177" s="267" t="s">
        <v>11</v>
      </c>
      <c r="O177" s="268" t="s">
        <v>3970</v>
      </c>
    </row>
    <row r="178" spans="1:15" ht="204">
      <c r="A178" s="267">
        <v>1772207</v>
      </c>
      <c r="B178" s="267" t="s">
        <v>3159</v>
      </c>
      <c r="C178" s="268" t="s">
        <v>3971</v>
      </c>
      <c r="D178" s="267" t="s">
        <v>3300</v>
      </c>
      <c r="E178" s="267" t="s">
        <v>3162</v>
      </c>
      <c r="F178" s="267" t="s">
        <v>3681</v>
      </c>
      <c r="G178" s="267"/>
      <c r="H178" s="267" t="s">
        <v>3972</v>
      </c>
      <c r="I178" s="267" t="s">
        <v>3973</v>
      </c>
      <c r="J178" s="267" t="s">
        <v>3775</v>
      </c>
      <c r="K178" s="268" t="s">
        <v>3310</v>
      </c>
      <c r="L178" s="267" t="s">
        <v>3189</v>
      </c>
      <c r="M178" s="267" t="s">
        <v>3168</v>
      </c>
      <c r="N178" s="267" t="s">
        <v>11</v>
      </c>
      <c r="O178" s="268" t="s">
        <v>3974</v>
      </c>
    </row>
    <row r="179" spans="1:15" ht="89.25">
      <c r="A179" s="267">
        <v>1772196</v>
      </c>
      <c r="B179" s="267" t="s">
        <v>3159</v>
      </c>
      <c r="C179" s="268" t="s">
        <v>3975</v>
      </c>
      <c r="D179" s="267" t="s">
        <v>3300</v>
      </c>
      <c r="E179" s="267" t="s">
        <v>3162</v>
      </c>
      <c r="F179" s="267" t="s">
        <v>3681</v>
      </c>
      <c r="G179" s="267"/>
      <c r="H179" s="267" t="s">
        <v>3976</v>
      </c>
      <c r="I179" s="267" t="s">
        <v>3310</v>
      </c>
      <c r="J179" s="267" t="s">
        <v>2957</v>
      </c>
      <c r="K179" s="268" t="s">
        <v>3977</v>
      </c>
      <c r="L179" s="267" t="s">
        <v>3649</v>
      </c>
      <c r="M179" s="267" t="s">
        <v>3168</v>
      </c>
      <c r="N179" s="267" t="s">
        <v>11</v>
      </c>
      <c r="O179" s="268" t="s">
        <v>3978</v>
      </c>
    </row>
    <row r="180" spans="1:15" ht="102">
      <c r="A180" s="267">
        <v>1772178</v>
      </c>
      <c r="B180" s="267" t="s">
        <v>3159</v>
      </c>
      <c r="C180" s="268" t="s">
        <v>3979</v>
      </c>
      <c r="D180" s="267" t="s">
        <v>3300</v>
      </c>
      <c r="E180" s="267" t="s">
        <v>3162</v>
      </c>
      <c r="F180" s="267" t="s">
        <v>3681</v>
      </c>
      <c r="G180" s="267"/>
      <c r="H180" s="267" t="s">
        <v>3980</v>
      </c>
      <c r="I180" s="267" t="s">
        <v>3981</v>
      </c>
      <c r="J180" s="267" t="s">
        <v>2963</v>
      </c>
      <c r="K180" s="268" t="s">
        <v>3310</v>
      </c>
      <c r="L180" s="267" t="s">
        <v>3189</v>
      </c>
      <c r="M180" s="267" t="s">
        <v>3168</v>
      </c>
      <c r="N180" s="267" t="s">
        <v>11</v>
      </c>
      <c r="O180" s="268" t="s">
        <v>3982</v>
      </c>
    </row>
    <row r="181" spans="1:15" ht="102">
      <c r="A181" s="267">
        <v>1772171</v>
      </c>
      <c r="B181" s="267" t="s">
        <v>3159</v>
      </c>
      <c r="C181" s="268" t="s">
        <v>3983</v>
      </c>
      <c r="D181" s="267" t="s">
        <v>3300</v>
      </c>
      <c r="E181" s="267" t="s">
        <v>3162</v>
      </c>
      <c r="F181" s="267" t="s">
        <v>3681</v>
      </c>
      <c r="G181" s="267"/>
      <c r="H181" s="267" t="s">
        <v>3984</v>
      </c>
      <c r="I181" s="267" t="s">
        <v>3985</v>
      </c>
      <c r="J181" s="267" t="s">
        <v>3107</v>
      </c>
      <c r="K181" s="268" t="s">
        <v>3310</v>
      </c>
      <c r="L181" s="267" t="s">
        <v>3310</v>
      </c>
      <c r="M181" s="267" t="s">
        <v>3168</v>
      </c>
      <c r="N181" s="267" t="s">
        <v>11</v>
      </c>
      <c r="O181" s="268" t="s">
        <v>3986</v>
      </c>
    </row>
    <row r="182" spans="1:15" ht="63.75">
      <c r="A182" s="267">
        <v>1772165</v>
      </c>
      <c r="B182" s="267" t="s">
        <v>3159</v>
      </c>
      <c r="C182" s="268" t="s">
        <v>3987</v>
      </c>
      <c r="D182" s="267" t="s">
        <v>3300</v>
      </c>
      <c r="E182" s="267" t="s">
        <v>3162</v>
      </c>
      <c r="F182" s="267" t="s">
        <v>3681</v>
      </c>
      <c r="G182" s="267"/>
      <c r="H182" s="267" t="s">
        <v>3988</v>
      </c>
      <c r="I182" s="267" t="s">
        <v>3989</v>
      </c>
      <c r="J182" s="267" t="s">
        <v>3107</v>
      </c>
      <c r="K182" s="268" t="s">
        <v>3990</v>
      </c>
      <c r="L182" s="267" t="s">
        <v>2968</v>
      </c>
      <c r="M182" s="267" t="s">
        <v>3168</v>
      </c>
      <c r="N182" s="267" t="s">
        <v>11</v>
      </c>
      <c r="O182" s="268" t="s">
        <v>3991</v>
      </c>
    </row>
    <row r="183" spans="1:15" ht="76.5">
      <c r="A183" s="267">
        <v>1772162</v>
      </c>
      <c r="B183" s="267" t="s">
        <v>3159</v>
      </c>
      <c r="C183" s="268" t="s">
        <v>3992</v>
      </c>
      <c r="D183" s="267" t="s">
        <v>3300</v>
      </c>
      <c r="E183" s="267" t="s">
        <v>3162</v>
      </c>
      <c r="F183" s="267" t="s">
        <v>3681</v>
      </c>
      <c r="G183" s="267"/>
      <c r="H183" s="267" t="s">
        <v>3993</v>
      </c>
      <c r="I183" s="267" t="s">
        <v>3994</v>
      </c>
      <c r="J183" s="267" t="s">
        <v>3107</v>
      </c>
      <c r="K183" s="268" t="s">
        <v>3995</v>
      </c>
      <c r="L183" s="267" t="s">
        <v>3649</v>
      </c>
      <c r="M183" s="267" t="s">
        <v>3168</v>
      </c>
      <c r="N183" s="267" t="s">
        <v>11</v>
      </c>
      <c r="O183" s="268" t="s">
        <v>3996</v>
      </c>
    </row>
    <row r="184" spans="1:15" ht="63.75">
      <c r="A184" s="267">
        <v>1772160</v>
      </c>
      <c r="B184" s="267" t="s">
        <v>3159</v>
      </c>
      <c r="C184" s="268" t="s">
        <v>3997</v>
      </c>
      <c r="D184" s="267" t="s">
        <v>3300</v>
      </c>
      <c r="E184" s="267" t="s">
        <v>3162</v>
      </c>
      <c r="F184" s="267" t="s">
        <v>3681</v>
      </c>
      <c r="G184" s="267"/>
      <c r="H184" s="267" t="s">
        <v>3998</v>
      </c>
      <c r="I184" s="267" t="s">
        <v>3999</v>
      </c>
      <c r="J184" s="267" t="s">
        <v>2957</v>
      </c>
      <c r="K184" s="268" t="s">
        <v>4000</v>
      </c>
      <c r="L184" s="267" t="s">
        <v>3203</v>
      </c>
      <c r="M184" s="267" t="s">
        <v>3168</v>
      </c>
      <c r="N184" s="267" t="s">
        <v>11</v>
      </c>
      <c r="O184" s="268" t="s">
        <v>4001</v>
      </c>
    </row>
    <row r="185" spans="1:15" ht="76.5">
      <c r="A185" s="267">
        <v>1772154</v>
      </c>
      <c r="B185" s="267" t="s">
        <v>3159</v>
      </c>
      <c r="C185" s="268" t="s">
        <v>4002</v>
      </c>
      <c r="D185" s="267" t="s">
        <v>3300</v>
      </c>
      <c r="E185" s="267" t="s">
        <v>3162</v>
      </c>
      <c r="F185" s="267" t="s">
        <v>3681</v>
      </c>
      <c r="G185" s="267"/>
      <c r="H185" s="267" t="s">
        <v>4003</v>
      </c>
      <c r="I185" s="267" t="s">
        <v>4004</v>
      </c>
      <c r="J185" s="267" t="s">
        <v>2957</v>
      </c>
      <c r="K185" s="268" t="s">
        <v>4005</v>
      </c>
      <c r="L185" s="267" t="s">
        <v>3203</v>
      </c>
      <c r="M185" s="267" t="s">
        <v>3168</v>
      </c>
      <c r="N185" s="267" t="s">
        <v>11</v>
      </c>
      <c r="O185" s="268" t="s">
        <v>4006</v>
      </c>
    </row>
    <row r="186" spans="1:15" ht="114.75">
      <c r="A186" s="267">
        <v>1772150</v>
      </c>
      <c r="B186" s="267" t="s">
        <v>3159</v>
      </c>
      <c r="C186" s="268" t="s">
        <v>4007</v>
      </c>
      <c r="D186" s="267" t="s">
        <v>3300</v>
      </c>
      <c r="E186" s="267" t="s">
        <v>3162</v>
      </c>
      <c r="F186" s="267" t="s">
        <v>3681</v>
      </c>
      <c r="G186" s="267"/>
      <c r="H186" s="267" t="s">
        <v>4008</v>
      </c>
      <c r="I186" s="267" t="s">
        <v>4009</v>
      </c>
      <c r="J186" s="267" t="s">
        <v>2957</v>
      </c>
      <c r="K186" s="268" t="s">
        <v>3310</v>
      </c>
      <c r="L186" s="267" t="s">
        <v>3310</v>
      </c>
      <c r="M186" s="267" t="s">
        <v>3168</v>
      </c>
      <c r="N186" s="267" t="s">
        <v>11</v>
      </c>
      <c r="O186" s="268" t="s">
        <v>4010</v>
      </c>
    </row>
    <row r="187" spans="1:15" ht="76.5">
      <c r="A187" s="267">
        <v>1772064</v>
      </c>
      <c r="B187" s="267" t="s">
        <v>3159</v>
      </c>
      <c r="C187" s="268" t="s">
        <v>4011</v>
      </c>
      <c r="D187" s="267" t="s">
        <v>3161</v>
      </c>
      <c r="E187" s="267" t="s">
        <v>3162</v>
      </c>
      <c r="F187" s="267" t="s">
        <v>3681</v>
      </c>
      <c r="G187" s="267"/>
      <c r="H187" s="267" t="s">
        <v>4012</v>
      </c>
      <c r="I187" s="267" t="s">
        <v>4013</v>
      </c>
      <c r="J187" s="267" t="s">
        <v>3382</v>
      </c>
      <c r="K187" s="268" t="s">
        <v>4014</v>
      </c>
      <c r="L187" s="267" t="s">
        <v>3241</v>
      </c>
      <c r="M187" s="267" t="s">
        <v>3168</v>
      </c>
      <c r="N187" s="267" t="s">
        <v>11</v>
      </c>
      <c r="O187" s="268" t="s">
        <v>4015</v>
      </c>
    </row>
    <row r="188" spans="1:15" ht="63.75">
      <c r="A188" s="267">
        <v>1771960</v>
      </c>
      <c r="B188" s="267" t="s">
        <v>3159</v>
      </c>
      <c r="C188" s="268" t="s">
        <v>4016</v>
      </c>
      <c r="D188" s="267" t="s">
        <v>3300</v>
      </c>
      <c r="E188" s="267" t="s">
        <v>3162</v>
      </c>
      <c r="F188" s="267" t="s">
        <v>3681</v>
      </c>
      <c r="G188" s="267"/>
      <c r="H188" s="267" t="s">
        <v>4017</v>
      </c>
      <c r="I188" s="267" t="s">
        <v>4018</v>
      </c>
      <c r="J188" s="267" t="s">
        <v>3388</v>
      </c>
      <c r="K188" s="268" t="s">
        <v>4019</v>
      </c>
      <c r="L188" s="267" t="s">
        <v>3241</v>
      </c>
      <c r="M188" s="267" t="s">
        <v>3168</v>
      </c>
      <c r="N188" s="267" t="s">
        <v>11</v>
      </c>
      <c r="O188" s="268" t="s">
        <v>4020</v>
      </c>
    </row>
    <row r="189" spans="1:15" ht="63.75">
      <c r="A189" s="267">
        <v>1771939</v>
      </c>
      <c r="B189" s="267" t="s">
        <v>3159</v>
      </c>
      <c r="C189" s="268" t="s">
        <v>4021</v>
      </c>
      <c r="D189" s="267" t="s">
        <v>3300</v>
      </c>
      <c r="E189" s="267" t="s">
        <v>3162</v>
      </c>
      <c r="F189" s="267" t="s">
        <v>3681</v>
      </c>
      <c r="G189" s="267"/>
      <c r="H189" s="267" t="s">
        <v>4022</v>
      </c>
      <c r="I189" s="267" t="s">
        <v>4023</v>
      </c>
      <c r="J189" s="267" t="s">
        <v>3107</v>
      </c>
      <c r="K189" s="268" t="s">
        <v>4024</v>
      </c>
      <c r="L189" s="267" t="s">
        <v>2971</v>
      </c>
      <c r="M189" s="267" t="s">
        <v>3168</v>
      </c>
      <c r="N189" s="267" t="s">
        <v>11</v>
      </c>
      <c r="O189" s="268" t="s">
        <v>4025</v>
      </c>
    </row>
    <row r="190" spans="1:15" ht="63.75">
      <c r="A190" s="267">
        <v>1771926</v>
      </c>
      <c r="B190" s="267" t="s">
        <v>3159</v>
      </c>
      <c r="C190" s="268" t="s">
        <v>4026</v>
      </c>
      <c r="D190" s="267" t="s">
        <v>3171</v>
      </c>
      <c r="E190" s="267" t="s">
        <v>3162</v>
      </c>
      <c r="F190" s="267" t="s">
        <v>3681</v>
      </c>
      <c r="G190" s="267"/>
      <c r="H190" s="267" t="s">
        <v>4027</v>
      </c>
      <c r="I190" s="267" t="s">
        <v>4028</v>
      </c>
      <c r="J190" s="267" t="s">
        <v>3107</v>
      </c>
      <c r="K190" s="268" t="s">
        <v>76</v>
      </c>
      <c r="L190" s="267" t="s">
        <v>3228</v>
      </c>
      <c r="M190" s="267" t="s">
        <v>3168</v>
      </c>
      <c r="N190" s="267" t="s">
        <v>11</v>
      </c>
      <c r="O190" s="268" t="s">
        <v>4029</v>
      </c>
    </row>
    <row r="191" spans="1:15" ht="140.25">
      <c r="A191" s="267">
        <v>1771906</v>
      </c>
      <c r="B191" s="267" t="s">
        <v>3159</v>
      </c>
      <c r="C191" s="268" t="s">
        <v>3758</v>
      </c>
      <c r="D191" s="267" t="s">
        <v>3300</v>
      </c>
      <c r="E191" s="267" t="s">
        <v>3162</v>
      </c>
      <c r="F191" s="267" t="s">
        <v>3681</v>
      </c>
      <c r="G191" s="267"/>
      <c r="H191" s="267" t="s">
        <v>4030</v>
      </c>
      <c r="I191" s="267" t="s">
        <v>3760</v>
      </c>
      <c r="J191" s="267" t="s">
        <v>3107</v>
      </c>
      <c r="K191" s="268" t="s">
        <v>4031</v>
      </c>
      <c r="L191" s="267" t="s">
        <v>4032</v>
      </c>
      <c r="M191" s="267" t="s">
        <v>3168</v>
      </c>
      <c r="N191" s="267" t="s">
        <v>11</v>
      </c>
      <c r="O191" s="268" t="s">
        <v>4033</v>
      </c>
    </row>
    <row r="192" spans="1:15" ht="63.75">
      <c r="A192" s="267">
        <v>1771847</v>
      </c>
      <c r="B192" s="267" t="s">
        <v>3159</v>
      </c>
      <c r="C192" s="268" t="s">
        <v>4034</v>
      </c>
      <c r="D192" s="267" t="s">
        <v>3300</v>
      </c>
      <c r="E192" s="267" t="s">
        <v>3162</v>
      </c>
      <c r="F192" s="267" t="s">
        <v>3681</v>
      </c>
      <c r="G192" s="267"/>
      <c r="H192" s="267" t="s">
        <v>4035</v>
      </c>
      <c r="I192" s="267" t="s">
        <v>4036</v>
      </c>
      <c r="J192" s="267" t="s">
        <v>3107</v>
      </c>
      <c r="K192" s="268" t="s">
        <v>4037</v>
      </c>
      <c r="L192" s="267" t="s">
        <v>2971</v>
      </c>
      <c r="M192" s="267" t="s">
        <v>3168</v>
      </c>
      <c r="N192" s="267" t="s">
        <v>11</v>
      </c>
      <c r="O192" s="268" t="s">
        <v>4038</v>
      </c>
    </row>
    <row r="193" spans="1:15" ht="89.25">
      <c r="A193" s="267">
        <v>1771842</v>
      </c>
      <c r="B193" s="267" t="s">
        <v>3159</v>
      </c>
      <c r="C193" s="268" t="s">
        <v>4039</v>
      </c>
      <c r="D193" s="267" t="s">
        <v>3300</v>
      </c>
      <c r="E193" s="267" t="s">
        <v>3162</v>
      </c>
      <c r="F193" s="267" t="s">
        <v>3681</v>
      </c>
      <c r="G193" s="267"/>
      <c r="H193" s="267" t="s">
        <v>4040</v>
      </c>
      <c r="I193" s="267" t="s">
        <v>4041</v>
      </c>
      <c r="J193" s="267" t="s">
        <v>3107</v>
      </c>
      <c r="K193" s="268" t="s">
        <v>3310</v>
      </c>
      <c r="L193" s="267" t="s">
        <v>3310</v>
      </c>
      <c r="M193" s="267" t="s">
        <v>3168</v>
      </c>
      <c r="N193" s="267" t="s">
        <v>11</v>
      </c>
      <c r="O193" s="268" t="s">
        <v>4042</v>
      </c>
    </row>
    <row r="194" spans="1:15" ht="89.25">
      <c r="A194" s="267">
        <v>1771835</v>
      </c>
      <c r="B194" s="267" t="s">
        <v>3159</v>
      </c>
      <c r="C194" s="268" t="s">
        <v>4043</v>
      </c>
      <c r="D194" s="267" t="s">
        <v>3300</v>
      </c>
      <c r="E194" s="267" t="s">
        <v>3162</v>
      </c>
      <c r="F194" s="267" t="s">
        <v>3681</v>
      </c>
      <c r="G194" s="267"/>
      <c r="H194" s="267" t="s">
        <v>4044</v>
      </c>
      <c r="I194" s="267" t="s">
        <v>4045</v>
      </c>
      <c r="J194" s="267" t="s">
        <v>3107</v>
      </c>
      <c r="K194" s="268" t="s">
        <v>3310</v>
      </c>
      <c r="L194" s="267" t="s">
        <v>3310</v>
      </c>
      <c r="M194" s="267" t="s">
        <v>3168</v>
      </c>
      <c r="N194" s="267" t="s">
        <v>11</v>
      </c>
      <c r="O194" s="268" t="s">
        <v>4046</v>
      </c>
    </row>
    <row r="195" spans="1:15" ht="140.25">
      <c r="A195" s="267">
        <v>1771797</v>
      </c>
      <c r="B195" s="267" t="s">
        <v>3159</v>
      </c>
      <c r="C195" s="268" t="s">
        <v>4047</v>
      </c>
      <c r="D195" s="267" t="s">
        <v>3300</v>
      </c>
      <c r="E195" s="267" t="s">
        <v>3162</v>
      </c>
      <c r="F195" s="267" t="s">
        <v>3681</v>
      </c>
      <c r="G195" s="267"/>
      <c r="H195" s="267" t="s">
        <v>4048</v>
      </c>
      <c r="I195" s="267" t="s">
        <v>4049</v>
      </c>
      <c r="J195" s="267" t="s">
        <v>3107</v>
      </c>
      <c r="K195" s="268" t="s">
        <v>3310</v>
      </c>
      <c r="L195" s="267" t="s">
        <v>3310</v>
      </c>
      <c r="M195" s="267" t="s">
        <v>3310</v>
      </c>
      <c r="N195" s="267" t="s">
        <v>11</v>
      </c>
      <c r="O195" s="268" t="s">
        <v>4050</v>
      </c>
    </row>
    <row r="196" spans="1:15" ht="63.75">
      <c r="A196" s="267">
        <v>1771788</v>
      </c>
      <c r="B196" s="267" t="s">
        <v>3159</v>
      </c>
      <c r="C196" s="268" t="s">
        <v>4051</v>
      </c>
      <c r="D196" s="267" t="s">
        <v>3300</v>
      </c>
      <c r="E196" s="267" t="s">
        <v>3162</v>
      </c>
      <c r="F196" s="267" t="s">
        <v>3681</v>
      </c>
      <c r="G196" s="267"/>
      <c r="H196" s="267" t="s">
        <v>4052</v>
      </c>
      <c r="I196" s="267" t="s">
        <v>4053</v>
      </c>
      <c r="J196" s="267" t="s">
        <v>3107</v>
      </c>
      <c r="K196" s="268" t="s">
        <v>4054</v>
      </c>
      <c r="L196" s="267" t="s">
        <v>2968</v>
      </c>
      <c r="M196" s="267" t="s">
        <v>3168</v>
      </c>
      <c r="N196" s="267" t="s">
        <v>11</v>
      </c>
      <c r="O196" s="268" t="s">
        <v>4055</v>
      </c>
    </row>
    <row r="197" spans="1:15" ht="89.25">
      <c r="A197" s="267">
        <v>1771758</v>
      </c>
      <c r="B197" s="267" t="s">
        <v>3159</v>
      </c>
      <c r="C197" s="268" t="s">
        <v>769</v>
      </c>
      <c r="D197" s="267" t="s">
        <v>3300</v>
      </c>
      <c r="E197" s="267" t="s">
        <v>3162</v>
      </c>
      <c r="F197" s="267" t="s">
        <v>3681</v>
      </c>
      <c r="G197" s="267"/>
      <c r="H197" s="267" t="s">
        <v>4056</v>
      </c>
      <c r="I197" s="267" t="s">
        <v>4057</v>
      </c>
      <c r="J197" s="267" t="s">
        <v>3107</v>
      </c>
      <c r="K197" s="268" t="s">
        <v>4058</v>
      </c>
      <c r="L197" s="267" t="s">
        <v>3110</v>
      </c>
      <c r="M197" s="267" t="s">
        <v>4059</v>
      </c>
      <c r="N197" s="267" t="s">
        <v>11</v>
      </c>
      <c r="O197" s="268" t="s">
        <v>4060</v>
      </c>
    </row>
    <row r="198" spans="1:15" ht="89.25">
      <c r="A198" s="267">
        <v>1771745</v>
      </c>
      <c r="B198" s="267" t="s">
        <v>3159</v>
      </c>
      <c r="C198" s="268" t="s">
        <v>4061</v>
      </c>
      <c r="D198" s="267" t="s">
        <v>3300</v>
      </c>
      <c r="E198" s="267" t="s">
        <v>3162</v>
      </c>
      <c r="F198" s="267" t="s">
        <v>3681</v>
      </c>
      <c r="G198" s="267"/>
      <c r="H198" s="267" t="s">
        <v>4062</v>
      </c>
      <c r="I198" s="267" t="s">
        <v>1736</v>
      </c>
      <c r="J198" s="267" t="s">
        <v>3107</v>
      </c>
      <c r="K198" s="268" t="s">
        <v>4063</v>
      </c>
      <c r="L198" s="267" t="s">
        <v>2971</v>
      </c>
      <c r="M198" s="267" t="s">
        <v>3168</v>
      </c>
      <c r="N198" s="267" t="s">
        <v>11</v>
      </c>
      <c r="O198" s="268" t="s">
        <v>4064</v>
      </c>
    </row>
    <row r="199" spans="1:15" ht="127.5">
      <c r="A199" s="267">
        <v>1771596</v>
      </c>
      <c r="B199" s="267" t="s">
        <v>3159</v>
      </c>
      <c r="C199" s="268" t="s">
        <v>4065</v>
      </c>
      <c r="D199" s="267" t="s">
        <v>3218</v>
      </c>
      <c r="E199" s="267" t="s">
        <v>3162</v>
      </c>
      <c r="F199" s="267" t="s">
        <v>3681</v>
      </c>
      <c r="G199" s="267"/>
      <c r="H199" s="267" t="s">
        <v>4066</v>
      </c>
      <c r="I199" s="267" t="s">
        <v>4067</v>
      </c>
      <c r="J199" s="267" t="s">
        <v>3239</v>
      </c>
      <c r="K199" s="268" t="s">
        <v>3117</v>
      </c>
      <c r="L199" s="267" t="s">
        <v>4068</v>
      </c>
      <c r="M199" s="267" t="s">
        <v>3168</v>
      </c>
      <c r="N199" s="267" t="s">
        <v>11</v>
      </c>
      <c r="O199" s="268" t="s">
        <v>4069</v>
      </c>
    </row>
    <row r="200" spans="1:15" ht="76.5">
      <c r="A200" s="267">
        <v>1771042</v>
      </c>
      <c r="B200" s="267" t="s">
        <v>3159</v>
      </c>
      <c r="C200" s="268" t="s">
        <v>4070</v>
      </c>
      <c r="D200" s="267" t="s">
        <v>3193</v>
      </c>
      <c r="E200" s="267" t="s">
        <v>3162</v>
      </c>
      <c r="F200" s="267" t="s">
        <v>3681</v>
      </c>
      <c r="G200" s="267"/>
      <c r="H200" s="267" t="s">
        <v>4071</v>
      </c>
      <c r="I200" s="267" t="s">
        <v>4072</v>
      </c>
      <c r="J200" s="267" t="s">
        <v>3107</v>
      </c>
      <c r="K200" s="268" t="s">
        <v>76</v>
      </c>
      <c r="L200" s="267" t="s">
        <v>3203</v>
      </c>
      <c r="M200" s="267" t="s">
        <v>3168</v>
      </c>
      <c r="N200" s="267" t="s">
        <v>11</v>
      </c>
      <c r="O200" s="268" t="s">
        <v>4073</v>
      </c>
    </row>
    <row r="201" spans="1:15" ht="76.5">
      <c r="A201" s="267">
        <v>1771009</v>
      </c>
      <c r="B201" s="267" t="s">
        <v>3159</v>
      </c>
      <c r="C201" s="268" t="s">
        <v>4074</v>
      </c>
      <c r="D201" s="267" t="s">
        <v>3193</v>
      </c>
      <c r="E201" s="267" t="s">
        <v>3162</v>
      </c>
      <c r="F201" s="267" t="s">
        <v>3681</v>
      </c>
      <c r="G201" s="267"/>
      <c r="H201" s="267" t="s">
        <v>4075</v>
      </c>
      <c r="I201" s="267" t="s">
        <v>4076</v>
      </c>
      <c r="J201" s="267" t="s">
        <v>3107</v>
      </c>
      <c r="K201" s="268" t="s">
        <v>76</v>
      </c>
      <c r="L201" s="267" t="s">
        <v>3203</v>
      </c>
      <c r="M201" s="267" t="s">
        <v>3168</v>
      </c>
      <c r="N201" s="267" t="s">
        <v>11</v>
      </c>
      <c r="O201" s="268" t="s">
        <v>4077</v>
      </c>
    </row>
    <row r="202" spans="1:15" ht="76.5">
      <c r="A202" s="267">
        <v>1770996</v>
      </c>
      <c r="B202" s="267" t="s">
        <v>3159</v>
      </c>
      <c r="C202" s="268" t="s">
        <v>4078</v>
      </c>
      <c r="D202" s="267" t="s">
        <v>3193</v>
      </c>
      <c r="E202" s="267" t="s">
        <v>3162</v>
      </c>
      <c r="F202" s="267" t="s">
        <v>3681</v>
      </c>
      <c r="G202" s="267"/>
      <c r="H202" s="267" t="s">
        <v>4079</v>
      </c>
      <c r="I202" s="267" t="s">
        <v>4080</v>
      </c>
      <c r="J202" s="267" t="s">
        <v>3107</v>
      </c>
      <c r="K202" s="268" t="s">
        <v>4081</v>
      </c>
      <c r="L202" s="267" t="s">
        <v>3189</v>
      </c>
      <c r="M202" s="267" t="s">
        <v>3168</v>
      </c>
      <c r="N202" s="267" t="s">
        <v>11</v>
      </c>
      <c r="O202" s="268" t="s">
        <v>4082</v>
      </c>
    </row>
    <row r="203" spans="1:15" ht="76.5">
      <c r="A203" s="267">
        <v>1770972</v>
      </c>
      <c r="B203" s="267" t="s">
        <v>3159</v>
      </c>
      <c r="C203" s="268" t="s">
        <v>4083</v>
      </c>
      <c r="D203" s="267" t="s">
        <v>3193</v>
      </c>
      <c r="E203" s="267" t="s">
        <v>3162</v>
      </c>
      <c r="F203" s="267" t="s">
        <v>3681</v>
      </c>
      <c r="G203" s="267"/>
      <c r="H203" s="267" t="s">
        <v>4084</v>
      </c>
      <c r="I203" s="267" t="s">
        <v>4085</v>
      </c>
      <c r="J203" s="267" t="s">
        <v>3107</v>
      </c>
      <c r="K203" s="268" t="s">
        <v>76</v>
      </c>
      <c r="L203" s="267" t="s">
        <v>3203</v>
      </c>
      <c r="M203" s="267" t="s">
        <v>3168</v>
      </c>
      <c r="N203" s="267" t="s">
        <v>11</v>
      </c>
      <c r="O203" s="268" t="s">
        <v>4086</v>
      </c>
    </row>
    <row r="204" spans="1:15" ht="63.75">
      <c r="A204" s="267">
        <v>1770810</v>
      </c>
      <c r="B204" s="267" t="s">
        <v>3159</v>
      </c>
      <c r="C204" s="268" t="s">
        <v>4087</v>
      </c>
      <c r="D204" s="267" t="s">
        <v>3161</v>
      </c>
      <c r="E204" s="267" t="s">
        <v>3162</v>
      </c>
      <c r="F204" s="267" t="s">
        <v>3681</v>
      </c>
      <c r="G204" s="267"/>
      <c r="H204" s="267" t="s">
        <v>4088</v>
      </c>
      <c r="I204" s="267" t="s">
        <v>4089</v>
      </c>
      <c r="J204" s="267" t="s">
        <v>3107</v>
      </c>
      <c r="K204" s="268" t="s">
        <v>4090</v>
      </c>
      <c r="L204" s="267" t="s">
        <v>4091</v>
      </c>
      <c r="M204" s="267" t="s">
        <v>3168</v>
      </c>
      <c r="N204" s="267" t="s">
        <v>11</v>
      </c>
      <c r="O204" s="268" t="s">
        <v>4092</v>
      </c>
    </row>
    <row r="205" spans="1:15" ht="76.5">
      <c r="A205" s="267">
        <v>1770724</v>
      </c>
      <c r="B205" s="267" t="s">
        <v>3159</v>
      </c>
      <c r="C205" s="268" t="s">
        <v>4093</v>
      </c>
      <c r="D205" s="267" t="s">
        <v>3193</v>
      </c>
      <c r="E205" s="267" t="s">
        <v>3162</v>
      </c>
      <c r="F205" s="267" t="s">
        <v>3681</v>
      </c>
      <c r="G205" s="267"/>
      <c r="H205" s="267" t="s">
        <v>4094</v>
      </c>
      <c r="I205" s="267" t="s">
        <v>4095</v>
      </c>
      <c r="J205" s="267" t="s">
        <v>3107</v>
      </c>
      <c r="K205" s="268" t="s">
        <v>76</v>
      </c>
      <c r="L205" s="267" t="s">
        <v>3546</v>
      </c>
      <c r="M205" s="267" t="s">
        <v>3168</v>
      </c>
      <c r="N205" s="267" t="s">
        <v>11</v>
      </c>
      <c r="O205" s="268" t="s">
        <v>4096</v>
      </c>
    </row>
    <row r="206" spans="1:15" ht="76.5">
      <c r="A206" s="267">
        <v>1770700</v>
      </c>
      <c r="B206" s="267" t="s">
        <v>3159</v>
      </c>
      <c r="C206" s="268" t="s">
        <v>4097</v>
      </c>
      <c r="D206" s="267" t="s">
        <v>3193</v>
      </c>
      <c r="E206" s="267" t="s">
        <v>3162</v>
      </c>
      <c r="F206" s="267" t="s">
        <v>3681</v>
      </c>
      <c r="G206" s="267"/>
      <c r="H206" s="267" t="s">
        <v>4098</v>
      </c>
      <c r="I206" s="267" t="s">
        <v>4099</v>
      </c>
      <c r="J206" s="267" t="s">
        <v>3107</v>
      </c>
      <c r="K206" s="268" t="s">
        <v>76</v>
      </c>
      <c r="L206" s="267" t="s">
        <v>2971</v>
      </c>
      <c r="M206" s="267" t="s">
        <v>3168</v>
      </c>
      <c r="N206" s="267" t="s">
        <v>11</v>
      </c>
      <c r="O206" s="268" t="s">
        <v>4100</v>
      </c>
    </row>
    <row r="207" spans="1:15" ht="76.5">
      <c r="A207" s="267">
        <v>1770652</v>
      </c>
      <c r="B207" s="267" t="s">
        <v>3159</v>
      </c>
      <c r="C207" s="268" t="s">
        <v>4101</v>
      </c>
      <c r="D207" s="267" t="s">
        <v>3193</v>
      </c>
      <c r="E207" s="267" t="s">
        <v>3162</v>
      </c>
      <c r="F207" s="267" t="s">
        <v>3681</v>
      </c>
      <c r="G207" s="267"/>
      <c r="H207" s="267" t="s">
        <v>4102</v>
      </c>
      <c r="I207" s="267" t="s">
        <v>3365</v>
      </c>
      <c r="J207" s="267" t="s">
        <v>3107</v>
      </c>
      <c r="K207" s="268" t="s">
        <v>76</v>
      </c>
      <c r="L207" s="267" t="s">
        <v>2970</v>
      </c>
      <c r="M207" s="267" t="s">
        <v>3168</v>
      </c>
      <c r="N207" s="267" t="s">
        <v>11</v>
      </c>
      <c r="O207" s="268" t="s">
        <v>4103</v>
      </c>
    </row>
    <row r="208" spans="1:15" ht="76.5">
      <c r="A208" s="267">
        <v>1770648</v>
      </c>
      <c r="B208" s="267" t="s">
        <v>3159</v>
      </c>
      <c r="C208" s="268" t="s">
        <v>4104</v>
      </c>
      <c r="D208" s="267" t="s">
        <v>3193</v>
      </c>
      <c r="E208" s="267" t="s">
        <v>3162</v>
      </c>
      <c r="F208" s="267" t="s">
        <v>3681</v>
      </c>
      <c r="G208" s="267"/>
      <c r="H208" s="267" t="s">
        <v>4105</v>
      </c>
      <c r="I208" s="267" t="s">
        <v>4106</v>
      </c>
      <c r="J208" s="267" t="s">
        <v>3107</v>
      </c>
      <c r="K208" s="268" t="s">
        <v>4107</v>
      </c>
      <c r="L208" s="267" t="s">
        <v>2971</v>
      </c>
      <c r="M208" s="267" t="s">
        <v>3168</v>
      </c>
      <c r="N208" s="267" t="s">
        <v>11</v>
      </c>
      <c r="O208" s="268" t="s">
        <v>4108</v>
      </c>
    </row>
    <row r="209" spans="1:15" ht="89.25">
      <c r="A209" s="267">
        <v>1770644</v>
      </c>
      <c r="B209" s="267" t="s">
        <v>3159</v>
      </c>
      <c r="C209" s="268" t="s">
        <v>4109</v>
      </c>
      <c r="D209" s="267" t="s">
        <v>3193</v>
      </c>
      <c r="E209" s="267" t="s">
        <v>3162</v>
      </c>
      <c r="F209" s="267" t="s">
        <v>3681</v>
      </c>
      <c r="G209" s="267"/>
      <c r="H209" s="267" t="s">
        <v>4110</v>
      </c>
      <c r="I209" s="267" t="s">
        <v>818</v>
      </c>
      <c r="J209" s="267" t="s">
        <v>3107</v>
      </c>
      <c r="K209" s="268" t="s">
        <v>76</v>
      </c>
      <c r="L209" s="267" t="s">
        <v>2970</v>
      </c>
      <c r="M209" s="267" t="s">
        <v>3168</v>
      </c>
      <c r="N209" s="267" t="s">
        <v>11</v>
      </c>
      <c r="O209" s="268" t="s">
        <v>4111</v>
      </c>
    </row>
    <row r="210" spans="1:15" ht="76.5">
      <c r="A210" s="267">
        <v>1770622</v>
      </c>
      <c r="B210" s="267" t="s">
        <v>3159</v>
      </c>
      <c r="C210" s="268" t="s">
        <v>4112</v>
      </c>
      <c r="D210" s="267" t="s">
        <v>3193</v>
      </c>
      <c r="E210" s="267" t="s">
        <v>3162</v>
      </c>
      <c r="F210" s="267" t="s">
        <v>3681</v>
      </c>
      <c r="G210" s="267"/>
      <c r="H210" s="267" t="s">
        <v>4113</v>
      </c>
      <c r="I210" s="267" t="s">
        <v>4114</v>
      </c>
      <c r="J210" s="267" t="s">
        <v>3107</v>
      </c>
      <c r="K210" s="268" t="s">
        <v>76</v>
      </c>
      <c r="L210" s="267" t="s">
        <v>2971</v>
      </c>
      <c r="M210" s="267" t="s">
        <v>3168</v>
      </c>
      <c r="N210" s="267" t="s">
        <v>11</v>
      </c>
      <c r="O210" s="268" t="s">
        <v>4115</v>
      </c>
    </row>
    <row r="211" spans="1:15" ht="89.25">
      <c r="A211" s="267">
        <v>1769568</v>
      </c>
      <c r="B211" s="267" t="s">
        <v>3159</v>
      </c>
      <c r="C211" s="268" t="s">
        <v>4116</v>
      </c>
      <c r="D211" s="267" t="s">
        <v>4117</v>
      </c>
      <c r="E211" s="267" t="s">
        <v>3162</v>
      </c>
      <c r="F211" s="267" t="s">
        <v>3681</v>
      </c>
      <c r="G211" s="267"/>
      <c r="H211" s="267" t="s">
        <v>4118</v>
      </c>
      <c r="I211" s="267" t="s">
        <v>4119</v>
      </c>
      <c r="J211" s="267" t="s">
        <v>2963</v>
      </c>
      <c r="K211" s="268" t="s">
        <v>4120</v>
      </c>
      <c r="L211" s="267" t="s">
        <v>3228</v>
      </c>
      <c r="M211" s="267" t="s">
        <v>3168</v>
      </c>
      <c r="N211" s="267" t="s">
        <v>4121</v>
      </c>
      <c r="O211" s="268" t="s">
        <v>4122</v>
      </c>
    </row>
    <row r="212" spans="1:15" ht="89.25">
      <c r="A212" s="267">
        <v>1769377</v>
      </c>
      <c r="B212" s="267" t="s">
        <v>3159</v>
      </c>
      <c r="C212" s="268" t="s">
        <v>4123</v>
      </c>
      <c r="D212" s="267" t="s">
        <v>4117</v>
      </c>
      <c r="E212" s="267" t="s">
        <v>3162</v>
      </c>
      <c r="F212" s="267" t="s">
        <v>3681</v>
      </c>
      <c r="G212" s="267"/>
      <c r="H212" s="267" t="s">
        <v>4124</v>
      </c>
      <c r="I212" s="267" t="s">
        <v>4125</v>
      </c>
      <c r="J212" s="267" t="s">
        <v>3388</v>
      </c>
      <c r="K212" s="268" t="s">
        <v>4126</v>
      </c>
      <c r="L212" s="267" t="s">
        <v>3241</v>
      </c>
      <c r="M212" s="267" t="s">
        <v>3168</v>
      </c>
      <c r="N212" s="267" t="s">
        <v>4121</v>
      </c>
      <c r="O212" s="268" t="s">
        <v>4127</v>
      </c>
    </row>
    <row r="213" spans="1:15" ht="63.75">
      <c r="A213" s="267">
        <v>1769185</v>
      </c>
      <c r="B213" s="267" t="s">
        <v>3159</v>
      </c>
      <c r="C213" s="268" t="s">
        <v>4128</v>
      </c>
      <c r="D213" s="267" t="s">
        <v>3171</v>
      </c>
      <c r="E213" s="267" t="s">
        <v>3162</v>
      </c>
      <c r="F213" s="267" t="s">
        <v>3681</v>
      </c>
      <c r="G213" s="267"/>
      <c r="H213" s="267" t="s">
        <v>4129</v>
      </c>
      <c r="I213" s="267" t="s">
        <v>4004</v>
      </c>
      <c r="J213" s="267" t="s">
        <v>2957</v>
      </c>
      <c r="K213" s="268" t="s">
        <v>76</v>
      </c>
      <c r="L213" s="267" t="s">
        <v>3228</v>
      </c>
      <c r="M213" s="267" t="s">
        <v>3168</v>
      </c>
      <c r="N213" s="267" t="s">
        <v>11</v>
      </c>
      <c r="O213" s="268" t="s">
        <v>4130</v>
      </c>
    </row>
    <row r="214" spans="1:15" ht="63.75">
      <c r="A214" s="267">
        <v>1769183</v>
      </c>
      <c r="B214" s="267" t="s">
        <v>3159</v>
      </c>
      <c r="C214" s="268" t="s">
        <v>4131</v>
      </c>
      <c r="D214" s="267" t="s">
        <v>3171</v>
      </c>
      <c r="E214" s="267" t="s">
        <v>3162</v>
      </c>
      <c r="F214" s="267" t="s">
        <v>3681</v>
      </c>
      <c r="G214" s="267"/>
      <c r="H214" s="267" t="s">
        <v>4132</v>
      </c>
      <c r="I214" s="267" t="s">
        <v>4133</v>
      </c>
      <c r="J214" s="267" t="s">
        <v>2957</v>
      </c>
      <c r="K214" s="268" t="s">
        <v>4134</v>
      </c>
      <c r="L214" s="267" t="s">
        <v>4135</v>
      </c>
      <c r="M214" s="267" t="s">
        <v>3168</v>
      </c>
      <c r="N214" s="267" t="s">
        <v>11</v>
      </c>
      <c r="O214" s="268" t="s">
        <v>4136</v>
      </c>
    </row>
    <row r="215" spans="1:15" ht="63.75">
      <c r="A215" s="267">
        <v>1769174</v>
      </c>
      <c r="B215" s="267" t="s">
        <v>3159</v>
      </c>
      <c r="C215" s="268" t="s">
        <v>4137</v>
      </c>
      <c r="D215" s="267" t="s">
        <v>3171</v>
      </c>
      <c r="E215" s="267" t="s">
        <v>3162</v>
      </c>
      <c r="F215" s="267" t="s">
        <v>3681</v>
      </c>
      <c r="G215" s="267"/>
      <c r="H215" s="267" t="s">
        <v>4138</v>
      </c>
      <c r="I215" s="267" t="s">
        <v>4139</v>
      </c>
      <c r="J215" s="267" t="s">
        <v>2957</v>
      </c>
      <c r="K215" s="268" t="s">
        <v>76</v>
      </c>
      <c r="L215" s="267" t="s">
        <v>3228</v>
      </c>
      <c r="M215" s="267" t="s">
        <v>3168</v>
      </c>
      <c r="N215" s="267" t="s">
        <v>11</v>
      </c>
      <c r="O215" s="268" t="s">
        <v>4140</v>
      </c>
    </row>
    <row r="216" spans="1:15" ht="102">
      <c r="A216" s="267">
        <v>1769154</v>
      </c>
      <c r="B216" s="267" t="s">
        <v>3159</v>
      </c>
      <c r="C216" s="268" t="s">
        <v>4141</v>
      </c>
      <c r="D216" s="267" t="s">
        <v>3218</v>
      </c>
      <c r="E216" s="267" t="s">
        <v>3162</v>
      </c>
      <c r="F216" s="267" t="s">
        <v>3681</v>
      </c>
      <c r="G216" s="267"/>
      <c r="H216" s="267" t="s">
        <v>4142</v>
      </c>
      <c r="I216" s="267" t="s">
        <v>4143</v>
      </c>
      <c r="J216" s="267" t="s">
        <v>3107</v>
      </c>
      <c r="K216" s="268" t="s">
        <v>4144</v>
      </c>
      <c r="L216" s="267" t="s">
        <v>3189</v>
      </c>
      <c r="M216" s="267" t="s">
        <v>3168</v>
      </c>
      <c r="N216" s="267" t="s">
        <v>11</v>
      </c>
      <c r="O216" s="268" t="s">
        <v>4145</v>
      </c>
    </row>
    <row r="217" spans="1:15" ht="63.75">
      <c r="A217" s="267">
        <v>1769145</v>
      </c>
      <c r="B217" s="267" t="s">
        <v>3159</v>
      </c>
      <c r="C217" s="268" t="s">
        <v>4146</v>
      </c>
      <c r="D217" s="267" t="s">
        <v>3171</v>
      </c>
      <c r="E217" s="267" t="s">
        <v>3162</v>
      </c>
      <c r="F217" s="267" t="s">
        <v>3681</v>
      </c>
      <c r="G217" s="267"/>
      <c r="H217" s="267" t="s">
        <v>4147</v>
      </c>
      <c r="I217" s="267" t="s">
        <v>4148</v>
      </c>
      <c r="J217" s="267" t="s">
        <v>3770</v>
      </c>
      <c r="K217" s="268" t="s">
        <v>4149</v>
      </c>
      <c r="L217" s="267" t="s">
        <v>3271</v>
      </c>
      <c r="M217" s="267" t="s">
        <v>3168</v>
      </c>
      <c r="N217" s="267" t="s">
        <v>11</v>
      </c>
      <c r="O217" s="268" t="s">
        <v>4150</v>
      </c>
    </row>
    <row r="218" spans="1:15" ht="63.75">
      <c r="A218" s="267">
        <v>1769092</v>
      </c>
      <c r="B218" s="267" t="s">
        <v>3159</v>
      </c>
      <c r="C218" s="268" t="s">
        <v>4151</v>
      </c>
      <c r="D218" s="267" t="s">
        <v>3171</v>
      </c>
      <c r="E218" s="267" t="s">
        <v>3162</v>
      </c>
      <c r="F218" s="267" t="s">
        <v>3681</v>
      </c>
      <c r="G218" s="267"/>
      <c r="H218" s="267" t="s">
        <v>4152</v>
      </c>
      <c r="I218" s="267" t="s">
        <v>4153</v>
      </c>
      <c r="J218" s="267" t="s">
        <v>3107</v>
      </c>
      <c r="K218" s="268" t="s">
        <v>76</v>
      </c>
      <c r="L218" s="267" t="s">
        <v>3112</v>
      </c>
      <c r="M218" s="267" t="s">
        <v>3168</v>
      </c>
      <c r="N218" s="267" t="s">
        <v>11</v>
      </c>
      <c r="O218" s="268" t="s">
        <v>4154</v>
      </c>
    </row>
    <row r="219" spans="1:15" ht="89.25">
      <c r="A219" s="267">
        <v>1768957</v>
      </c>
      <c r="B219" s="267" t="s">
        <v>3159</v>
      </c>
      <c r="C219" s="268" t="s">
        <v>4155</v>
      </c>
      <c r="D219" s="267" t="s">
        <v>3218</v>
      </c>
      <c r="E219" s="267" t="s">
        <v>3162</v>
      </c>
      <c r="F219" s="267" t="s">
        <v>3681</v>
      </c>
      <c r="G219" s="267"/>
      <c r="H219" s="267" t="s">
        <v>4156</v>
      </c>
      <c r="I219" s="267" t="s">
        <v>4157</v>
      </c>
      <c r="J219" s="267" t="s">
        <v>3239</v>
      </c>
      <c r="K219" s="268" t="s">
        <v>4158</v>
      </c>
      <c r="L219" s="267" t="s">
        <v>3189</v>
      </c>
      <c r="M219" s="267" t="s">
        <v>3168</v>
      </c>
      <c r="N219" s="267" t="s">
        <v>11</v>
      </c>
      <c r="O219" s="268" t="s">
        <v>4159</v>
      </c>
    </row>
    <row r="220" spans="1:15" ht="280.5">
      <c r="A220" s="267">
        <v>1768955</v>
      </c>
      <c r="B220" s="267" t="s">
        <v>3159</v>
      </c>
      <c r="C220" s="268" t="s">
        <v>4160</v>
      </c>
      <c r="D220" s="267" t="s">
        <v>3171</v>
      </c>
      <c r="E220" s="267" t="s">
        <v>3162</v>
      </c>
      <c r="F220" s="267" t="s">
        <v>3681</v>
      </c>
      <c r="G220" s="267"/>
      <c r="H220" s="267" t="s">
        <v>4161</v>
      </c>
      <c r="I220" s="267" t="s">
        <v>3251</v>
      </c>
      <c r="J220" s="267" t="s">
        <v>3107</v>
      </c>
      <c r="K220" s="268" t="s">
        <v>76</v>
      </c>
      <c r="L220" s="267" t="s">
        <v>3228</v>
      </c>
      <c r="M220" s="267" t="s">
        <v>3168</v>
      </c>
      <c r="N220" s="267" t="s">
        <v>11</v>
      </c>
      <c r="O220" s="268" t="s">
        <v>4162</v>
      </c>
    </row>
    <row r="221" spans="1:15" ht="114.75">
      <c r="A221" s="267">
        <v>1768920</v>
      </c>
      <c r="B221" s="267" t="s">
        <v>3159</v>
      </c>
      <c r="C221" s="268" t="s">
        <v>4163</v>
      </c>
      <c r="D221" s="267" t="s">
        <v>3218</v>
      </c>
      <c r="E221" s="267" t="s">
        <v>3162</v>
      </c>
      <c r="F221" s="267" t="s">
        <v>3681</v>
      </c>
      <c r="G221" s="267"/>
      <c r="H221" s="267" t="s">
        <v>4164</v>
      </c>
      <c r="I221" s="267" t="s">
        <v>4165</v>
      </c>
      <c r="J221" s="267" t="s">
        <v>2957</v>
      </c>
      <c r="K221" s="268" t="s">
        <v>4166</v>
      </c>
      <c r="L221" s="267" t="s">
        <v>3181</v>
      </c>
      <c r="M221" s="267" t="s">
        <v>3168</v>
      </c>
      <c r="N221" s="267" t="s">
        <v>11</v>
      </c>
      <c r="O221" s="268" t="s">
        <v>4167</v>
      </c>
    </row>
    <row r="222" spans="1:15" ht="114.75">
      <c r="A222" s="267">
        <v>1768908</v>
      </c>
      <c r="B222" s="267" t="s">
        <v>3159</v>
      </c>
      <c r="C222" s="268" t="s">
        <v>4168</v>
      </c>
      <c r="D222" s="267" t="s">
        <v>3218</v>
      </c>
      <c r="E222" s="267" t="s">
        <v>3162</v>
      </c>
      <c r="F222" s="267" t="s">
        <v>3681</v>
      </c>
      <c r="G222" s="267"/>
      <c r="H222" s="267" t="s">
        <v>4169</v>
      </c>
      <c r="I222" s="267" t="s">
        <v>4170</v>
      </c>
      <c r="J222" s="267" t="s">
        <v>2957</v>
      </c>
      <c r="K222" s="268" t="s">
        <v>4171</v>
      </c>
      <c r="L222" s="267" t="s">
        <v>4172</v>
      </c>
      <c r="M222" s="267" t="s">
        <v>3168</v>
      </c>
      <c r="N222" s="267" t="s">
        <v>11</v>
      </c>
      <c r="O222" s="268" t="s">
        <v>4173</v>
      </c>
    </row>
    <row r="223" spans="1:15" ht="89.25">
      <c r="A223" s="267">
        <v>1768880</v>
      </c>
      <c r="B223" s="267" t="s">
        <v>3159</v>
      </c>
      <c r="C223" s="268" t="s">
        <v>4174</v>
      </c>
      <c r="D223" s="267" t="s">
        <v>3218</v>
      </c>
      <c r="E223" s="267" t="s">
        <v>3162</v>
      </c>
      <c r="F223" s="267" t="s">
        <v>3681</v>
      </c>
      <c r="G223" s="267"/>
      <c r="H223" s="267" t="s">
        <v>4175</v>
      </c>
      <c r="I223" s="267" t="s">
        <v>4176</v>
      </c>
      <c r="J223" s="267" t="s">
        <v>2957</v>
      </c>
      <c r="K223" s="268" t="s">
        <v>3251</v>
      </c>
      <c r="L223" s="267" t="s">
        <v>3251</v>
      </c>
      <c r="M223" s="267" t="s">
        <v>3168</v>
      </c>
      <c r="N223" s="267" t="s">
        <v>11</v>
      </c>
      <c r="O223" s="268" t="s">
        <v>4177</v>
      </c>
    </row>
    <row r="224" spans="1:15" ht="89.25">
      <c r="A224" s="267">
        <v>1768816</v>
      </c>
      <c r="B224" s="267" t="s">
        <v>3159</v>
      </c>
      <c r="C224" s="268" t="s">
        <v>4178</v>
      </c>
      <c r="D224" s="267" t="s">
        <v>3218</v>
      </c>
      <c r="E224" s="267" t="s">
        <v>3162</v>
      </c>
      <c r="F224" s="267" t="s">
        <v>3681</v>
      </c>
      <c r="G224" s="267"/>
      <c r="H224" s="267" t="s">
        <v>4179</v>
      </c>
      <c r="I224" s="267" t="s">
        <v>4180</v>
      </c>
      <c r="J224" s="267" t="s">
        <v>3107</v>
      </c>
      <c r="K224" s="268" t="s">
        <v>4181</v>
      </c>
      <c r="L224" s="267" t="s">
        <v>3110</v>
      </c>
      <c r="M224" s="267" t="s">
        <v>3168</v>
      </c>
      <c r="N224" s="267" t="s">
        <v>11</v>
      </c>
      <c r="O224" s="268" t="s">
        <v>4182</v>
      </c>
    </row>
    <row r="225" spans="1:15" ht="63.75">
      <c r="A225" s="267">
        <v>1768710</v>
      </c>
      <c r="B225" s="267" t="s">
        <v>3159</v>
      </c>
      <c r="C225" s="268" t="s">
        <v>4183</v>
      </c>
      <c r="D225" s="267" t="s">
        <v>3161</v>
      </c>
      <c r="E225" s="267" t="s">
        <v>3162</v>
      </c>
      <c r="F225" s="267" t="s">
        <v>3681</v>
      </c>
      <c r="G225" s="267"/>
      <c r="H225" s="267" t="s">
        <v>4184</v>
      </c>
      <c r="I225" s="267" t="s">
        <v>4185</v>
      </c>
      <c r="J225" s="267" t="s">
        <v>3107</v>
      </c>
      <c r="K225" s="268" t="s">
        <v>4186</v>
      </c>
      <c r="L225" s="267" t="s">
        <v>3228</v>
      </c>
      <c r="M225" s="267" t="s">
        <v>3168</v>
      </c>
      <c r="N225" s="267" t="s">
        <v>11</v>
      </c>
      <c r="O225" s="268" t="s">
        <v>4187</v>
      </c>
    </row>
    <row r="226" spans="1:15" ht="63.75">
      <c r="A226" s="267">
        <v>1768705</v>
      </c>
      <c r="B226" s="267" t="s">
        <v>3159</v>
      </c>
      <c r="C226" s="268" t="s">
        <v>4188</v>
      </c>
      <c r="D226" s="267" t="s">
        <v>3161</v>
      </c>
      <c r="E226" s="267" t="s">
        <v>3162</v>
      </c>
      <c r="F226" s="267" t="s">
        <v>3681</v>
      </c>
      <c r="G226" s="267"/>
      <c r="H226" s="267" t="s">
        <v>4189</v>
      </c>
      <c r="I226" s="267" t="s">
        <v>3103</v>
      </c>
      <c r="J226" s="267" t="s">
        <v>3107</v>
      </c>
      <c r="K226" s="268" t="s">
        <v>4190</v>
      </c>
      <c r="L226" s="267" t="s">
        <v>3203</v>
      </c>
      <c r="M226" s="267" t="s">
        <v>3168</v>
      </c>
      <c r="N226" s="267" t="s">
        <v>11</v>
      </c>
      <c r="O226" s="268" t="s">
        <v>4191</v>
      </c>
    </row>
    <row r="227" spans="1:15" ht="51">
      <c r="A227" s="267">
        <v>1768621</v>
      </c>
      <c r="B227" s="267" t="s">
        <v>3159</v>
      </c>
      <c r="C227" s="268" t="s">
        <v>4192</v>
      </c>
      <c r="D227" s="267" t="s">
        <v>3161</v>
      </c>
      <c r="E227" s="267" t="s">
        <v>3162</v>
      </c>
      <c r="F227" s="267" t="s">
        <v>3681</v>
      </c>
      <c r="G227" s="267"/>
      <c r="H227" s="267" t="s">
        <v>4193</v>
      </c>
      <c r="I227" s="267" t="s">
        <v>4194</v>
      </c>
      <c r="J227" s="267" t="s">
        <v>4195</v>
      </c>
      <c r="K227" s="268" t="s">
        <v>3040</v>
      </c>
      <c r="L227" s="267" t="s">
        <v>4196</v>
      </c>
      <c r="M227" s="267" t="s">
        <v>3168</v>
      </c>
      <c r="N227" s="267" t="s">
        <v>11</v>
      </c>
      <c r="O227" s="268" t="s">
        <v>4197</v>
      </c>
    </row>
    <row r="228" spans="1:15" ht="63.75">
      <c r="A228" s="267">
        <v>1768612</v>
      </c>
      <c r="B228" s="267" t="s">
        <v>3159</v>
      </c>
      <c r="C228" s="268" t="s">
        <v>4198</v>
      </c>
      <c r="D228" s="267" t="s">
        <v>3161</v>
      </c>
      <c r="E228" s="267" t="s">
        <v>3162</v>
      </c>
      <c r="F228" s="267" t="s">
        <v>3681</v>
      </c>
      <c r="G228" s="267"/>
      <c r="H228" s="267" t="s">
        <v>4199</v>
      </c>
      <c r="I228" s="267" t="s">
        <v>4200</v>
      </c>
      <c r="J228" s="267" t="s">
        <v>2964</v>
      </c>
      <c r="K228" s="268" t="s">
        <v>4201</v>
      </c>
      <c r="L228" s="267" t="s">
        <v>4202</v>
      </c>
      <c r="M228" s="267" t="s">
        <v>3168</v>
      </c>
      <c r="N228" s="267" t="s">
        <v>11</v>
      </c>
      <c r="O228" s="268" t="s">
        <v>4203</v>
      </c>
    </row>
    <row r="229" spans="1:15" ht="63.75">
      <c r="A229" s="267">
        <v>1768602</v>
      </c>
      <c r="B229" s="267" t="s">
        <v>3159</v>
      </c>
      <c r="C229" s="268" t="s">
        <v>4204</v>
      </c>
      <c r="D229" s="267" t="s">
        <v>3161</v>
      </c>
      <c r="E229" s="267" t="s">
        <v>3162</v>
      </c>
      <c r="F229" s="267" t="s">
        <v>3681</v>
      </c>
      <c r="G229" s="267"/>
      <c r="H229" s="267" t="s">
        <v>4205</v>
      </c>
      <c r="I229" s="267" t="s">
        <v>4206</v>
      </c>
      <c r="J229" s="267" t="s">
        <v>3107</v>
      </c>
      <c r="K229" s="268" t="s">
        <v>4207</v>
      </c>
      <c r="L229" s="267" t="s">
        <v>3209</v>
      </c>
      <c r="M229" s="267" t="s">
        <v>3168</v>
      </c>
      <c r="N229" s="267" t="s">
        <v>11</v>
      </c>
      <c r="O229" s="268" t="s">
        <v>4208</v>
      </c>
    </row>
    <row r="230" spans="1:15" ht="76.5">
      <c r="A230" s="267">
        <v>1768594</v>
      </c>
      <c r="B230" s="267" t="s">
        <v>3159</v>
      </c>
      <c r="C230" s="268" t="s">
        <v>4209</v>
      </c>
      <c r="D230" s="267" t="s">
        <v>3161</v>
      </c>
      <c r="E230" s="267" t="s">
        <v>4210</v>
      </c>
      <c r="F230" s="267" t="s">
        <v>3681</v>
      </c>
      <c r="G230" s="267"/>
      <c r="H230" s="267" t="s">
        <v>4211</v>
      </c>
      <c r="I230" s="267" t="s">
        <v>2950</v>
      </c>
      <c r="J230" s="267" t="s">
        <v>3107</v>
      </c>
      <c r="K230" s="268" t="s">
        <v>3035</v>
      </c>
      <c r="L230" s="267" t="s">
        <v>2970</v>
      </c>
      <c r="M230" s="267" t="s">
        <v>3168</v>
      </c>
      <c r="N230" s="267" t="s">
        <v>11</v>
      </c>
      <c r="O230" s="268" t="s">
        <v>4212</v>
      </c>
    </row>
    <row r="231" spans="1:15" ht="76.5">
      <c r="A231" s="267">
        <v>1768593</v>
      </c>
      <c r="B231" s="267" t="s">
        <v>3159</v>
      </c>
      <c r="C231" s="268" t="s">
        <v>4213</v>
      </c>
      <c r="D231" s="267" t="s">
        <v>3171</v>
      </c>
      <c r="E231" s="267" t="s">
        <v>3162</v>
      </c>
      <c r="F231" s="267" t="s">
        <v>3681</v>
      </c>
      <c r="G231" s="267"/>
      <c r="H231" s="267" t="s">
        <v>4214</v>
      </c>
      <c r="I231" s="267" t="s">
        <v>3092</v>
      </c>
      <c r="J231" s="267" t="s">
        <v>3107</v>
      </c>
      <c r="K231" s="268" t="s">
        <v>4215</v>
      </c>
      <c r="L231" s="267" t="s">
        <v>2971</v>
      </c>
      <c r="M231" s="267" t="s">
        <v>3168</v>
      </c>
      <c r="N231" s="267" t="s">
        <v>11</v>
      </c>
      <c r="O231" s="268" t="s">
        <v>4216</v>
      </c>
    </row>
    <row r="232" spans="1:15" ht="76.5">
      <c r="A232" s="267">
        <v>1768583</v>
      </c>
      <c r="B232" s="267" t="s">
        <v>3159</v>
      </c>
      <c r="C232" s="268" t="s">
        <v>4217</v>
      </c>
      <c r="D232" s="267" t="s">
        <v>3171</v>
      </c>
      <c r="E232" s="267" t="s">
        <v>3162</v>
      </c>
      <c r="F232" s="267" t="s">
        <v>3681</v>
      </c>
      <c r="G232" s="267"/>
      <c r="H232" s="267" t="s">
        <v>4218</v>
      </c>
      <c r="I232" s="267" t="s">
        <v>4219</v>
      </c>
      <c r="J232" s="267" t="s">
        <v>4220</v>
      </c>
      <c r="K232" s="268" t="s">
        <v>76</v>
      </c>
      <c r="L232" s="267" t="s">
        <v>2971</v>
      </c>
      <c r="M232" s="267" t="s">
        <v>3168</v>
      </c>
      <c r="N232" s="267" t="s">
        <v>11</v>
      </c>
      <c r="O232" s="268" t="s">
        <v>4221</v>
      </c>
    </row>
    <row r="233" spans="1:15" ht="63.75">
      <c r="A233" s="267">
        <v>1768580</v>
      </c>
      <c r="B233" s="267" t="s">
        <v>3159</v>
      </c>
      <c r="C233" s="268" t="s">
        <v>4222</v>
      </c>
      <c r="D233" s="267" t="s">
        <v>3171</v>
      </c>
      <c r="E233" s="267" t="s">
        <v>3162</v>
      </c>
      <c r="F233" s="267" t="s">
        <v>3681</v>
      </c>
      <c r="G233" s="267"/>
      <c r="H233" s="267" t="s">
        <v>4223</v>
      </c>
      <c r="I233" s="267" t="s">
        <v>4224</v>
      </c>
      <c r="J233" s="267" t="s">
        <v>3107</v>
      </c>
      <c r="K233" s="268" t="s">
        <v>76</v>
      </c>
      <c r="L233" s="267" t="s">
        <v>3203</v>
      </c>
      <c r="M233" s="267" t="s">
        <v>3168</v>
      </c>
      <c r="N233" s="267" t="s">
        <v>11</v>
      </c>
      <c r="O233" s="268" t="s">
        <v>4225</v>
      </c>
    </row>
    <row r="234" spans="1:15" ht="63.75">
      <c r="A234" s="267">
        <v>1768566</v>
      </c>
      <c r="B234" s="267" t="s">
        <v>3159</v>
      </c>
      <c r="C234" s="268" t="s">
        <v>4226</v>
      </c>
      <c r="D234" s="267" t="s">
        <v>3171</v>
      </c>
      <c r="E234" s="267" t="s">
        <v>3162</v>
      </c>
      <c r="F234" s="267" t="s">
        <v>3681</v>
      </c>
      <c r="G234" s="267"/>
      <c r="H234" s="267" t="s">
        <v>4227</v>
      </c>
      <c r="I234" s="267" t="s">
        <v>4228</v>
      </c>
      <c r="J234" s="267" t="s">
        <v>3107</v>
      </c>
      <c r="K234" s="268" t="s">
        <v>76</v>
      </c>
      <c r="L234" s="267" t="s">
        <v>4229</v>
      </c>
      <c r="M234" s="267" t="s">
        <v>3168</v>
      </c>
      <c r="N234" s="267" t="s">
        <v>11</v>
      </c>
      <c r="O234" s="268" t="s">
        <v>4230</v>
      </c>
    </row>
    <row r="235" spans="1:15" ht="76.5">
      <c r="A235" s="267">
        <v>1768356</v>
      </c>
      <c r="B235" s="267" t="s">
        <v>3159</v>
      </c>
      <c r="C235" s="268" t="s">
        <v>4231</v>
      </c>
      <c r="D235" s="267" t="s">
        <v>3218</v>
      </c>
      <c r="E235" s="267" t="s">
        <v>3162</v>
      </c>
      <c r="F235" s="267" t="s">
        <v>3681</v>
      </c>
      <c r="G235" s="267"/>
      <c r="H235" s="267" t="s">
        <v>4232</v>
      </c>
      <c r="I235" s="267" t="s">
        <v>4233</v>
      </c>
      <c r="J235" s="267" t="s">
        <v>3239</v>
      </c>
      <c r="K235" s="268" t="s">
        <v>3251</v>
      </c>
      <c r="L235" s="267" t="s">
        <v>3251</v>
      </c>
      <c r="M235" s="267" t="s">
        <v>3168</v>
      </c>
      <c r="N235" s="267" t="s">
        <v>11</v>
      </c>
      <c r="O235" s="268" t="s">
        <v>4234</v>
      </c>
    </row>
    <row r="236" spans="1:15" ht="102">
      <c r="A236" s="267">
        <v>1768284</v>
      </c>
      <c r="B236" s="267" t="s">
        <v>3159</v>
      </c>
      <c r="C236" s="268" t="s">
        <v>4235</v>
      </c>
      <c r="D236" s="267" t="s">
        <v>3193</v>
      </c>
      <c r="E236" s="267" t="s">
        <v>3162</v>
      </c>
      <c r="F236" s="267" t="s">
        <v>3681</v>
      </c>
      <c r="G236" s="267"/>
      <c r="H236" s="267" t="s">
        <v>4236</v>
      </c>
      <c r="I236" s="267" t="s">
        <v>3238</v>
      </c>
      <c r="J236" s="267" t="s">
        <v>3107</v>
      </c>
      <c r="K236" s="268" t="s">
        <v>3251</v>
      </c>
      <c r="L236" s="267" t="s">
        <v>3251</v>
      </c>
      <c r="M236" s="267" t="s">
        <v>3168</v>
      </c>
      <c r="N236" s="267" t="s">
        <v>11</v>
      </c>
      <c r="O236" s="268" t="s">
        <v>4237</v>
      </c>
    </row>
    <row r="237" spans="1:15" ht="89.25">
      <c r="A237" s="267">
        <v>1768278</v>
      </c>
      <c r="B237" s="267" t="s">
        <v>3159</v>
      </c>
      <c r="C237" s="268" t="s">
        <v>4238</v>
      </c>
      <c r="D237" s="267" t="s">
        <v>3193</v>
      </c>
      <c r="E237" s="267" t="s">
        <v>3162</v>
      </c>
      <c r="F237" s="267" t="s">
        <v>3681</v>
      </c>
      <c r="G237" s="267"/>
      <c r="H237" s="267" t="s">
        <v>4239</v>
      </c>
      <c r="I237" s="267" t="s">
        <v>3238</v>
      </c>
      <c r="J237" s="267" t="s">
        <v>3107</v>
      </c>
      <c r="K237" s="268" t="s">
        <v>3251</v>
      </c>
      <c r="L237" s="267" t="s">
        <v>3251</v>
      </c>
      <c r="M237" s="267" t="s">
        <v>3168</v>
      </c>
      <c r="N237" s="267" t="s">
        <v>11</v>
      </c>
      <c r="O237" s="268" t="s">
        <v>4240</v>
      </c>
    </row>
    <row r="238" spans="1:15" ht="63.75">
      <c r="A238" s="267">
        <v>1768275</v>
      </c>
      <c r="B238" s="267" t="s">
        <v>3159</v>
      </c>
      <c r="C238" s="268" t="s">
        <v>4241</v>
      </c>
      <c r="D238" s="267" t="s">
        <v>3193</v>
      </c>
      <c r="E238" s="267" t="s">
        <v>3162</v>
      </c>
      <c r="F238" s="267" t="s">
        <v>3681</v>
      </c>
      <c r="G238" s="267"/>
      <c r="H238" s="267" t="s">
        <v>4242</v>
      </c>
      <c r="I238" s="267" t="s">
        <v>3238</v>
      </c>
      <c r="J238" s="267" t="s">
        <v>3107</v>
      </c>
      <c r="K238" s="268" t="s">
        <v>3528</v>
      </c>
      <c r="L238" s="267" t="s">
        <v>3241</v>
      </c>
      <c r="M238" s="267" t="s">
        <v>3168</v>
      </c>
      <c r="N238" s="267" t="s">
        <v>11</v>
      </c>
      <c r="O238" s="268" t="s">
        <v>4243</v>
      </c>
    </row>
    <row r="239" spans="1:15" ht="114.75">
      <c r="A239" s="267">
        <v>1768254</v>
      </c>
      <c r="B239" s="267" t="s">
        <v>3159</v>
      </c>
      <c r="C239" s="268" t="s">
        <v>4244</v>
      </c>
      <c r="D239" s="267" t="s">
        <v>3193</v>
      </c>
      <c r="E239" s="267" t="s">
        <v>3162</v>
      </c>
      <c r="F239" s="267" t="s">
        <v>3681</v>
      </c>
      <c r="G239" s="267"/>
      <c r="H239" s="267" t="s">
        <v>4245</v>
      </c>
      <c r="I239" s="267" t="s">
        <v>4246</v>
      </c>
      <c r="J239" s="267" t="s">
        <v>3107</v>
      </c>
      <c r="K239" s="268" t="s">
        <v>3251</v>
      </c>
      <c r="L239" s="267" t="s">
        <v>3251</v>
      </c>
      <c r="M239" s="267" t="s">
        <v>3168</v>
      </c>
      <c r="N239" s="267" t="s">
        <v>11</v>
      </c>
      <c r="O239" s="268" t="s">
        <v>4247</v>
      </c>
    </row>
    <row r="240" spans="1:15" ht="140.25">
      <c r="A240" s="267">
        <v>1768243</v>
      </c>
      <c r="B240" s="267" t="s">
        <v>3159</v>
      </c>
      <c r="C240" s="268" t="s">
        <v>4248</v>
      </c>
      <c r="D240" s="267" t="s">
        <v>3193</v>
      </c>
      <c r="E240" s="267" t="s">
        <v>3162</v>
      </c>
      <c r="F240" s="267" t="s">
        <v>3681</v>
      </c>
      <c r="G240" s="267"/>
      <c r="H240" s="267" t="s">
        <v>4249</v>
      </c>
      <c r="I240" s="267" t="s">
        <v>4250</v>
      </c>
      <c r="J240" s="267" t="s">
        <v>3107</v>
      </c>
      <c r="K240" s="268" t="s">
        <v>3251</v>
      </c>
      <c r="L240" s="267" t="s">
        <v>3251</v>
      </c>
      <c r="M240" s="267" t="s">
        <v>3168</v>
      </c>
      <c r="N240" s="267" t="s">
        <v>11</v>
      </c>
      <c r="O240" s="268" t="s">
        <v>4251</v>
      </c>
    </row>
    <row r="241" spans="1:15" ht="204">
      <c r="A241" s="267">
        <v>1768110</v>
      </c>
      <c r="B241" s="267" t="s">
        <v>3159</v>
      </c>
      <c r="C241" s="268" t="s">
        <v>4252</v>
      </c>
      <c r="D241" s="267" t="s">
        <v>3300</v>
      </c>
      <c r="E241" s="267" t="s">
        <v>3162</v>
      </c>
      <c r="F241" s="267" t="s">
        <v>3681</v>
      </c>
      <c r="G241" s="267"/>
      <c r="H241" s="267" t="s">
        <v>4253</v>
      </c>
      <c r="I241" s="267" t="s">
        <v>4254</v>
      </c>
      <c r="J241" s="267" t="s">
        <v>3107</v>
      </c>
      <c r="K241" s="268" t="s">
        <v>3310</v>
      </c>
      <c r="L241" s="267" t="s">
        <v>3310</v>
      </c>
      <c r="M241" s="267" t="s">
        <v>3168</v>
      </c>
      <c r="N241" s="267" t="s">
        <v>11</v>
      </c>
      <c r="O241" s="268" t="s">
        <v>4255</v>
      </c>
    </row>
    <row r="242" spans="1:15" ht="63.75">
      <c r="A242" s="267">
        <v>1768011</v>
      </c>
      <c r="B242" s="267" t="s">
        <v>3159</v>
      </c>
      <c r="C242" s="268" t="s">
        <v>4256</v>
      </c>
      <c r="D242" s="267" t="s">
        <v>3161</v>
      </c>
      <c r="E242" s="267" t="s">
        <v>3162</v>
      </c>
      <c r="F242" s="267" t="s">
        <v>3681</v>
      </c>
      <c r="G242" s="267"/>
      <c r="H242" s="267" t="s">
        <v>4257</v>
      </c>
      <c r="I242" s="267" t="s">
        <v>4258</v>
      </c>
      <c r="J242" s="267" t="s">
        <v>3107</v>
      </c>
      <c r="K242" s="268" t="s">
        <v>4259</v>
      </c>
      <c r="L242" s="267" t="s">
        <v>2969</v>
      </c>
      <c r="M242" s="267" t="s">
        <v>3168</v>
      </c>
      <c r="N242" s="267" t="s">
        <v>11</v>
      </c>
      <c r="O242" s="268" t="s">
        <v>4260</v>
      </c>
    </row>
    <row r="243" spans="1:15" ht="51">
      <c r="A243" s="267">
        <v>1767992</v>
      </c>
      <c r="B243" s="267" t="s">
        <v>3159</v>
      </c>
      <c r="C243" s="268" t="s">
        <v>4261</v>
      </c>
      <c r="D243" s="267" t="s">
        <v>3161</v>
      </c>
      <c r="E243" s="267" t="s">
        <v>3162</v>
      </c>
      <c r="F243" s="267" t="s">
        <v>3681</v>
      </c>
      <c r="G243" s="267"/>
      <c r="H243" s="267" t="s">
        <v>4262</v>
      </c>
      <c r="I243" s="267" t="s">
        <v>4089</v>
      </c>
      <c r="J243" s="267" t="s">
        <v>3107</v>
      </c>
      <c r="K243" s="268" t="s">
        <v>3035</v>
      </c>
      <c r="L243" s="267" t="s">
        <v>4263</v>
      </c>
      <c r="M243" s="267" t="s">
        <v>3168</v>
      </c>
      <c r="N243" s="267" t="s">
        <v>11</v>
      </c>
      <c r="O243" s="268" t="s">
        <v>4264</v>
      </c>
    </row>
    <row r="244" spans="1:15" ht="204">
      <c r="A244" s="267">
        <v>1767819</v>
      </c>
      <c r="B244" s="267" t="s">
        <v>3159</v>
      </c>
      <c r="C244" s="268" t="s">
        <v>4265</v>
      </c>
      <c r="D244" s="267" t="s">
        <v>3161</v>
      </c>
      <c r="E244" s="267" t="s">
        <v>3162</v>
      </c>
      <c r="F244" s="267" t="s">
        <v>3681</v>
      </c>
      <c r="G244" s="267"/>
      <c r="H244" s="267" t="s">
        <v>4266</v>
      </c>
      <c r="I244" s="267" t="s">
        <v>4267</v>
      </c>
      <c r="J244" s="267" t="s">
        <v>3166</v>
      </c>
      <c r="K244" s="268" t="s">
        <v>3166</v>
      </c>
      <c r="L244" s="267" t="s">
        <v>3167</v>
      </c>
      <c r="M244" s="267" t="s">
        <v>3168</v>
      </c>
      <c r="N244" s="267" t="s">
        <v>11</v>
      </c>
      <c r="O244" s="268" t="s">
        <v>4268</v>
      </c>
    </row>
    <row r="245" spans="1:15" ht="89.25">
      <c r="A245" s="267">
        <v>1767707</v>
      </c>
      <c r="B245" s="267" t="s">
        <v>3159</v>
      </c>
      <c r="C245" s="268" t="s">
        <v>4269</v>
      </c>
      <c r="D245" s="267" t="s">
        <v>3300</v>
      </c>
      <c r="E245" s="267" t="s">
        <v>3162</v>
      </c>
      <c r="F245" s="267" t="s">
        <v>3681</v>
      </c>
      <c r="G245" s="267"/>
      <c r="H245" s="267" t="s">
        <v>4270</v>
      </c>
      <c r="I245" s="267" t="s">
        <v>4271</v>
      </c>
      <c r="J245" s="267" t="s">
        <v>3107</v>
      </c>
      <c r="K245" s="268" t="s">
        <v>4272</v>
      </c>
      <c r="L245" s="267" t="s">
        <v>2971</v>
      </c>
      <c r="M245" s="267" t="s">
        <v>3168</v>
      </c>
      <c r="N245" s="267" t="s">
        <v>11</v>
      </c>
      <c r="O245" s="268" t="s">
        <v>4273</v>
      </c>
    </row>
    <row r="246" spans="1:15" ht="114.75">
      <c r="A246" s="267">
        <v>1767584</v>
      </c>
      <c r="B246" s="267" t="s">
        <v>3159</v>
      </c>
      <c r="C246" s="268" t="s">
        <v>4274</v>
      </c>
      <c r="D246" s="267" t="s">
        <v>3218</v>
      </c>
      <c r="E246" s="267" t="s">
        <v>3162</v>
      </c>
      <c r="F246" s="267" t="s">
        <v>3681</v>
      </c>
      <c r="G246" s="267"/>
      <c r="H246" s="267" t="s">
        <v>4275</v>
      </c>
      <c r="I246" s="267" t="s">
        <v>4276</v>
      </c>
      <c r="J246" s="267" t="s">
        <v>3034</v>
      </c>
      <c r="K246" s="268" t="s">
        <v>4277</v>
      </c>
      <c r="L246" s="267" t="s">
        <v>4278</v>
      </c>
      <c r="M246" s="267" t="s">
        <v>3168</v>
      </c>
      <c r="N246" s="267" t="s">
        <v>11</v>
      </c>
      <c r="O246" s="268" t="s">
        <v>4279</v>
      </c>
    </row>
    <row r="247" spans="1:15" ht="63.75">
      <c r="A247" s="267">
        <v>1767519</v>
      </c>
      <c r="B247" s="267" t="s">
        <v>3159</v>
      </c>
      <c r="C247" s="268" t="s">
        <v>4280</v>
      </c>
      <c r="D247" s="267" t="s">
        <v>3161</v>
      </c>
      <c r="E247" s="267" t="s">
        <v>3162</v>
      </c>
      <c r="F247" s="267" t="s">
        <v>3681</v>
      </c>
      <c r="G247" s="267"/>
      <c r="H247" s="267" t="s">
        <v>3057</v>
      </c>
      <c r="I247" s="267" t="s">
        <v>3087</v>
      </c>
      <c r="J247" s="267" t="s">
        <v>3107</v>
      </c>
      <c r="K247" s="268" t="s">
        <v>3035</v>
      </c>
      <c r="L247" s="267" t="s">
        <v>4281</v>
      </c>
      <c r="M247" s="267" t="s">
        <v>3168</v>
      </c>
      <c r="N247" s="267" t="s">
        <v>11</v>
      </c>
      <c r="O247" s="268" t="s">
        <v>4282</v>
      </c>
    </row>
    <row r="248" spans="1:15" ht="51">
      <c r="A248" s="267">
        <v>1767510</v>
      </c>
      <c r="B248" s="267" t="s">
        <v>3159</v>
      </c>
      <c r="C248" s="268" t="s">
        <v>4283</v>
      </c>
      <c r="D248" s="267" t="s">
        <v>3161</v>
      </c>
      <c r="E248" s="267" t="s">
        <v>3162</v>
      </c>
      <c r="F248" s="267" t="s">
        <v>3681</v>
      </c>
      <c r="G248" s="267"/>
      <c r="H248" s="267" t="s">
        <v>3058</v>
      </c>
      <c r="I248" s="267" t="s">
        <v>3088</v>
      </c>
      <c r="J248" s="267" t="s">
        <v>3107</v>
      </c>
      <c r="K248" s="268" t="s">
        <v>3035</v>
      </c>
      <c r="L248" s="267" t="s">
        <v>2971</v>
      </c>
      <c r="M248" s="267" t="s">
        <v>3168</v>
      </c>
      <c r="N248" s="267" t="s">
        <v>11</v>
      </c>
      <c r="O248" s="268" t="s">
        <v>4284</v>
      </c>
    </row>
    <row r="249" spans="1:15" ht="63.75">
      <c r="A249" s="267">
        <v>1767506</v>
      </c>
      <c r="B249" s="267" t="s">
        <v>3159</v>
      </c>
      <c r="C249" s="268" t="s">
        <v>4285</v>
      </c>
      <c r="D249" s="267" t="s">
        <v>3161</v>
      </c>
      <c r="E249" s="267" t="s">
        <v>3162</v>
      </c>
      <c r="F249" s="267" t="s">
        <v>3681</v>
      </c>
      <c r="G249" s="267"/>
      <c r="H249" s="267" t="s">
        <v>3059</v>
      </c>
      <c r="I249" s="267" t="s">
        <v>3089</v>
      </c>
      <c r="J249" s="267" t="s">
        <v>3107</v>
      </c>
      <c r="K249" s="268" t="s">
        <v>3035</v>
      </c>
      <c r="L249" s="267" t="s">
        <v>4281</v>
      </c>
      <c r="M249" s="267" t="s">
        <v>3168</v>
      </c>
      <c r="N249" s="267" t="s">
        <v>11</v>
      </c>
      <c r="O249" s="268" t="s">
        <v>4286</v>
      </c>
    </row>
    <row r="250" spans="1:15" ht="63.75">
      <c r="A250" s="267">
        <v>1767504</v>
      </c>
      <c r="B250" s="267" t="s">
        <v>3159</v>
      </c>
      <c r="C250" s="268" t="s">
        <v>4280</v>
      </c>
      <c r="D250" s="267" t="s">
        <v>3161</v>
      </c>
      <c r="E250" s="267" t="s">
        <v>3162</v>
      </c>
      <c r="F250" s="267" t="s">
        <v>3681</v>
      </c>
      <c r="G250" s="267"/>
      <c r="H250" s="267" t="s">
        <v>3060</v>
      </c>
      <c r="I250" s="267" t="s">
        <v>3087</v>
      </c>
      <c r="J250" s="267" t="s">
        <v>3107</v>
      </c>
      <c r="K250" s="268" t="s">
        <v>3118</v>
      </c>
      <c r="L250" s="267" t="s">
        <v>4287</v>
      </c>
      <c r="M250" s="267" t="s">
        <v>3168</v>
      </c>
      <c r="N250" s="267" t="s">
        <v>11</v>
      </c>
      <c r="O250" s="268" t="s">
        <v>4288</v>
      </c>
    </row>
    <row r="251" spans="1:15" ht="89.25">
      <c r="A251" s="267">
        <v>1767493</v>
      </c>
      <c r="B251" s="267" t="s">
        <v>3159</v>
      </c>
      <c r="C251" s="268" t="s">
        <v>4289</v>
      </c>
      <c r="D251" s="267" t="s">
        <v>3161</v>
      </c>
      <c r="E251" s="267" t="s">
        <v>3162</v>
      </c>
      <c r="F251" s="267" t="s">
        <v>3681</v>
      </c>
      <c r="G251" s="267"/>
      <c r="H251" s="267" t="s">
        <v>3056</v>
      </c>
      <c r="I251" s="267" t="s">
        <v>3086</v>
      </c>
      <c r="J251" s="267" t="s">
        <v>3107</v>
      </c>
      <c r="K251" s="268" t="s">
        <v>3117</v>
      </c>
      <c r="L251" s="267" t="s">
        <v>3181</v>
      </c>
      <c r="M251" s="267" t="s">
        <v>3168</v>
      </c>
      <c r="N251" s="267" t="s">
        <v>11</v>
      </c>
      <c r="O251" s="268" t="s">
        <v>4290</v>
      </c>
    </row>
    <row r="252" spans="1:15" ht="51">
      <c r="A252" s="267">
        <v>1767474</v>
      </c>
      <c r="B252" s="267" t="s">
        <v>3159</v>
      </c>
      <c r="C252" s="268" t="s">
        <v>4291</v>
      </c>
      <c r="D252" s="267" t="s">
        <v>3161</v>
      </c>
      <c r="E252" s="267" t="s">
        <v>3162</v>
      </c>
      <c r="F252" s="267" t="s">
        <v>3681</v>
      </c>
      <c r="G252" s="267"/>
      <c r="H252" s="267" t="s">
        <v>3061</v>
      </c>
      <c r="I252" s="267" t="s">
        <v>3090</v>
      </c>
      <c r="J252" s="267" t="s">
        <v>3107</v>
      </c>
      <c r="K252" s="268" t="s">
        <v>3119</v>
      </c>
      <c r="L252" s="267" t="s">
        <v>3110</v>
      </c>
      <c r="M252" s="267" t="s">
        <v>3168</v>
      </c>
      <c r="N252" s="267" t="s">
        <v>11</v>
      </c>
      <c r="O252" s="268" t="s">
        <v>4292</v>
      </c>
    </row>
    <row r="253" spans="1:15" ht="63.75">
      <c r="A253" s="267">
        <v>1767301</v>
      </c>
      <c r="B253" s="267" t="s">
        <v>3159</v>
      </c>
      <c r="C253" s="268" t="s">
        <v>4293</v>
      </c>
      <c r="D253" s="267" t="s">
        <v>3171</v>
      </c>
      <c r="E253" s="267" t="s">
        <v>3162</v>
      </c>
      <c r="F253" s="267" t="s">
        <v>3681</v>
      </c>
      <c r="G253" s="267"/>
      <c r="H253" s="267" t="s">
        <v>3062</v>
      </c>
      <c r="I253" s="267" t="s">
        <v>3091</v>
      </c>
      <c r="J253" s="267" t="s">
        <v>4294</v>
      </c>
      <c r="K253" s="268" t="s">
        <v>3120</v>
      </c>
      <c r="L253" s="267" t="s">
        <v>3111</v>
      </c>
      <c r="M253" s="267" t="s">
        <v>3168</v>
      </c>
      <c r="N253" s="267" t="s">
        <v>11</v>
      </c>
      <c r="O253" s="268" t="s">
        <v>4295</v>
      </c>
    </row>
    <row r="254" spans="1:15" ht="63.75">
      <c r="A254" s="267">
        <v>1767293</v>
      </c>
      <c r="B254" s="267" t="s">
        <v>3159</v>
      </c>
      <c r="C254" s="268" t="s">
        <v>4296</v>
      </c>
      <c r="D254" s="267" t="s">
        <v>3171</v>
      </c>
      <c r="E254" s="267" t="s">
        <v>3162</v>
      </c>
      <c r="F254" s="267" t="s">
        <v>3681</v>
      </c>
      <c r="G254" s="267"/>
      <c r="H254" s="267" t="s">
        <v>3063</v>
      </c>
      <c r="I254" s="267" t="s">
        <v>3092</v>
      </c>
      <c r="J254" s="267" t="s">
        <v>3215</v>
      </c>
      <c r="K254" s="268" t="s">
        <v>76</v>
      </c>
      <c r="L254" s="267" t="s">
        <v>4297</v>
      </c>
      <c r="M254" s="267" t="s">
        <v>3168</v>
      </c>
      <c r="N254" s="267" t="s">
        <v>11</v>
      </c>
      <c r="O254" s="268" t="s">
        <v>4298</v>
      </c>
    </row>
    <row r="255" spans="1:15" ht="63.75">
      <c r="A255" s="267">
        <v>1767283</v>
      </c>
      <c r="B255" s="267" t="s">
        <v>3159</v>
      </c>
      <c r="C255" s="268" t="s">
        <v>4299</v>
      </c>
      <c r="D255" s="267" t="s">
        <v>3171</v>
      </c>
      <c r="E255" s="267" t="s">
        <v>3162</v>
      </c>
      <c r="F255" s="267" t="s">
        <v>3681</v>
      </c>
      <c r="G255" s="267"/>
      <c r="H255" s="267" t="s">
        <v>3064</v>
      </c>
      <c r="I255" s="267" t="s">
        <v>1670</v>
      </c>
      <c r="J255" s="267" t="s">
        <v>3107</v>
      </c>
      <c r="K255" s="268" t="s">
        <v>76</v>
      </c>
      <c r="L255" s="267" t="s">
        <v>3112</v>
      </c>
      <c r="M255" s="267" t="s">
        <v>3168</v>
      </c>
      <c r="N255" s="267" t="s">
        <v>11</v>
      </c>
      <c r="O255" s="268" t="s">
        <v>4300</v>
      </c>
    </row>
    <row r="256" spans="1:15" ht="76.5">
      <c r="A256" s="267">
        <v>1767112</v>
      </c>
      <c r="B256" s="267" t="s">
        <v>3159</v>
      </c>
      <c r="C256" s="268" t="s">
        <v>4301</v>
      </c>
      <c r="D256" s="267" t="s">
        <v>3171</v>
      </c>
      <c r="E256" s="267" t="s">
        <v>3162</v>
      </c>
      <c r="F256" s="267" t="s">
        <v>3681</v>
      </c>
      <c r="G256" s="267"/>
      <c r="H256" s="267" t="s">
        <v>3065</v>
      </c>
      <c r="I256" s="267" t="s">
        <v>3093</v>
      </c>
      <c r="J256" s="267" t="s">
        <v>4302</v>
      </c>
      <c r="K256" s="268" t="s">
        <v>3121</v>
      </c>
      <c r="L256" s="267" t="s">
        <v>2969</v>
      </c>
      <c r="M256" s="267" t="s">
        <v>3168</v>
      </c>
      <c r="N256" s="267" t="s">
        <v>11</v>
      </c>
      <c r="O256" s="268" t="s">
        <v>4303</v>
      </c>
    </row>
    <row r="257" spans="1:15" ht="102">
      <c r="A257" s="267">
        <v>1767092</v>
      </c>
      <c r="B257" s="267" t="s">
        <v>3159</v>
      </c>
      <c r="C257" s="268" t="s">
        <v>4304</v>
      </c>
      <c r="D257" s="267" t="s">
        <v>3300</v>
      </c>
      <c r="E257" s="267" t="s">
        <v>3162</v>
      </c>
      <c r="F257" s="267" t="s">
        <v>3681</v>
      </c>
      <c r="G257" s="267"/>
      <c r="H257" s="267" t="s">
        <v>3066</v>
      </c>
      <c r="I257" s="267" t="s">
        <v>3094</v>
      </c>
      <c r="J257" s="267" t="s">
        <v>3107</v>
      </c>
      <c r="K257" s="268" t="s">
        <v>3122</v>
      </c>
      <c r="L257" s="267" t="s">
        <v>3113</v>
      </c>
      <c r="M257" s="267" t="s">
        <v>4305</v>
      </c>
      <c r="N257" s="267" t="s">
        <v>11</v>
      </c>
      <c r="O257" s="268" t="s">
        <v>4306</v>
      </c>
    </row>
    <row r="258" spans="1:15" ht="63.75">
      <c r="A258" s="267">
        <v>1766921</v>
      </c>
      <c r="B258" s="267" t="s">
        <v>3159</v>
      </c>
      <c r="C258" s="268" t="s">
        <v>4307</v>
      </c>
      <c r="D258" s="267" t="s">
        <v>3300</v>
      </c>
      <c r="E258" s="267" t="s">
        <v>3162</v>
      </c>
      <c r="F258" s="267" t="s">
        <v>3681</v>
      </c>
      <c r="G258" s="267"/>
      <c r="H258" s="267" t="s">
        <v>3067</v>
      </c>
      <c r="I258" s="267" t="s">
        <v>3095</v>
      </c>
      <c r="J258" s="267" t="s">
        <v>3108</v>
      </c>
      <c r="K258" s="268" t="s">
        <v>3123</v>
      </c>
      <c r="L258" s="267" t="s">
        <v>4308</v>
      </c>
      <c r="M258" s="267" t="s">
        <v>3168</v>
      </c>
      <c r="N258" s="267" t="s">
        <v>11</v>
      </c>
      <c r="O258" s="268" t="s">
        <v>4309</v>
      </c>
    </row>
    <row r="259" spans="1:15" ht="63.75">
      <c r="A259" s="267">
        <v>1766919</v>
      </c>
      <c r="B259" s="267" t="s">
        <v>3159</v>
      </c>
      <c r="C259" s="268" t="s">
        <v>4310</v>
      </c>
      <c r="D259" s="267" t="s">
        <v>3161</v>
      </c>
      <c r="E259" s="267" t="s">
        <v>3162</v>
      </c>
      <c r="F259" s="267" t="s">
        <v>3681</v>
      </c>
      <c r="G259" s="267"/>
      <c r="H259" s="267" t="s">
        <v>3068</v>
      </c>
      <c r="I259" s="267" t="s">
        <v>3096</v>
      </c>
      <c r="J259" s="267" t="s">
        <v>3107</v>
      </c>
      <c r="K259" s="268" t="s">
        <v>3124</v>
      </c>
      <c r="L259" s="267" t="s">
        <v>2971</v>
      </c>
      <c r="M259" s="267" t="s">
        <v>3168</v>
      </c>
      <c r="N259" s="267" t="s">
        <v>11</v>
      </c>
      <c r="O259" s="268" t="s">
        <v>4311</v>
      </c>
    </row>
    <row r="260" spans="1:15" ht="89.25">
      <c r="A260" s="267">
        <v>1766915</v>
      </c>
      <c r="B260" s="267" t="s">
        <v>3159</v>
      </c>
      <c r="C260" s="268" t="s">
        <v>4312</v>
      </c>
      <c r="D260" s="267" t="s">
        <v>3161</v>
      </c>
      <c r="E260" s="267" t="s">
        <v>3162</v>
      </c>
      <c r="F260" s="267" t="s">
        <v>3681</v>
      </c>
      <c r="G260" s="267"/>
      <c r="H260" s="267" t="s">
        <v>3069</v>
      </c>
      <c r="I260" s="267" t="s">
        <v>3097</v>
      </c>
      <c r="J260" s="267" t="s">
        <v>4313</v>
      </c>
      <c r="K260" s="268" t="s">
        <v>3125</v>
      </c>
      <c r="L260" s="267" t="s">
        <v>3114</v>
      </c>
      <c r="M260" s="267" t="s">
        <v>3168</v>
      </c>
      <c r="N260" s="267" t="s">
        <v>11</v>
      </c>
      <c r="O260" s="268" t="s">
        <v>4314</v>
      </c>
    </row>
    <row r="261" spans="1:15" ht="63.75">
      <c r="A261" s="267">
        <v>1766904</v>
      </c>
      <c r="B261" s="267" t="s">
        <v>3159</v>
      </c>
      <c r="C261" s="268" t="s">
        <v>4315</v>
      </c>
      <c r="D261" s="267" t="s">
        <v>3161</v>
      </c>
      <c r="E261" s="267" t="s">
        <v>3162</v>
      </c>
      <c r="F261" s="267" t="s">
        <v>3681</v>
      </c>
      <c r="G261" s="267"/>
      <c r="H261" s="267" t="s">
        <v>3070</v>
      </c>
      <c r="I261" s="267" t="s">
        <v>3096</v>
      </c>
      <c r="J261" s="267" t="s">
        <v>2960</v>
      </c>
      <c r="K261" s="268" t="s">
        <v>3126</v>
      </c>
      <c r="L261" s="267" t="s">
        <v>3110</v>
      </c>
      <c r="M261" s="267" t="s">
        <v>3168</v>
      </c>
      <c r="N261" s="267" t="s">
        <v>11</v>
      </c>
      <c r="O261" s="268" t="s">
        <v>4316</v>
      </c>
    </row>
    <row r="262" spans="1:15" ht="38.25">
      <c r="A262" s="267">
        <v>1766890</v>
      </c>
      <c r="B262" s="267" t="s">
        <v>3159</v>
      </c>
      <c r="C262" s="268" t="s">
        <v>4317</v>
      </c>
      <c r="D262" s="267" t="s">
        <v>3161</v>
      </c>
      <c r="E262" s="267" t="s">
        <v>3162</v>
      </c>
      <c r="F262" s="267" t="s">
        <v>3681</v>
      </c>
      <c r="G262" s="267"/>
      <c r="H262" s="267" t="s">
        <v>3071</v>
      </c>
      <c r="I262" s="267" t="s">
        <v>4318</v>
      </c>
      <c r="J262" s="267"/>
      <c r="K262" s="268"/>
      <c r="L262" s="267"/>
      <c r="M262" s="267"/>
      <c r="N262" s="267"/>
      <c r="O262" s="268"/>
    </row>
    <row r="263" spans="1:15" ht="89.25">
      <c r="A263" s="267">
        <v>17823</v>
      </c>
      <c r="B263" s="267" t="s">
        <v>4313</v>
      </c>
      <c r="C263" s="268" t="s">
        <v>3125</v>
      </c>
      <c r="D263" s="267" t="s">
        <v>3114</v>
      </c>
      <c r="E263" s="267" t="s">
        <v>4319</v>
      </c>
      <c r="F263" s="267" t="s">
        <v>11</v>
      </c>
      <c r="G263" s="267" t="s">
        <v>4320</v>
      </c>
      <c r="H263" s="267"/>
      <c r="I263" s="267"/>
      <c r="J263" s="267"/>
      <c r="K263" s="268"/>
      <c r="L263" s="267"/>
      <c r="M263" s="267"/>
      <c r="N263" s="267"/>
      <c r="O263" s="268"/>
    </row>
    <row r="264" spans="1:15" ht="51">
      <c r="A264" s="267">
        <v>1766884</v>
      </c>
      <c r="B264" s="267" t="s">
        <v>3159</v>
      </c>
      <c r="C264" s="268" t="s">
        <v>4321</v>
      </c>
      <c r="D264" s="267" t="s">
        <v>3161</v>
      </c>
      <c r="E264" s="267" t="s">
        <v>3162</v>
      </c>
      <c r="F264" s="267" t="s">
        <v>3681</v>
      </c>
      <c r="G264" s="267"/>
      <c r="H264" s="267" t="s">
        <v>3072</v>
      </c>
      <c r="I264" s="267" t="s">
        <v>4322</v>
      </c>
      <c r="J264" s="267"/>
      <c r="K264" s="268"/>
      <c r="L264" s="267"/>
      <c r="M264" s="267"/>
      <c r="N264" s="267"/>
      <c r="O264" s="268"/>
    </row>
    <row r="265" spans="1:15" ht="89.25">
      <c r="A265" s="267">
        <v>17777</v>
      </c>
      <c r="B265" s="267" t="s">
        <v>4313</v>
      </c>
      <c r="C265" s="268" t="s">
        <v>3125</v>
      </c>
      <c r="D265" s="267" t="s">
        <v>3114</v>
      </c>
      <c r="E265" s="267" t="s">
        <v>4319</v>
      </c>
      <c r="F265" s="267" t="s">
        <v>11</v>
      </c>
      <c r="G265" s="267" t="s">
        <v>4323</v>
      </c>
      <c r="H265" s="267"/>
      <c r="I265" s="267"/>
      <c r="J265" s="267"/>
      <c r="K265" s="268"/>
      <c r="L265" s="267"/>
      <c r="M265" s="267"/>
      <c r="N265" s="267"/>
      <c r="O265" s="268"/>
    </row>
    <row r="266" spans="1:15" ht="63.75">
      <c r="A266" s="267">
        <v>1766867</v>
      </c>
      <c r="B266" s="267" t="s">
        <v>3159</v>
      </c>
      <c r="C266" s="268" t="s">
        <v>4324</v>
      </c>
      <c r="D266" s="267" t="s">
        <v>3300</v>
      </c>
      <c r="E266" s="267" t="s">
        <v>3162</v>
      </c>
      <c r="F266" s="267" t="s">
        <v>3681</v>
      </c>
      <c r="G266" s="267"/>
      <c r="H266" s="267" t="s">
        <v>3073</v>
      </c>
      <c r="I266" s="267" t="s">
        <v>3098</v>
      </c>
      <c r="J266" s="267" t="s">
        <v>3108</v>
      </c>
      <c r="K266" s="268" t="s">
        <v>3123</v>
      </c>
      <c r="L266" s="267" t="s">
        <v>4308</v>
      </c>
      <c r="M266" s="267" t="s">
        <v>3168</v>
      </c>
      <c r="N266" s="267" t="s">
        <v>11</v>
      </c>
      <c r="O266" s="268" t="s">
        <v>4325</v>
      </c>
    </row>
    <row r="267" spans="1:15" ht="63.75">
      <c r="A267" s="267">
        <v>1766860</v>
      </c>
      <c r="B267" s="267" t="s">
        <v>3159</v>
      </c>
      <c r="C267" s="268" t="s">
        <v>4326</v>
      </c>
      <c r="D267" s="267" t="s">
        <v>3300</v>
      </c>
      <c r="E267" s="267" t="s">
        <v>3162</v>
      </c>
      <c r="F267" s="267" t="s">
        <v>3681</v>
      </c>
      <c r="G267" s="267"/>
      <c r="H267" s="267" t="s">
        <v>3074</v>
      </c>
      <c r="I267" s="267" t="s">
        <v>3099</v>
      </c>
      <c r="J267" s="267" t="s">
        <v>3109</v>
      </c>
      <c r="K267" s="268" t="s">
        <v>3127</v>
      </c>
      <c r="L267" s="267" t="s">
        <v>3189</v>
      </c>
      <c r="M267" s="267" t="s">
        <v>3168</v>
      </c>
      <c r="N267" s="267" t="s">
        <v>11</v>
      </c>
      <c r="O267" s="268" t="s">
        <v>4327</v>
      </c>
    </row>
    <row r="268" spans="1:15" ht="102">
      <c r="A268" s="267">
        <v>1766787</v>
      </c>
      <c r="B268" s="267" t="s">
        <v>3159</v>
      </c>
      <c r="C268" s="268" t="s">
        <v>4328</v>
      </c>
      <c r="D268" s="267" t="s">
        <v>3161</v>
      </c>
      <c r="E268" s="267" t="s">
        <v>3162</v>
      </c>
      <c r="F268" s="267" t="s">
        <v>3681</v>
      </c>
      <c r="G268" s="267"/>
      <c r="H268" s="267" t="s">
        <v>3075</v>
      </c>
      <c r="I268" s="267" t="s">
        <v>3100</v>
      </c>
      <c r="J268" s="267" t="s">
        <v>3107</v>
      </c>
      <c r="K268" s="268" t="s">
        <v>3166</v>
      </c>
      <c r="L268" s="267" t="s">
        <v>3167</v>
      </c>
      <c r="M268" s="267" t="s">
        <v>3168</v>
      </c>
      <c r="N268" s="267" t="s">
        <v>11</v>
      </c>
      <c r="O268" s="268" t="s">
        <v>4329</v>
      </c>
    </row>
    <row r="269" spans="1:15" ht="89.25">
      <c r="A269" s="267">
        <v>1766777</v>
      </c>
      <c r="B269" s="267" t="s">
        <v>3159</v>
      </c>
      <c r="C269" s="268" t="s">
        <v>4330</v>
      </c>
      <c r="D269" s="267" t="s">
        <v>3161</v>
      </c>
      <c r="E269" s="267" t="s">
        <v>3162</v>
      </c>
      <c r="F269" s="267" t="s">
        <v>3681</v>
      </c>
      <c r="G269" s="267"/>
      <c r="H269" s="267" t="s">
        <v>3076</v>
      </c>
      <c r="I269" s="267" t="s">
        <v>3101</v>
      </c>
      <c r="J269" s="267" t="s">
        <v>3107</v>
      </c>
      <c r="K269" s="268" t="s">
        <v>3166</v>
      </c>
      <c r="L269" s="267" t="s">
        <v>3167</v>
      </c>
      <c r="M269" s="267" t="s">
        <v>3168</v>
      </c>
      <c r="N269" s="267" t="s">
        <v>11</v>
      </c>
      <c r="O269" s="268" t="s">
        <v>4331</v>
      </c>
    </row>
    <row r="270" spans="1:15" ht="63.75">
      <c r="A270" s="267">
        <v>1766695</v>
      </c>
      <c r="B270" s="267" t="s">
        <v>3159</v>
      </c>
      <c r="C270" s="268" t="s">
        <v>4332</v>
      </c>
      <c r="D270" s="267" t="s">
        <v>3161</v>
      </c>
      <c r="E270" s="267" t="s">
        <v>3162</v>
      </c>
      <c r="F270" s="267" t="s">
        <v>3681</v>
      </c>
      <c r="G270" s="267"/>
      <c r="H270" s="267" t="s">
        <v>3078</v>
      </c>
      <c r="I270" s="267" t="s">
        <v>3103</v>
      </c>
      <c r="J270" s="267" t="s">
        <v>3107</v>
      </c>
      <c r="K270" s="268" t="s">
        <v>4333</v>
      </c>
      <c r="L270" s="267" t="s">
        <v>3115</v>
      </c>
      <c r="M270" s="267" t="s">
        <v>3168</v>
      </c>
      <c r="N270" s="267" t="s">
        <v>11</v>
      </c>
      <c r="O270" s="268" t="s">
        <v>4334</v>
      </c>
    </row>
    <row r="271" spans="1:15" ht="63.75">
      <c r="A271" s="267">
        <v>1766691</v>
      </c>
      <c r="B271" s="267" t="s">
        <v>3159</v>
      </c>
      <c r="C271" s="268" t="s">
        <v>4335</v>
      </c>
      <c r="D271" s="267" t="s">
        <v>3161</v>
      </c>
      <c r="E271" s="267" t="s">
        <v>3162</v>
      </c>
      <c r="F271" s="267" t="s">
        <v>3681</v>
      </c>
      <c r="G271" s="267"/>
      <c r="H271" s="267" t="s">
        <v>3079</v>
      </c>
      <c r="I271" s="267" t="s">
        <v>3104</v>
      </c>
      <c r="J271" s="267" t="s">
        <v>3107</v>
      </c>
      <c r="K271" s="268" t="s">
        <v>4336</v>
      </c>
      <c r="L271" s="267" t="s">
        <v>184</v>
      </c>
      <c r="M271" s="267" t="s">
        <v>4337</v>
      </c>
      <c r="N271" s="267" t="s">
        <v>11</v>
      </c>
      <c r="O271" s="268" t="s">
        <v>4338</v>
      </c>
    </row>
    <row r="272" spans="1:15" ht="63.75">
      <c r="A272" s="267">
        <v>1766519</v>
      </c>
      <c r="B272" s="267" t="s">
        <v>3159</v>
      </c>
      <c r="C272" s="268" t="s">
        <v>4339</v>
      </c>
      <c r="D272" s="267" t="s">
        <v>3300</v>
      </c>
      <c r="E272" s="267" t="s">
        <v>3162</v>
      </c>
      <c r="F272" s="267" t="s">
        <v>3681</v>
      </c>
      <c r="G272" s="267"/>
      <c r="H272" s="267" t="s">
        <v>3080</v>
      </c>
      <c r="I272" s="267" t="s">
        <v>3105</v>
      </c>
      <c r="J272" s="267" t="s">
        <v>3107</v>
      </c>
      <c r="K272" s="268" t="s">
        <v>3129</v>
      </c>
      <c r="L272" s="267" t="s">
        <v>2968</v>
      </c>
      <c r="M272" s="267" t="s">
        <v>3168</v>
      </c>
      <c r="N272" s="267" t="s">
        <v>11</v>
      </c>
      <c r="O272" s="268" t="s">
        <v>4340</v>
      </c>
    </row>
    <row r="273" spans="1:15" ht="89.25">
      <c r="A273" s="267">
        <v>1766516</v>
      </c>
      <c r="B273" s="267" t="s">
        <v>3159</v>
      </c>
      <c r="C273" s="268" t="s">
        <v>4341</v>
      </c>
      <c r="D273" s="267" t="s">
        <v>3300</v>
      </c>
      <c r="E273" s="267" t="s">
        <v>3162</v>
      </c>
      <c r="F273" s="267" t="s">
        <v>3681</v>
      </c>
      <c r="G273" s="267"/>
      <c r="H273" s="267" t="s">
        <v>3081</v>
      </c>
      <c r="I273" s="267" t="s">
        <v>3024</v>
      </c>
      <c r="J273" s="267" t="s">
        <v>3107</v>
      </c>
      <c r="K273" s="268" t="s">
        <v>3039</v>
      </c>
      <c r="L273" s="267" t="s">
        <v>3116</v>
      </c>
      <c r="M273" s="267" t="s">
        <v>3168</v>
      </c>
      <c r="N273" s="267" t="s">
        <v>11</v>
      </c>
      <c r="O273" s="268" t="s">
        <v>4342</v>
      </c>
    </row>
    <row r="274" spans="1:15" ht="63.75">
      <c r="A274" s="267">
        <v>1766509</v>
      </c>
      <c r="B274" s="267" t="s">
        <v>3159</v>
      </c>
      <c r="C274" s="268" t="s">
        <v>4343</v>
      </c>
      <c r="D274" s="267" t="s">
        <v>3300</v>
      </c>
      <c r="E274" s="267" t="s">
        <v>3162</v>
      </c>
      <c r="F274" s="267" t="s">
        <v>3681</v>
      </c>
      <c r="G274" s="267"/>
      <c r="H274" s="267" t="s">
        <v>3082</v>
      </c>
      <c r="I274" s="267" t="s">
        <v>3106</v>
      </c>
      <c r="J274" s="267" t="s">
        <v>3107</v>
      </c>
      <c r="K274" s="268" t="s">
        <v>3129</v>
      </c>
      <c r="L274" s="267" t="s">
        <v>2968</v>
      </c>
      <c r="M274" s="267" t="s">
        <v>3168</v>
      </c>
      <c r="N274" s="267" t="s">
        <v>11</v>
      </c>
      <c r="O274" s="268" t="s">
        <v>4344</v>
      </c>
    </row>
    <row r="275" spans="1:15" ht="63.75">
      <c r="A275" s="267">
        <v>1766504</v>
      </c>
      <c r="B275" s="267" t="s">
        <v>3159</v>
      </c>
      <c r="C275" s="268" t="s">
        <v>4345</v>
      </c>
      <c r="D275" s="267" t="s">
        <v>3300</v>
      </c>
      <c r="E275" s="267" t="s">
        <v>3162</v>
      </c>
      <c r="F275" s="267" t="s">
        <v>3681</v>
      </c>
      <c r="G275" s="267"/>
      <c r="H275" s="267" t="s">
        <v>3083</v>
      </c>
      <c r="I275" s="267" t="s">
        <v>3025</v>
      </c>
      <c r="J275" s="267" t="s">
        <v>3107</v>
      </c>
      <c r="K275" s="268" t="s">
        <v>3129</v>
      </c>
      <c r="L275" s="267" t="s">
        <v>2968</v>
      </c>
      <c r="M275" s="267" t="s">
        <v>3168</v>
      </c>
      <c r="N275" s="267" t="s">
        <v>11</v>
      </c>
      <c r="O275" s="268" t="s">
        <v>4346</v>
      </c>
    </row>
    <row r="276" spans="1:15" ht="63.75">
      <c r="A276" s="267">
        <v>1766497</v>
      </c>
      <c r="B276" s="267" t="s">
        <v>3159</v>
      </c>
      <c r="C276" s="268" t="s">
        <v>4347</v>
      </c>
      <c r="D276" s="267" t="s">
        <v>3300</v>
      </c>
      <c r="E276" s="267" t="s">
        <v>3162</v>
      </c>
      <c r="F276" s="267" t="s">
        <v>3681</v>
      </c>
      <c r="G276" s="267"/>
      <c r="H276" s="267" t="s">
        <v>3084</v>
      </c>
      <c r="I276" s="267" t="s">
        <v>3026</v>
      </c>
      <c r="J276" s="267" t="s">
        <v>3107</v>
      </c>
      <c r="K276" s="268" t="s">
        <v>3129</v>
      </c>
      <c r="L276" s="267" t="s">
        <v>2968</v>
      </c>
      <c r="M276" s="267" t="s">
        <v>3168</v>
      </c>
      <c r="N276" s="267" t="s">
        <v>11</v>
      </c>
      <c r="O276" s="268" t="s">
        <v>4348</v>
      </c>
    </row>
    <row r="277" spans="1:15" ht="140.25">
      <c r="A277" s="267">
        <v>1766493</v>
      </c>
      <c r="B277" s="267" t="s">
        <v>3159</v>
      </c>
      <c r="C277" s="268" t="s">
        <v>4349</v>
      </c>
      <c r="D277" s="267" t="s">
        <v>3300</v>
      </c>
      <c r="E277" s="267" t="s">
        <v>3162</v>
      </c>
      <c r="F277" s="267" t="s">
        <v>3681</v>
      </c>
      <c r="G277" s="267"/>
      <c r="H277" s="267" t="s">
        <v>3085</v>
      </c>
      <c r="I277" s="267" t="s">
        <v>3027</v>
      </c>
      <c r="J277" s="267" t="s">
        <v>3107</v>
      </c>
      <c r="K277" s="268" t="s">
        <v>3310</v>
      </c>
      <c r="L277" s="267" t="s">
        <v>3310</v>
      </c>
      <c r="M277" s="267" t="s">
        <v>3168</v>
      </c>
      <c r="N277" s="267" t="s">
        <v>11</v>
      </c>
      <c r="O277" s="268" t="s">
        <v>4350</v>
      </c>
    </row>
    <row r="278" spans="1:15" ht="76.5">
      <c r="A278" s="267">
        <v>1766482</v>
      </c>
      <c r="B278" s="267" t="s">
        <v>3159</v>
      </c>
      <c r="C278" s="268" t="s">
        <v>4351</v>
      </c>
      <c r="D278" s="267" t="s">
        <v>3171</v>
      </c>
      <c r="E278" s="267" t="s">
        <v>3162</v>
      </c>
      <c r="F278" s="267" t="s">
        <v>3681</v>
      </c>
      <c r="G278" s="267"/>
      <c r="H278" s="267" t="s">
        <v>2994</v>
      </c>
      <c r="I278" s="267" t="s">
        <v>3014</v>
      </c>
      <c r="J278" s="267" t="s">
        <v>3107</v>
      </c>
      <c r="K278" s="268" t="s">
        <v>76</v>
      </c>
      <c r="L278" s="267" t="s">
        <v>3228</v>
      </c>
      <c r="M278" s="267" t="s">
        <v>3168</v>
      </c>
      <c r="N278" s="267" t="s">
        <v>11</v>
      </c>
      <c r="O278" s="268" t="s">
        <v>4352</v>
      </c>
    </row>
    <row r="279" spans="1:15" ht="76.5">
      <c r="A279" s="267">
        <v>1766471</v>
      </c>
      <c r="B279" s="267" t="s">
        <v>3159</v>
      </c>
      <c r="C279" s="268" t="s">
        <v>4353</v>
      </c>
      <c r="D279" s="267" t="s">
        <v>3171</v>
      </c>
      <c r="E279" s="267" t="s">
        <v>3162</v>
      </c>
      <c r="F279" s="267" t="s">
        <v>3681</v>
      </c>
      <c r="G279" s="267"/>
      <c r="H279" s="267" t="s">
        <v>2995</v>
      </c>
      <c r="I279" s="267" t="s">
        <v>3015</v>
      </c>
      <c r="J279" s="267" t="s">
        <v>4354</v>
      </c>
      <c r="K279" s="268" t="s">
        <v>1473</v>
      </c>
      <c r="L279" s="267" t="s">
        <v>3112</v>
      </c>
      <c r="M279" s="267" t="s">
        <v>3168</v>
      </c>
      <c r="N279" s="267" t="s">
        <v>11</v>
      </c>
      <c r="O279" s="268" t="s">
        <v>4355</v>
      </c>
    </row>
    <row r="280" spans="1:15" ht="76.5">
      <c r="A280" s="267">
        <v>1766458</v>
      </c>
      <c r="B280" s="267" t="s">
        <v>3159</v>
      </c>
      <c r="C280" s="268" t="s">
        <v>4356</v>
      </c>
      <c r="D280" s="267" t="s">
        <v>3171</v>
      </c>
      <c r="E280" s="267" t="s">
        <v>3162</v>
      </c>
      <c r="F280" s="267" t="s">
        <v>3681</v>
      </c>
      <c r="G280" s="267"/>
      <c r="H280" s="267" t="s">
        <v>2996</v>
      </c>
      <c r="I280" s="267" t="s">
        <v>3016</v>
      </c>
      <c r="J280" s="267" t="s">
        <v>4354</v>
      </c>
      <c r="K280" s="268" t="s">
        <v>4357</v>
      </c>
      <c r="L280" s="267" t="s">
        <v>2969</v>
      </c>
      <c r="M280" s="267" t="s">
        <v>3168</v>
      </c>
      <c r="N280" s="267" t="s">
        <v>11</v>
      </c>
      <c r="O280" s="268" t="s">
        <v>4358</v>
      </c>
    </row>
    <row r="281" spans="1:15" ht="89.25">
      <c r="A281" s="267">
        <v>1766442</v>
      </c>
      <c r="B281" s="267" t="s">
        <v>3159</v>
      </c>
      <c r="C281" s="268" t="s">
        <v>4359</v>
      </c>
      <c r="D281" s="267" t="s">
        <v>3171</v>
      </c>
      <c r="E281" s="267" t="s">
        <v>3162</v>
      </c>
      <c r="F281" s="267" t="s">
        <v>3681</v>
      </c>
      <c r="G281" s="267"/>
      <c r="H281" s="267" t="s">
        <v>2997</v>
      </c>
      <c r="I281" s="267" t="s">
        <v>3017</v>
      </c>
      <c r="J281" s="267" t="s">
        <v>4302</v>
      </c>
      <c r="K281" s="268" t="s">
        <v>4360</v>
      </c>
      <c r="L281" s="267" t="s">
        <v>2969</v>
      </c>
      <c r="M281" s="267" t="s">
        <v>3168</v>
      </c>
      <c r="N281" s="267" t="s">
        <v>11</v>
      </c>
      <c r="O281" s="268" t="s">
        <v>4361</v>
      </c>
    </row>
    <row r="282" spans="1:15" ht="51">
      <c r="A282" s="267">
        <v>1766163</v>
      </c>
      <c r="B282" s="267" t="s">
        <v>3159</v>
      </c>
      <c r="C282" s="268" t="s">
        <v>4362</v>
      </c>
      <c r="D282" s="267" t="s">
        <v>3161</v>
      </c>
      <c r="E282" s="267" t="s">
        <v>3162</v>
      </c>
      <c r="F282" s="267" t="s">
        <v>3681</v>
      </c>
      <c r="G282" s="267"/>
      <c r="H282" s="267" t="s">
        <v>2999</v>
      </c>
      <c r="I282" s="267" t="s">
        <v>3019</v>
      </c>
      <c r="J282" s="267" t="s">
        <v>2961</v>
      </c>
      <c r="K282" s="268" t="s">
        <v>3035</v>
      </c>
      <c r="L282" s="267" t="s">
        <v>3271</v>
      </c>
      <c r="M282" s="267" t="s">
        <v>3168</v>
      </c>
      <c r="N282" s="267" t="s">
        <v>11</v>
      </c>
      <c r="O282" s="268" t="s">
        <v>4363</v>
      </c>
    </row>
    <row r="283" spans="1:15" ht="76.5">
      <c r="A283" s="267">
        <v>1766024</v>
      </c>
      <c r="B283" s="267" t="s">
        <v>3159</v>
      </c>
      <c r="C283" s="268" t="s">
        <v>4364</v>
      </c>
      <c r="D283" s="267" t="s">
        <v>3193</v>
      </c>
      <c r="E283" s="267" t="s">
        <v>3162</v>
      </c>
      <c r="F283" s="267" t="s">
        <v>3681</v>
      </c>
      <c r="G283" s="267"/>
      <c r="H283" s="267" t="s">
        <v>3000</v>
      </c>
      <c r="I283" s="267" t="s">
        <v>3020</v>
      </c>
      <c r="J283" s="267" t="s">
        <v>3107</v>
      </c>
      <c r="K283" s="268" t="s">
        <v>76</v>
      </c>
      <c r="L283" s="267" t="s">
        <v>2971</v>
      </c>
      <c r="M283" s="267" t="s">
        <v>3168</v>
      </c>
      <c r="N283" s="267" t="s">
        <v>11</v>
      </c>
      <c r="O283" s="268" t="s">
        <v>4365</v>
      </c>
    </row>
    <row r="284" spans="1:15" ht="63.75">
      <c r="A284" s="267">
        <v>1765911</v>
      </c>
      <c r="B284" s="267" t="s">
        <v>3159</v>
      </c>
      <c r="C284" s="268" t="s">
        <v>3306</v>
      </c>
      <c r="D284" s="267" t="s">
        <v>3300</v>
      </c>
      <c r="E284" s="267" t="s">
        <v>3162</v>
      </c>
      <c r="F284" s="267" t="s">
        <v>3681</v>
      </c>
      <c r="G284" s="267"/>
      <c r="H284" s="267" t="s">
        <v>3001</v>
      </c>
      <c r="I284" s="267" t="s">
        <v>3021</v>
      </c>
      <c r="J284" s="267" t="s">
        <v>3107</v>
      </c>
      <c r="K284" s="268" t="s">
        <v>3036</v>
      </c>
      <c r="L284" s="267" t="s">
        <v>3203</v>
      </c>
      <c r="M284" s="267" t="s">
        <v>3168</v>
      </c>
      <c r="N284" s="267" t="s">
        <v>11</v>
      </c>
      <c r="O284" s="268" t="s">
        <v>4366</v>
      </c>
    </row>
    <row r="285" spans="1:15" ht="63.75">
      <c r="A285" s="267">
        <v>1765877</v>
      </c>
      <c r="B285" s="267" t="s">
        <v>3159</v>
      </c>
      <c r="C285" s="268" t="s">
        <v>4367</v>
      </c>
      <c r="D285" s="267" t="s">
        <v>3161</v>
      </c>
      <c r="E285" s="267" t="s">
        <v>3162</v>
      </c>
      <c r="F285" s="267" t="s">
        <v>3681</v>
      </c>
      <c r="G285" s="267"/>
      <c r="H285" s="267" t="s">
        <v>3002</v>
      </c>
      <c r="I285" s="267" t="s">
        <v>3022</v>
      </c>
      <c r="J285" s="267" t="s">
        <v>3909</v>
      </c>
      <c r="K285" s="268" t="s">
        <v>3037</v>
      </c>
      <c r="L285" s="267" t="s">
        <v>4368</v>
      </c>
      <c r="M285" s="267" t="s">
        <v>3168</v>
      </c>
      <c r="N285" s="267" t="s">
        <v>11</v>
      </c>
      <c r="O285" s="268" t="s">
        <v>4369</v>
      </c>
    </row>
    <row r="286" spans="1:15" ht="51">
      <c r="A286" s="267">
        <v>1765872</v>
      </c>
      <c r="B286" s="267" t="s">
        <v>3159</v>
      </c>
      <c r="C286" s="268" t="s">
        <v>4370</v>
      </c>
      <c r="D286" s="267" t="s">
        <v>3161</v>
      </c>
      <c r="E286" s="267" t="s">
        <v>3162</v>
      </c>
      <c r="F286" s="267" t="s">
        <v>3681</v>
      </c>
      <c r="G286" s="267"/>
      <c r="H286" s="267" t="s">
        <v>3003</v>
      </c>
      <c r="I286" s="267" t="s">
        <v>3023</v>
      </c>
      <c r="J286" s="267" t="s">
        <v>3034</v>
      </c>
      <c r="K286" s="268" t="s">
        <v>3038</v>
      </c>
      <c r="L286" s="267" t="s">
        <v>2971</v>
      </c>
      <c r="M286" s="267" t="s">
        <v>3168</v>
      </c>
      <c r="N286" s="267" t="s">
        <v>11</v>
      </c>
      <c r="O286" s="268" t="s">
        <v>4371</v>
      </c>
    </row>
    <row r="287" spans="1:15" ht="63.75">
      <c r="A287" s="267">
        <v>1765866</v>
      </c>
      <c r="B287" s="267" t="s">
        <v>3159</v>
      </c>
      <c r="C287" s="268" t="s">
        <v>4372</v>
      </c>
      <c r="D287" s="267" t="s">
        <v>3161</v>
      </c>
      <c r="E287" s="267" t="s">
        <v>3162</v>
      </c>
      <c r="F287" s="267" t="s">
        <v>3681</v>
      </c>
      <c r="G287" s="267"/>
      <c r="H287" s="267" t="s">
        <v>3004</v>
      </c>
      <c r="I287" s="267" t="s">
        <v>3024</v>
      </c>
      <c r="J287" s="267" t="s">
        <v>3107</v>
      </c>
      <c r="K287" s="268" t="s">
        <v>3039</v>
      </c>
      <c r="L287" s="267" t="s">
        <v>2967</v>
      </c>
      <c r="M287" s="267" t="s">
        <v>3168</v>
      </c>
      <c r="N287" s="267" t="s">
        <v>11</v>
      </c>
      <c r="O287" s="268" t="s">
        <v>4373</v>
      </c>
    </row>
    <row r="288" spans="1:15" ht="76.5">
      <c r="A288" s="267">
        <v>1765863</v>
      </c>
      <c r="B288" s="267" t="s">
        <v>3159</v>
      </c>
      <c r="C288" s="268" t="s">
        <v>4374</v>
      </c>
      <c r="D288" s="267" t="s">
        <v>3161</v>
      </c>
      <c r="E288" s="267" t="s">
        <v>3162</v>
      </c>
      <c r="F288" s="267" t="s">
        <v>3681</v>
      </c>
      <c r="G288" s="267"/>
      <c r="H288" s="267" t="s">
        <v>3005</v>
      </c>
      <c r="I288" s="267" t="s">
        <v>4375</v>
      </c>
      <c r="J288" s="267" t="s">
        <v>3107</v>
      </c>
      <c r="K288" s="268" t="s">
        <v>3040</v>
      </c>
      <c r="L288" s="267" t="s">
        <v>3033</v>
      </c>
      <c r="M288" s="267" t="s">
        <v>3168</v>
      </c>
      <c r="N288" s="267" t="s">
        <v>11</v>
      </c>
      <c r="O288" s="268" t="s">
        <v>4376</v>
      </c>
    </row>
    <row r="289" spans="1:15" ht="51">
      <c r="A289" s="267">
        <v>1765858</v>
      </c>
      <c r="B289" s="267" t="s">
        <v>3159</v>
      </c>
      <c r="C289" s="268" t="s">
        <v>4377</v>
      </c>
      <c r="D289" s="267" t="s">
        <v>3161</v>
      </c>
      <c r="E289" s="267" t="s">
        <v>3162</v>
      </c>
      <c r="F289" s="267" t="s">
        <v>3681</v>
      </c>
      <c r="G289" s="267"/>
      <c r="H289" s="267" t="s">
        <v>3006</v>
      </c>
      <c r="I289" s="267" t="s">
        <v>3025</v>
      </c>
      <c r="J289" s="267" t="s">
        <v>3107</v>
      </c>
      <c r="K289" s="268" t="s">
        <v>3040</v>
      </c>
      <c r="L289" s="267" t="s">
        <v>3033</v>
      </c>
      <c r="M289" s="267" t="s">
        <v>3168</v>
      </c>
      <c r="N289" s="267" t="s">
        <v>11</v>
      </c>
      <c r="O289" s="268" t="s">
        <v>4378</v>
      </c>
    </row>
    <row r="290" spans="1:15" ht="51">
      <c r="A290" s="267">
        <v>1765854</v>
      </c>
      <c r="B290" s="267" t="s">
        <v>3159</v>
      </c>
      <c r="C290" s="268" t="s">
        <v>4379</v>
      </c>
      <c r="D290" s="267" t="s">
        <v>3161</v>
      </c>
      <c r="E290" s="267" t="s">
        <v>3162</v>
      </c>
      <c r="F290" s="267" t="s">
        <v>3681</v>
      </c>
      <c r="G290" s="267"/>
      <c r="H290" s="267" t="s">
        <v>3007</v>
      </c>
      <c r="I290" s="267" t="s">
        <v>3026</v>
      </c>
      <c r="J290" s="267" t="s">
        <v>3107</v>
      </c>
      <c r="K290" s="268" t="s">
        <v>3041</v>
      </c>
      <c r="L290" s="267" t="s">
        <v>3033</v>
      </c>
      <c r="M290" s="267" t="s">
        <v>3168</v>
      </c>
      <c r="N290" s="267" t="s">
        <v>11</v>
      </c>
      <c r="O290" s="268" t="s">
        <v>4380</v>
      </c>
    </row>
    <row r="291" spans="1:15" ht="89.25">
      <c r="A291" s="267">
        <v>1765852</v>
      </c>
      <c r="B291" s="267" t="s">
        <v>3159</v>
      </c>
      <c r="C291" s="268" t="s">
        <v>4381</v>
      </c>
      <c r="D291" s="267" t="s">
        <v>3161</v>
      </c>
      <c r="E291" s="267" t="s">
        <v>3162</v>
      </c>
      <c r="F291" s="267" t="s">
        <v>3681</v>
      </c>
      <c r="G291" s="267"/>
      <c r="H291" s="267" t="s">
        <v>3008</v>
      </c>
      <c r="I291" s="267" t="s">
        <v>3027</v>
      </c>
      <c r="J291" s="267" t="s">
        <v>3107</v>
      </c>
      <c r="K291" s="268" t="s">
        <v>3166</v>
      </c>
      <c r="L291" s="267" t="s">
        <v>3167</v>
      </c>
      <c r="M291" s="267" t="s">
        <v>3168</v>
      </c>
      <c r="N291" s="267" t="s">
        <v>11</v>
      </c>
      <c r="O291" s="268" t="s">
        <v>4382</v>
      </c>
    </row>
    <row r="292" spans="1:15" ht="89.25">
      <c r="A292" s="267">
        <v>1765845</v>
      </c>
      <c r="B292" s="267" t="s">
        <v>3159</v>
      </c>
      <c r="C292" s="268" t="s">
        <v>4383</v>
      </c>
      <c r="D292" s="267" t="s">
        <v>3161</v>
      </c>
      <c r="E292" s="267" t="s">
        <v>3162</v>
      </c>
      <c r="F292" s="267" t="s">
        <v>3681</v>
      </c>
      <c r="G292" s="267"/>
      <c r="H292" s="267" t="s">
        <v>3009</v>
      </c>
      <c r="I292" s="267" t="s">
        <v>3028</v>
      </c>
      <c r="J292" s="267" t="s">
        <v>3107</v>
      </c>
      <c r="K292" s="268" t="s">
        <v>3166</v>
      </c>
      <c r="L292" s="267" t="s">
        <v>3167</v>
      </c>
      <c r="M292" s="267" t="s">
        <v>3168</v>
      </c>
      <c r="N292" s="267" t="s">
        <v>11</v>
      </c>
      <c r="O292" s="268" t="s">
        <v>4384</v>
      </c>
    </row>
    <row r="293" spans="1:15" ht="51">
      <c r="A293" s="267">
        <v>1765250</v>
      </c>
      <c r="B293" s="267" t="s">
        <v>3159</v>
      </c>
      <c r="C293" s="268" t="s">
        <v>4385</v>
      </c>
      <c r="D293" s="267" t="s">
        <v>3161</v>
      </c>
      <c r="E293" s="267" t="s">
        <v>3162</v>
      </c>
      <c r="F293" s="267" t="s">
        <v>3681</v>
      </c>
      <c r="G293" s="267"/>
      <c r="H293" s="267" t="s">
        <v>3010</v>
      </c>
      <c r="I293" s="267" t="s">
        <v>3029</v>
      </c>
      <c r="J293" s="267" t="s">
        <v>3107</v>
      </c>
      <c r="K293" s="268" t="s">
        <v>3042</v>
      </c>
      <c r="L293" s="267" t="s">
        <v>4386</v>
      </c>
      <c r="M293" s="267" t="s">
        <v>3168</v>
      </c>
      <c r="N293" s="267" t="s">
        <v>11</v>
      </c>
      <c r="O293" s="268" t="s">
        <v>4387</v>
      </c>
    </row>
    <row r="294" spans="1:15" ht="63.75">
      <c r="A294" s="267">
        <v>1765249</v>
      </c>
      <c r="B294" s="267" t="s">
        <v>3159</v>
      </c>
      <c r="C294" s="268" t="s">
        <v>4388</v>
      </c>
      <c r="D294" s="267" t="s">
        <v>3161</v>
      </c>
      <c r="E294" s="267" t="s">
        <v>3162</v>
      </c>
      <c r="F294" s="267" t="s">
        <v>3681</v>
      </c>
      <c r="G294" s="267"/>
      <c r="H294" s="267" t="s">
        <v>3011</v>
      </c>
      <c r="I294" s="267" t="s">
        <v>3030</v>
      </c>
      <c r="J294" s="267" t="s">
        <v>3107</v>
      </c>
      <c r="K294" s="268" t="s">
        <v>3043</v>
      </c>
      <c r="L294" s="267" t="s">
        <v>2969</v>
      </c>
      <c r="M294" s="267" t="s">
        <v>3168</v>
      </c>
      <c r="N294" s="267" t="s">
        <v>11</v>
      </c>
      <c r="O294" s="268" t="s">
        <v>4389</v>
      </c>
    </row>
    <row r="295" spans="1:15" ht="153">
      <c r="A295" s="267">
        <v>1765248</v>
      </c>
      <c r="B295" s="267" t="s">
        <v>3159</v>
      </c>
      <c r="C295" s="268" t="s">
        <v>4390</v>
      </c>
      <c r="D295" s="267" t="s">
        <v>3161</v>
      </c>
      <c r="E295" s="267" t="s">
        <v>3162</v>
      </c>
      <c r="F295" s="267" t="s">
        <v>3681</v>
      </c>
      <c r="G295" s="267"/>
      <c r="H295" s="267" t="s">
        <v>3012</v>
      </c>
      <c r="I295" s="267" t="s">
        <v>3031</v>
      </c>
      <c r="J295" s="267" t="s">
        <v>3166</v>
      </c>
      <c r="K295" s="268" t="s">
        <v>3166</v>
      </c>
      <c r="L295" s="267" t="s">
        <v>3167</v>
      </c>
      <c r="M295" s="267" t="s">
        <v>3168</v>
      </c>
      <c r="N295" s="267" t="s">
        <v>11</v>
      </c>
      <c r="O295" s="268" t="s">
        <v>4391</v>
      </c>
    </row>
    <row r="296" spans="1:15" ht="114.75">
      <c r="A296" s="267">
        <v>1765242</v>
      </c>
      <c r="B296" s="267" t="s">
        <v>3159</v>
      </c>
      <c r="C296" s="268" t="s">
        <v>4392</v>
      </c>
      <c r="D296" s="267" t="s">
        <v>3161</v>
      </c>
      <c r="E296" s="267" t="s">
        <v>3162</v>
      </c>
      <c r="F296" s="267" t="s">
        <v>3681</v>
      </c>
      <c r="G296" s="267"/>
      <c r="H296" s="267" t="s">
        <v>3013</v>
      </c>
      <c r="I296" s="267" t="s">
        <v>3032</v>
      </c>
      <c r="J296" s="267" t="s">
        <v>3166</v>
      </c>
      <c r="K296" s="268" t="s">
        <v>3166</v>
      </c>
      <c r="L296" s="267" t="s">
        <v>3167</v>
      </c>
      <c r="M296" s="267" t="s">
        <v>3168</v>
      </c>
      <c r="N296" s="267" t="s">
        <v>11</v>
      </c>
      <c r="O296" s="268" t="s">
        <v>4393</v>
      </c>
    </row>
    <row r="297" spans="1:15" ht="140.25">
      <c r="A297" s="267">
        <v>1764924</v>
      </c>
      <c r="B297" s="267" t="s">
        <v>3159</v>
      </c>
      <c r="C297" s="268" t="s">
        <v>4394</v>
      </c>
      <c r="D297" s="267" t="s">
        <v>3161</v>
      </c>
      <c r="E297" s="267" t="s">
        <v>3162</v>
      </c>
      <c r="F297" s="267" t="s">
        <v>3681</v>
      </c>
      <c r="G297" s="267"/>
      <c r="H297" s="267" t="s">
        <v>2921</v>
      </c>
      <c r="I297" s="267" t="s">
        <v>2941</v>
      </c>
      <c r="J297" s="267" t="s">
        <v>3166</v>
      </c>
      <c r="K297" s="268" t="s">
        <v>3166</v>
      </c>
      <c r="L297" s="267" t="s">
        <v>3167</v>
      </c>
      <c r="M297" s="267" t="s">
        <v>3168</v>
      </c>
      <c r="N297" s="267" t="s">
        <v>11</v>
      </c>
      <c r="O297" s="268" t="s">
        <v>4395</v>
      </c>
    </row>
    <row r="298" spans="1:15" ht="102">
      <c r="A298" s="267">
        <v>1764918</v>
      </c>
      <c r="B298" s="267" t="s">
        <v>3159</v>
      </c>
      <c r="C298" s="268" t="s">
        <v>4396</v>
      </c>
      <c r="D298" s="267" t="s">
        <v>3161</v>
      </c>
      <c r="E298" s="267" t="s">
        <v>3162</v>
      </c>
      <c r="F298" s="267" t="s">
        <v>3681</v>
      </c>
      <c r="G298" s="267"/>
      <c r="H298" s="267" t="s">
        <v>2922</v>
      </c>
      <c r="I298" s="267" t="s">
        <v>2942</v>
      </c>
      <c r="J298" s="267" t="s">
        <v>3166</v>
      </c>
      <c r="K298" s="268" t="s">
        <v>3166</v>
      </c>
      <c r="L298" s="267" t="s">
        <v>3167</v>
      </c>
      <c r="M298" s="267" t="s">
        <v>3168</v>
      </c>
      <c r="N298" s="267" t="s">
        <v>11</v>
      </c>
      <c r="O298" s="268" t="s">
        <v>4397</v>
      </c>
    </row>
    <row r="299" spans="1:15" ht="76.5">
      <c r="A299" s="267">
        <v>1764602</v>
      </c>
      <c r="B299" s="267" t="s">
        <v>3159</v>
      </c>
      <c r="C299" s="268" t="s">
        <v>4398</v>
      </c>
      <c r="D299" s="267" t="s">
        <v>3193</v>
      </c>
      <c r="E299" s="267" t="s">
        <v>3162</v>
      </c>
      <c r="F299" s="267" t="s">
        <v>3681</v>
      </c>
      <c r="G299" s="267"/>
      <c r="H299" s="267" t="s">
        <v>2923</v>
      </c>
      <c r="I299" s="267" t="s">
        <v>2943</v>
      </c>
      <c r="J299" s="267" t="s">
        <v>3107</v>
      </c>
      <c r="K299" s="268" t="s">
        <v>76</v>
      </c>
      <c r="L299" s="267" t="s">
        <v>2965</v>
      </c>
      <c r="M299" s="267" t="s">
        <v>3168</v>
      </c>
      <c r="N299" s="267" t="s">
        <v>11</v>
      </c>
      <c r="O299" s="268" t="s">
        <v>4399</v>
      </c>
    </row>
    <row r="300" spans="1:15" ht="89.25">
      <c r="A300" s="267">
        <v>1764590</v>
      </c>
      <c r="B300" s="267" t="s">
        <v>3159</v>
      </c>
      <c r="C300" s="268" t="s">
        <v>4400</v>
      </c>
      <c r="D300" s="267" t="s">
        <v>3171</v>
      </c>
      <c r="E300" s="267" t="s">
        <v>3162</v>
      </c>
      <c r="F300" s="267" t="s">
        <v>3681</v>
      </c>
      <c r="G300" s="267"/>
      <c r="H300" s="267" t="s">
        <v>2924</v>
      </c>
      <c r="I300" s="267" t="s">
        <v>2944</v>
      </c>
      <c r="J300" s="267" t="s">
        <v>2957</v>
      </c>
      <c r="K300" s="268" t="s">
        <v>4401</v>
      </c>
      <c r="L300" s="267" t="s">
        <v>4402</v>
      </c>
      <c r="M300" s="267" t="s">
        <v>3168</v>
      </c>
      <c r="N300" s="267" t="s">
        <v>11</v>
      </c>
      <c r="O300" s="268" t="s">
        <v>4403</v>
      </c>
    </row>
    <row r="301" spans="1:15" ht="89.25">
      <c r="A301" s="267">
        <v>1764582</v>
      </c>
      <c r="B301" s="267" t="s">
        <v>3159</v>
      </c>
      <c r="C301" s="268" t="s">
        <v>4404</v>
      </c>
      <c r="D301" s="267" t="s">
        <v>3171</v>
      </c>
      <c r="E301" s="267" t="s">
        <v>3162</v>
      </c>
      <c r="F301" s="267" t="s">
        <v>3681</v>
      </c>
      <c r="G301" s="267"/>
      <c r="H301" s="267" t="s">
        <v>2925</v>
      </c>
      <c r="I301" s="267" t="s">
        <v>2945</v>
      </c>
      <c r="J301" s="267" t="s">
        <v>2957</v>
      </c>
      <c r="K301" s="268" t="s">
        <v>4401</v>
      </c>
      <c r="L301" s="267" t="s">
        <v>2966</v>
      </c>
      <c r="M301" s="267" t="s">
        <v>3168</v>
      </c>
      <c r="N301" s="267" t="s">
        <v>11</v>
      </c>
      <c r="O301" s="268" t="s">
        <v>4405</v>
      </c>
    </row>
    <row r="302" spans="1:15" ht="89.25">
      <c r="A302" s="267">
        <v>1764579</v>
      </c>
      <c r="B302" s="267" t="s">
        <v>3159</v>
      </c>
      <c r="C302" s="268" t="s">
        <v>4406</v>
      </c>
      <c r="D302" s="267" t="s">
        <v>3171</v>
      </c>
      <c r="E302" s="267" t="s">
        <v>3162</v>
      </c>
      <c r="F302" s="267" t="s">
        <v>3681</v>
      </c>
      <c r="G302" s="267"/>
      <c r="H302" s="267" t="s">
        <v>2926</v>
      </c>
      <c r="I302" s="267" t="s">
        <v>2946</v>
      </c>
      <c r="J302" s="267" t="s">
        <v>2957</v>
      </c>
      <c r="K302" s="268" t="s">
        <v>4401</v>
      </c>
      <c r="L302" s="267" t="s">
        <v>2966</v>
      </c>
      <c r="M302" s="267" t="s">
        <v>3168</v>
      </c>
      <c r="N302" s="267" t="s">
        <v>11</v>
      </c>
      <c r="O302" s="268" t="s">
        <v>4407</v>
      </c>
    </row>
    <row r="303" spans="1:15" ht="89.25">
      <c r="A303" s="267">
        <v>1764465</v>
      </c>
      <c r="B303" s="267" t="s">
        <v>3159</v>
      </c>
      <c r="C303" s="268" t="s">
        <v>4408</v>
      </c>
      <c r="D303" s="267" t="s">
        <v>3171</v>
      </c>
      <c r="E303" s="267" t="s">
        <v>3162</v>
      </c>
      <c r="F303" s="267" t="s">
        <v>3681</v>
      </c>
      <c r="G303" s="267"/>
      <c r="H303" s="267" t="s">
        <v>2928</v>
      </c>
      <c r="I303" s="267" t="s">
        <v>2947</v>
      </c>
      <c r="J303" s="267" t="s">
        <v>3107</v>
      </c>
      <c r="K303" s="268" t="s">
        <v>4409</v>
      </c>
      <c r="L303" s="267" t="s">
        <v>2966</v>
      </c>
      <c r="M303" s="267" t="s">
        <v>3168</v>
      </c>
      <c r="N303" s="267" t="s">
        <v>11</v>
      </c>
      <c r="O303" s="268" t="s">
        <v>4410</v>
      </c>
    </row>
    <row r="304" spans="1:15" ht="89.25">
      <c r="A304" s="267">
        <v>1764463</v>
      </c>
      <c r="B304" s="267" t="s">
        <v>3159</v>
      </c>
      <c r="C304" s="268" t="s">
        <v>4411</v>
      </c>
      <c r="D304" s="267" t="s">
        <v>3300</v>
      </c>
      <c r="E304" s="267" t="s">
        <v>3162</v>
      </c>
      <c r="F304" s="267" t="s">
        <v>3681</v>
      </c>
      <c r="G304" s="267"/>
      <c r="H304" s="267" t="s">
        <v>2929</v>
      </c>
      <c r="I304" s="267" t="s">
        <v>1429</v>
      </c>
      <c r="J304" s="267" t="s">
        <v>2958</v>
      </c>
      <c r="K304" s="268" t="s">
        <v>2982</v>
      </c>
      <c r="L304" s="267" t="s">
        <v>2968</v>
      </c>
      <c r="M304" s="267" t="s">
        <v>3168</v>
      </c>
      <c r="N304" s="267" t="s">
        <v>11</v>
      </c>
      <c r="O304" s="268" t="s">
        <v>4412</v>
      </c>
    </row>
    <row r="305" spans="1:15" ht="127.5">
      <c r="A305" s="267">
        <v>1764459</v>
      </c>
      <c r="B305" s="267" t="s">
        <v>3159</v>
      </c>
      <c r="C305" s="268" t="s">
        <v>4413</v>
      </c>
      <c r="D305" s="267" t="s">
        <v>3171</v>
      </c>
      <c r="E305" s="267" t="s">
        <v>3162</v>
      </c>
      <c r="F305" s="267" t="s">
        <v>3681</v>
      </c>
      <c r="G305" s="267"/>
      <c r="H305" s="267" t="s">
        <v>2930</v>
      </c>
      <c r="I305" s="267" t="s">
        <v>4414</v>
      </c>
      <c r="J305" s="267" t="s">
        <v>2959</v>
      </c>
      <c r="K305" s="268" t="s">
        <v>76</v>
      </c>
      <c r="L305" s="267" t="s">
        <v>2969</v>
      </c>
      <c r="M305" s="267" t="s">
        <v>3168</v>
      </c>
      <c r="N305" s="267" t="s">
        <v>11</v>
      </c>
      <c r="O305" s="268" t="s">
        <v>4415</v>
      </c>
    </row>
    <row r="306" spans="1:15" ht="140.25">
      <c r="A306" s="267">
        <v>1763996</v>
      </c>
      <c r="B306" s="267" t="s">
        <v>3159</v>
      </c>
      <c r="C306" s="268" t="s">
        <v>4416</v>
      </c>
      <c r="D306" s="267" t="s">
        <v>3218</v>
      </c>
      <c r="E306" s="267" t="s">
        <v>3162</v>
      </c>
      <c r="F306" s="267" t="s">
        <v>3681</v>
      </c>
      <c r="G306" s="267"/>
      <c r="H306" s="267" t="s">
        <v>2931</v>
      </c>
      <c r="I306" s="267" t="s">
        <v>2948</v>
      </c>
      <c r="J306" s="267" t="s">
        <v>2960</v>
      </c>
      <c r="K306" s="268" t="s">
        <v>4417</v>
      </c>
      <c r="L306" s="267" t="s">
        <v>2970</v>
      </c>
      <c r="M306" s="267" t="s">
        <v>3168</v>
      </c>
      <c r="N306" s="267" t="s">
        <v>11</v>
      </c>
      <c r="O306" s="268" t="s">
        <v>4418</v>
      </c>
    </row>
    <row r="307" spans="1:15" ht="63.75">
      <c r="A307" s="267">
        <v>1763864</v>
      </c>
      <c r="B307" s="267" t="s">
        <v>3159</v>
      </c>
      <c r="C307" s="268" t="s">
        <v>4419</v>
      </c>
      <c r="D307" s="267" t="s">
        <v>3161</v>
      </c>
      <c r="E307" s="267" t="s">
        <v>3162</v>
      </c>
      <c r="F307" s="267" t="s">
        <v>3681</v>
      </c>
      <c r="G307" s="267"/>
      <c r="H307" s="267" t="s">
        <v>2932</v>
      </c>
      <c r="I307" s="267" t="s">
        <v>2949</v>
      </c>
      <c r="J307" s="267" t="s">
        <v>2961</v>
      </c>
      <c r="K307" s="268" t="s">
        <v>3166</v>
      </c>
      <c r="L307" s="267" t="s">
        <v>2965</v>
      </c>
      <c r="M307" s="267" t="s">
        <v>3168</v>
      </c>
      <c r="N307" s="267" t="s">
        <v>11</v>
      </c>
      <c r="O307" s="268" t="s">
        <v>4420</v>
      </c>
    </row>
    <row r="308" spans="1:15" ht="63.75">
      <c r="A308" s="267">
        <v>1763723</v>
      </c>
      <c r="B308" s="267" t="s">
        <v>3159</v>
      </c>
      <c r="C308" s="268" t="s">
        <v>4421</v>
      </c>
      <c r="D308" s="267" t="s">
        <v>3171</v>
      </c>
      <c r="E308" s="267" t="s">
        <v>3162</v>
      </c>
      <c r="F308" s="267" t="s">
        <v>3681</v>
      </c>
      <c r="G308" s="267"/>
      <c r="H308" s="267" t="s">
        <v>2933</v>
      </c>
      <c r="I308" s="267" t="s">
        <v>2949</v>
      </c>
      <c r="J308" s="267" t="s">
        <v>2962</v>
      </c>
      <c r="K308" s="268" t="s">
        <v>4422</v>
      </c>
      <c r="L308" s="267" t="s">
        <v>2966</v>
      </c>
      <c r="M308" s="267" t="s">
        <v>3168</v>
      </c>
      <c r="N308" s="267" t="s">
        <v>11</v>
      </c>
      <c r="O308" s="268" t="s">
        <v>4423</v>
      </c>
    </row>
    <row r="309" spans="1:15" ht="76.5">
      <c r="A309" s="267">
        <v>1763700</v>
      </c>
      <c r="B309" s="267" t="s">
        <v>3159</v>
      </c>
      <c r="C309" s="268" t="s">
        <v>3328</v>
      </c>
      <c r="D309" s="267" t="s">
        <v>3300</v>
      </c>
      <c r="E309" s="267" t="s">
        <v>3162</v>
      </c>
      <c r="F309" s="267" t="s">
        <v>3681</v>
      </c>
      <c r="G309" s="267"/>
      <c r="H309" s="267" t="s">
        <v>2934</v>
      </c>
      <c r="I309" s="267" t="s">
        <v>2950</v>
      </c>
      <c r="J309" s="267" t="s">
        <v>2963</v>
      </c>
      <c r="K309" s="268" t="s">
        <v>2986</v>
      </c>
      <c r="L309" s="267" t="s">
        <v>2971</v>
      </c>
      <c r="M309" s="267" t="s">
        <v>3168</v>
      </c>
      <c r="N309" s="267" t="s">
        <v>11</v>
      </c>
      <c r="O309" s="268" t="s">
        <v>4424</v>
      </c>
    </row>
    <row r="310" spans="1:15" ht="89.25">
      <c r="A310" s="267">
        <v>1763699</v>
      </c>
      <c r="B310" s="267" t="s">
        <v>3159</v>
      </c>
      <c r="C310" s="268" t="s">
        <v>4425</v>
      </c>
      <c r="D310" s="267" t="s">
        <v>3171</v>
      </c>
      <c r="E310" s="267" t="s">
        <v>3162</v>
      </c>
      <c r="F310" s="267" t="s">
        <v>3681</v>
      </c>
      <c r="G310" s="267"/>
      <c r="H310" s="267" t="s">
        <v>2935</v>
      </c>
      <c r="I310" s="267" t="s">
        <v>2951</v>
      </c>
      <c r="J310" s="267" t="s">
        <v>3107</v>
      </c>
      <c r="K310" s="268" t="s">
        <v>2987</v>
      </c>
      <c r="L310" s="267" t="s">
        <v>2969</v>
      </c>
      <c r="M310" s="267" t="s">
        <v>3168</v>
      </c>
      <c r="N310" s="267" t="s">
        <v>11</v>
      </c>
      <c r="O310" s="268" t="s">
        <v>4426</v>
      </c>
    </row>
    <row r="311" spans="1:15" ht="89.25">
      <c r="A311" s="267">
        <v>1763690</v>
      </c>
      <c r="B311" s="267" t="s">
        <v>3159</v>
      </c>
      <c r="C311" s="268" t="s">
        <v>4427</v>
      </c>
      <c r="D311" s="267" t="s">
        <v>3171</v>
      </c>
      <c r="E311" s="267" t="s">
        <v>3162</v>
      </c>
      <c r="F311" s="267" t="s">
        <v>3681</v>
      </c>
      <c r="G311" s="267"/>
      <c r="H311" s="267" t="s">
        <v>2936</v>
      </c>
      <c r="I311" s="267" t="s">
        <v>2952</v>
      </c>
      <c r="J311" s="267" t="s">
        <v>3107</v>
      </c>
      <c r="K311" s="268" t="s">
        <v>76</v>
      </c>
      <c r="L311" s="267" t="s">
        <v>4428</v>
      </c>
      <c r="M311" s="267" t="s">
        <v>3168</v>
      </c>
      <c r="N311" s="267" t="s">
        <v>11</v>
      </c>
      <c r="O311" s="268" t="s">
        <v>4429</v>
      </c>
    </row>
    <row r="312" spans="1:15" ht="89.25">
      <c r="A312" s="267">
        <v>1763679</v>
      </c>
      <c r="B312" s="267" t="s">
        <v>3159</v>
      </c>
      <c r="C312" s="268" t="s">
        <v>4430</v>
      </c>
      <c r="D312" s="267" t="s">
        <v>3171</v>
      </c>
      <c r="E312" s="267" t="s">
        <v>3162</v>
      </c>
      <c r="F312" s="267" t="s">
        <v>3681</v>
      </c>
      <c r="G312" s="267"/>
      <c r="H312" s="267" t="s">
        <v>2937</v>
      </c>
      <c r="I312" s="267" t="s">
        <v>2953</v>
      </c>
      <c r="J312" s="267" t="s">
        <v>3107</v>
      </c>
      <c r="K312" s="268" t="s">
        <v>76</v>
      </c>
      <c r="L312" s="267" t="s">
        <v>4135</v>
      </c>
      <c r="M312" s="267" t="s">
        <v>3168</v>
      </c>
      <c r="N312" s="267" t="s">
        <v>11</v>
      </c>
      <c r="O312" s="268" t="s">
        <v>4431</v>
      </c>
    </row>
    <row r="313" spans="1:15" ht="114.75">
      <c r="A313" s="267">
        <v>1763671</v>
      </c>
      <c r="B313" s="267" t="s">
        <v>3159</v>
      </c>
      <c r="C313" s="268" t="s">
        <v>3818</v>
      </c>
      <c r="D313" s="267" t="s">
        <v>3171</v>
      </c>
      <c r="E313" s="267" t="s">
        <v>3162</v>
      </c>
      <c r="F313" s="267" t="s">
        <v>3681</v>
      </c>
      <c r="G313" s="267"/>
      <c r="H313" s="267" t="s">
        <v>2938</v>
      </c>
      <c r="I313" s="267" t="s">
        <v>2954</v>
      </c>
      <c r="J313" s="267" t="s">
        <v>2964</v>
      </c>
      <c r="K313" s="268" t="s">
        <v>2988</v>
      </c>
      <c r="L313" s="267" t="s">
        <v>3209</v>
      </c>
      <c r="M313" s="267" t="s">
        <v>3168</v>
      </c>
      <c r="N313" s="267" t="s">
        <v>11</v>
      </c>
      <c r="O313" s="268" t="s">
        <v>4432</v>
      </c>
    </row>
    <row r="314" spans="1:15" ht="76.5">
      <c r="A314" s="267">
        <v>1763667</v>
      </c>
      <c r="B314" s="267" t="s">
        <v>3159</v>
      </c>
      <c r="C314" s="268" t="s">
        <v>4433</v>
      </c>
      <c r="D314" s="267" t="s">
        <v>3171</v>
      </c>
      <c r="E314" s="267" t="s">
        <v>3162</v>
      </c>
      <c r="F314" s="267" t="s">
        <v>3681</v>
      </c>
      <c r="G314" s="267"/>
      <c r="H314" s="267" t="s">
        <v>2939</v>
      </c>
      <c r="I314" s="267" t="s">
        <v>2955</v>
      </c>
      <c r="J314" s="267" t="s">
        <v>2964</v>
      </c>
      <c r="K314" s="268" t="s">
        <v>2989</v>
      </c>
      <c r="L314" s="267" t="s">
        <v>2972</v>
      </c>
      <c r="M314" s="267" t="s">
        <v>3168</v>
      </c>
      <c r="N314" s="267" t="s">
        <v>11</v>
      </c>
      <c r="O314" s="268" t="s">
        <v>4434</v>
      </c>
    </row>
    <row r="315" spans="1:15" ht="76.5">
      <c r="A315" s="267">
        <v>1763651</v>
      </c>
      <c r="B315" s="267" t="s">
        <v>3159</v>
      </c>
      <c r="C315" s="268" t="s">
        <v>4435</v>
      </c>
      <c r="D315" s="267" t="s">
        <v>3171</v>
      </c>
      <c r="E315" s="267" t="s">
        <v>3162</v>
      </c>
      <c r="F315" s="267" t="s">
        <v>3681</v>
      </c>
      <c r="G315" s="267"/>
      <c r="H315" s="267" t="s">
        <v>2940</v>
      </c>
      <c r="I315" s="267" t="s">
        <v>2956</v>
      </c>
      <c r="J315" s="267" t="s">
        <v>2964</v>
      </c>
      <c r="K315" s="268" t="s">
        <v>2990</v>
      </c>
      <c r="L315" s="267" t="s">
        <v>4436</v>
      </c>
      <c r="M315" s="267" t="s">
        <v>3168</v>
      </c>
      <c r="N315" s="267" t="s">
        <v>11</v>
      </c>
      <c r="O315" s="268" t="s">
        <v>4437</v>
      </c>
    </row>
    <row r="316" spans="1:15" ht="76.5">
      <c r="A316" s="267">
        <v>1763639</v>
      </c>
      <c r="B316" s="267" t="s">
        <v>3159</v>
      </c>
      <c r="C316" s="268" t="s">
        <v>4438</v>
      </c>
      <c r="D316" s="267" t="s">
        <v>3171</v>
      </c>
      <c r="E316" s="267" t="s">
        <v>3162</v>
      </c>
      <c r="F316" s="267" t="s">
        <v>3681</v>
      </c>
      <c r="G316" s="267"/>
      <c r="H316" s="267" t="s">
        <v>2872</v>
      </c>
      <c r="I316" s="267" t="s">
        <v>4439</v>
      </c>
      <c r="J316" s="267" t="s">
        <v>3107</v>
      </c>
      <c r="K316" s="268" t="s">
        <v>76</v>
      </c>
      <c r="L316" s="267" t="s">
        <v>2969</v>
      </c>
      <c r="M316" s="267" t="s">
        <v>3168</v>
      </c>
      <c r="N316" s="267" t="s">
        <v>11</v>
      </c>
      <c r="O316" s="268" t="s">
        <v>4440</v>
      </c>
    </row>
    <row r="317" spans="1:15" ht="89.25">
      <c r="A317" s="267">
        <v>1763628</v>
      </c>
      <c r="B317" s="267" t="s">
        <v>3159</v>
      </c>
      <c r="C317" s="268" t="s">
        <v>4441</v>
      </c>
      <c r="D317" s="267" t="s">
        <v>3171</v>
      </c>
      <c r="E317" s="267" t="s">
        <v>3162</v>
      </c>
      <c r="F317" s="267" t="s">
        <v>3681</v>
      </c>
      <c r="G317" s="267"/>
      <c r="H317" s="267" t="s">
        <v>2873</v>
      </c>
      <c r="I317" s="267" t="s">
        <v>1821</v>
      </c>
      <c r="J317" s="267" t="s">
        <v>2964</v>
      </c>
      <c r="K317" s="268" t="s">
        <v>76</v>
      </c>
      <c r="L317" s="267" t="s">
        <v>3228</v>
      </c>
      <c r="M317" s="267" t="s">
        <v>3168</v>
      </c>
      <c r="N317" s="267" t="s">
        <v>11</v>
      </c>
      <c r="O317" s="268" t="s">
        <v>4442</v>
      </c>
    </row>
    <row r="318" spans="1:15" ht="102">
      <c r="A318" s="267">
        <v>1763627</v>
      </c>
      <c r="B318" s="267" t="s">
        <v>3159</v>
      </c>
      <c r="C318" s="268" t="s">
        <v>4443</v>
      </c>
      <c r="D318" s="267" t="s">
        <v>3218</v>
      </c>
      <c r="E318" s="267" t="s">
        <v>3162</v>
      </c>
      <c r="F318" s="267" t="s">
        <v>3681</v>
      </c>
      <c r="G318" s="267"/>
      <c r="H318" s="267" t="s">
        <v>2874</v>
      </c>
      <c r="I318" s="267" t="s">
        <v>4444</v>
      </c>
      <c r="J318" s="267" t="s">
        <v>3592</v>
      </c>
      <c r="K318" s="268" t="s">
        <v>4445</v>
      </c>
      <c r="L318" s="267" t="s">
        <v>38</v>
      </c>
      <c r="M318" s="267" t="s">
        <v>3168</v>
      </c>
      <c r="N318" s="267" t="s">
        <v>11</v>
      </c>
      <c r="O318" s="268" t="s">
        <v>4446</v>
      </c>
    </row>
    <row r="319" spans="1:15" ht="76.5">
      <c r="A319" s="267">
        <v>1763618</v>
      </c>
      <c r="B319" s="267" t="s">
        <v>3159</v>
      </c>
      <c r="C319" s="268" t="s">
        <v>4447</v>
      </c>
      <c r="D319" s="267" t="s">
        <v>3171</v>
      </c>
      <c r="E319" s="267" t="s">
        <v>3162</v>
      </c>
      <c r="F319" s="267" t="s">
        <v>3681</v>
      </c>
      <c r="G319" s="267"/>
      <c r="H319" s="267" t="s">
        <v>2875</v>
      </c>
      <c r="I319" s="267" t="s">
        <v>4448</v>
      </c>
      <c r="J319" s="267" t="s">
        <v>2964</v>
      </c>
      <c r="K319" s="268" t="s">
        <v>76</v>
      </c>
      <c r="L319" s="267" t="s">
        <v>3228</v>
      </c>
      <c r="M319" s="267" t="s">
        <v>3168</v>
      </c>
      <c r="N319" s="267" t="s">
        <v>11</v>
      </c>
      <c r="O319" s="268" t="s">
        <v>4449</v>
      </c>
    </row>
    <row r="320" spans="1:15" ht="76.5">
      <c r="A320" s="267">
        <v>1763612</v>
      </c>
      <c r="B320" s="267" t="s">
        <v>3159</v>
      </c>
      <c r="C320" s="268" t="s">
        <v>4450</v>
      </c>
      <c r="D320" s="267" t="s">
        <v>3171</v>
      </c>
      <c r="E320" s="267" t="s">
        <v>3162</v>
      </c>
      <c r="F320" s="267" t="s">
        <v>3681</v>
      </c>
      <c r="G320" s="267"/>
      <c r="H320" s="267" t="s">
        <v>2876</v>
      </c>
      <c r="I320" s="267" t="s">
        <v>4451</v>
      </c>
      <c r="J320" s="267" t="s">
        <v>2964</v>
      </c>
      <c r="K320" s="268" t="s">
        <v>76</v>
      </c>
      <c r="L320" s="267" t="s">
        <v>4428</v>
      </c>
      <c r="M320" s="267" t="s">
        <v>3168</v>
      </c>
      <c r="N320" s="267" t="s">
        <v>11</v>
      </c>
      <c r="O320" s="268" t="s">
        <v>4452</v>
      </c>
    </row>
    <row r="321" spans="1:15" ht="89.25">
      <c r="A321" s="267">
        <v>1763583</v>
      </c>
      <c r="B321" s="267" t="s">
        <v>3159</v>
      </c>
      <c r="C321" s="268" t="s">
        <v>4453</v>
      </c>
      <c r="D321" s="267" t="s">
        <v>3161</v>
      </c>
      <c r="E321" s="267" t="s">
        <v>3162</v>
      </c>
      <c r="F321" s="267" t="s">
        <v>3681</v>
      </c>
      <c r="G321" s="267"/>
      <c r="H321" s="267" t="s">
        <v>2877</v>
      </c>
      <c r="I321" s="267" t="s">
        <v>755</v>
      </c>
      <c r="J321" s="267" t="s">
        <v>3166</v>
      </c>
      <c r="K321" s="268" t="s">
        <v>3166</v>
      </c>
      <c r="L321" s="267" t="s">
        <v>3167</v>
      </c>
      <c r="M321" s="267" t="s">
        <v>3168</v>
      </c>
      <c r="N321" s="267" t="s">
        <v>11</v>
      </c>
      <c r="O321" s="268" t="s">
        <v>4454</v>
      </c>
    </row>
    <row r="322" spans="1:15" ht="76.5">
      <c r="A322" s="267">
        <v>1763579</v>
      </c>
      <c r="B322" s="267" t="s">
        <v>3159</v>
      </c>
      <c r="C322" s="268" t="s">
        <v>4455</v>
      </c>
      <c r="D322" s="267" t="s">
        <v>3171</v>
      </c>
      <c r="E322" s="267" t="s">
        <v>3162</v>
      </c>
      <c r="F322" s="267" t="s">
        <v>3681</v>
      </c>
      <c r="G322" s="267"/>
      <c r="H322" s="267" t="s">
        <v>2878</v>
      </c>
      <c r="I322" s="267" t="s">
        <v>4456</v>
      </c>
      <c r="J322" s="267" t="s">
        <v>2964</v>
      </c>
      <c r="K322" s="268" t="s">
        <v>76</v>
      </c>
      <c r="L322" s="267" t="s">
        <v>4428</v>
      </c>
      <c r="M322" s="267" t="s">
        <v>3168</v>
      </c>
      <c r="N322" s="267" t="s">
        <v>11</v>
      </c>
      <c r="O322" s="268" t="s">
        <v>4457</v>
      </c>
    </row>
    <row r="323" spans="1:15" ht="76.5">
      <c r="A323" s="267">
        <v>1763561</v>
      </c>
      <c r="B323" s="267" t="s">
        <v>3159</v>
      </c>
      <c r="C323" s="268" t="s">
        <v>4458</v>
      </c>
      <c r="D323" s="267" t="s">
        <v>3171</v>
      </c>
      <c r="E323" s="267" t="s">
        <v>3162</v>
      </c>
      <c r="F323" s="267" t="s">
        <v>3681</v>
      </c>
      <c r="G323" s="267"/>
      <c r="H323" s="267" t="s">
        <v>2879</v>
      </c>
      <c r="I323" s="267" t="s">
        <v>4459</v>
      </c>
      <c r="J323" s="267" t="s">
        <v>2964</v>
      </c>
      <c r="K323" s="268" t="s">
        <v>76</v>
      </c>
      <c r="L323" s="267" t="s">
        <v>3228</v>
      </c>
      <c r="M323" s="267" t="s">
        <v>3168</v>
      </c>
      <c r="N323" s="267" t="s">
        <v>11</v>
      </c>
      <c r="O323" s="268" t="s">
        <v>4460</v>
      </c>
    </row>
    <row r="324" spans="1:15" ht="63.75">
      <c r="A324" s="267">
        <v>1763314</v>
      </c>
      <c r="B324" s="267" t="s">
        <v>3159</v>
      </c>
      <c r="C324" s="268" t="s">
        <v>4461</v>
      </c>
      <c r="D324" s="267" t="s">
        <v>3300</v>
      </c>
      <c r="E324" s="267" t="s">
        <v>3162</v>
      </c>
      <c r="F324" s="267" t="s">
        <v>3681</v>
      </c>
      <c r="G324" s="267"/>
      <c r="H324" s="267" t="s">
        <v>2880</v>
      </c>
      <c r="I324" s="267" t="s">
        <v>4462</v>
      </c>
      <c r="J324" s="267" t="s">
        <v>3107</v>
      </c>
      <c r="K324" s="268" t="s">
        <v>2892</v>
      </c>
      <c r="L324" s="267" t="s">
        <v>2965</v>
      </c>
      <c r="M324" s="267" t="s">
        <v>3168</v>
      </c>
      <c r="N324" s="267" t="s">
        <v>11</v>
      </c>
      <c r="O324" s="268" t="s">
        <v>4463</v>
      </c>
    </row>
    <row r="325" spans="1:15" ht="153">
      <c r="A325" s="267">
        <v>1763312</v>
      </c>
      <c r="B325" s="267" t="s">
        <v>3159</v>
      </c>
      <c r="C325" s="268" t="s">
        <v>4464</v>
      </c>
      <c r="D325" s="267" t="s">
        <v>3300</v>
      </c>
      <c r="E325" s="267" t="s">
        <v>3162</v>
      </c>
      <c r="F325" s="267" t="s">
        <v>3681</v>
      </c>
      <c r="G325" s="267"/>
      <c r="H325" s="267" t="s">
        <v>2882</v>
      </c>
      <c r="I325" s="267" t="s">
        <v>4465</v>
      </c>
      <c r="J325" s="267" t="s">
        <v>3107</v>
      </c>
      <c r="K325" s="268" t="s">
        <v>3310</v>
      </c>
      <c r="L325" s="267" t="s">
        <v>3310</v>
      </c>
      <c r="M325" s="267" t="s">
        <v>3168</v>
      </c>
      <c r="N325" s="267" t="s">
        <v>11</v>
      </c>
      <c r="O325" s="268" t="s">
        <v>4466</v>
      </c>
    </row>
    <row r="326" spans="1:15" ht="127.5">
      <c r="A326" s="267">
        <v>1763311</v>
      </c>
      <c r="B326" s="267" t="s">
        <v>3159</v>
      </c>
      <c r="C326" s="268" t="s">
        <v>4467</v>
      </c>
      <c r="D326" s="267" t="s">
        <v>3161</v>
      </c>
      <c r="E326" s="267" t="s">
        <v>3162</v>
      </c>
      <c r="F326" s="267" t="s">
        <v>3681</v>
      </c>
      <c r="G326" s="267"/>
      <c r="H326" s="267" t="s">
        <v>2881</v>
      </c>
      <c r="I326" s="267" t="s">
        <v>4468</v>
      </c>
      <c r="J326" s="267" t="s">
        <v>3659</v>
      </c>
      <c r="K326" s="268" t="s">
        <v>3166</v>
      </c>
      <c r="L326" s="267" t="s">
        <v>2971</v>
      </c>
      <c r="M326" s="267" t="s">
        <v>3168</v>
      </c>
      <c r="N326" s="267" t="s">
        <v>11</v>
      </c>
      <c r="O326" s="268" t="s">
        <v>4469</v>
      </c>
    </row>
    <row r="327" spans="1:15" ht="51">
      <c r="A327" s="267">
        <v>1763303</v>
      </c>
      <c r="B327" s="267" t="s">
        <v>3159</v>
      </c>
      <c r="C327" s="268" t="s">
        <v>4470</v>
      </c>
      <c r="D327" s="267" t="s">
        <v>3161</v>
      </c>
      <c r="E327" s="267" t="s">
        <v>3162</v>
      </c>
      <c r="F327" s="267" t="s">
        <v>3681</v>
      </c>
      <c r="G327" s="267"/>
      <c r="H327" s="267" t="s">
        <v>2883</v>
      </c>
      <c r="I327" s="267" t="s">
        <v>4471</v>
      </c>
      <c r="J327" s="267" t="s">
        <v>3107</v>
      </c>
      <c r="K327" s="268" t="s">
        <v>4472</v>
      </c>
      <c r="L327" s="267" t="s">
        <v>2965</v>
      </c>
      <c r="M327" s="267" t="s">
        <v>3168</v>
      </c>
      <c r="N327" s="267" t="s">
        <v>11</v>
      </c>
      <c r="O327" s="268" t="s">
        <v>4473</v>
      </c>
    </row>
    <row r="328" spans="1:15" ht="51">
      <c r="A328" s="267">
        <v>1763301</v>
      </c>
      <c r="B328" s="267" t="s">
        <v>3159</v>
      </c>
      <c r="C328" s="268" t="s">
        <v>4474</v>
      </c>
      <c r="D328" s="267" t="s">
        <v>3161</v>
      </c>
      <c r="E328" s="267" t="s">
        <v>3162</v>
      </c>
      <c r="F328" s="267" t="s">
        <v>3681</v>
      </c>
      <c r="G328" s="267"/>
      <c r="H328" s="267" t="s">
        <v>2884</v>
      </c>
      <c r="I328" s="267" t="s">
        <v>4475</v>
      </c>
      <c r="J328" s="267" t="s">
        <v>3107</v>
      </c>
      <c r="K328" s="268" t="s">
        <v>3166</v>
      </c>
      <c r="L328" s="267" t="s">
        <v>3546</v>
      </c>
      <c r="M328" s="267" t="s">
        <v>3168</v>
      </c>
      <c r="N328" s="267" t="s">
        <v>11</v>
      </c>
      <c r="O328" s="268" t="s">
        <v>4476</v>
      </c>
    </row>
    <row r="329" spans="1:15" ht="204">
      <c r="A329" s="267">
        <v>1763294</v>
      </c>
      <c r="B329" s="267" t="s">
        <v>3159</v>
      </c>
      <c r="C329" s="268" t="s">
        <v>4477</v>
      </c>
      <c r="D329" s="267" t="s">
        <v>3161</v>
      </c>
      <c r="E329" s="267" t="s">
        <v>3162</v>
      </c>
      <c r="F329" s="267" t="s">
        <v>3681</v>
      </c>
      <c r="G329" s="267"/>
      <c r="H329" s="267" t="s">
        <v>2885</v>
      </c>
      <c r="I329" s="267" t="s">
        <v>4478</v>
      </c>
      <c r="J329" s="267" t="s">
        <v>3166</v>
      </c>
      <c r="K329" s="268" t="s">
        <v>3166</v>
      </c>
      <c r="L329" s="267" t="s">
        <v>3167</v>
      </c>
      <c r="M329" s="267" t="s">
        <v>3168</v>
      </c>
      <c r="N329" s="267" t="s">
        <v>11</v>
      </c>
      <c r="O329" s="268" t="s">
        <v>4479</v>
      </c>
    </row>
    <row r="330" spans="1:15" ht="114.75">
      <c r="A330" s="267">
        <v>1763273</v>
      </c>
      <c r="B330" s="267" t="s">
        <v>3159</v>
      </c>
      <c r="C330" s="268" t="s">
        <v>4480</v>
      </c>
      <c r="D330" s="267" t="s">
        <v>3300</v>
      </c>
      <c r="E330" s="267" t="s">
        <v>3162</v>
      </c>
      <c r="F330" s="267" t="s">
        <v>3681</v>
      </c>
      <c r="G330" s="267"/>
      <c r="H330" s="267" t="s">
        <v>2886</v>
      </c>
      <c r="I330" s="267" t="s">
        <v>3387</v>
      </c>
      <c r="J330" s="267" t="s">
        <v>4481</v>
      </c>
      <c r="K330" s="268" t="s">
        <v>3310</v>
      </c>
      <c r="L330" s="267" t="s">
        <v>3310</v>
      </c>
      <c r="M330" s="267" t="s">
        <v>3168</v>
      </c>
      <c r="N330" s="267" t="s">
        <v>23</v>
      </c>
      <c r="O330" s="268" t="s">
        <v>4482</v>
      </c>
    </row>
    <row r="331" spans="1:15" ht="76.5">
      <c r="A331" s="267">
        <v>1763268</v>
      </c>
      <c r="B331" s="267" t="s">
        <v>3159</v>
      </c>
      <c r="C331" s="268" t="s">
        <v>4483</v>
      </c>
      <c r="D331" s="267" t="s">
        <v>3300</v>
      </c>
      <c r="E331" s="267" t="s">
        <v>3162</v>
      </c>
      <c r="F331" s="267" t="s">
        <v>3681</v>
      </c>
      <c r="G331" s="267"/>
      <c r="H331" s="267" t="s">
        <v>2887</v>
      </c>
      <c r="I331" s="267" t="s">
        <v>4484</v>
      </c>
      <c r="J331" s="267" t="s">
        <v>3107</v>
      </c>
      <c r="K331" s="268" t="s">
        <v>4485</v>
      </c>
      <c r="L331" s="267" t="s">
        <v>3241</v>
      </c>
      <c r="M331" s="267" t="s">
        <v>3168</v>
      </c>
      <c r="N331" s="267" t="s">
        <v>23</v>
      </c>
      <c r="O331" s="268" t="s">
        <v>4486</v>
      </c>
    </row>
    <row r="332" spans="1:15" ht="63.75">
      <c r="A332" s="267">
        <v>1763045</v>
      </c>
      <c r="B332" s="267" t="s">
        <v>3159</v>
      </c>
      <c r="C332" s="268" t="s">
        <v>4487</v>
      </c>
      <c r="D332" s="267" t="s">
        <v>3161</v>
      </c>
      <c r="E332" s="267" t="s">
        <v>3162</v>
      </c>
      <c r="F332" s="267" t="s">
        <v>3681</v>
      </c>
      <c r="G332" s="267"/>
      <c r="H332" s="267" t="s">
        <v>2888</v>
      </c>
      <c r="I332" s="267" t="s">
        <v>4488</v>
      </c>
      <c r="J332" s="267" t="s">
        <v>2961</v>
      </c>
      <c r="K332" s="268" t="s">
        <v>4489</v>
      </c>
      <c r="L332" s="267" t="s">
        <v>3189</v>
      </c>
      <c r="M332" s="267" t="s">
        <v>3168</v>
      </c>
      <c r="N332" s="267" t="s">
        <v>11</v>
      </c>
      <c r="O332" s="268" t="s">
        <v>4490</v>
      </c>
    </row>
    <row r="333" spans="1:15" ht="102">
      <c r="A333" s="267">
        <v>1762584</v>
      </c>
      <c r="B333" s="267" t="s">
        <v>3159</v>
      </c>
      <c r="C333" s="268" t="s">
        <v>4491</v>
      </c>
      <c r="D333" s="267" t="s">
        <v>3193</v>
      </c>
      <c r="E333" s="267" t="s">
        <v>3162</v>
      </c>
      <c r="F333" s="267" t="s">
        <v>3681</v>
      </c>
      <c r="G333" s="267"/>
      <c r="H333" s="267" t="s">
        <v>2890</v>
      </c>
      <c r="I333" s="267" t="s">
        <v>2949</v>
      </c>
      <c r="J333" s="267" t="s">
        <v>3034</v>
      </c>
      <c r="K333" s="268" t="s">
        <v>4492</v>
      </c>
      <c r="L333" s="267" t="s">
        <v>3116</v>
      </c>
      <c r="M333" s="267" t="s">
        <v>3168</v>
      </c>
      <c r="N333" s="267" t="s">
        <v>11</v>
      </c>
      <c r="O333" s="268" t="s">
        <v>4493</v>
      </c>
    </row>
    <row r="334" spans="1:15" ht="102">
      <c r="A334" s="267">
        <v>1762550</v>
      </c>
      <c r="B334" s="267" t="s">
        <v>3159</v>
      </c>
      <c r="C334" s="268" t="s">
        <v>4494</v>
      </c>
      <c r="D334" s="267" t="s">
        <v>3193</v>
      </c>
      <c r="E334" s="267" t="s">
        <v>3162</v>
      </c>
      <c r="F334" s="267" t="s">
        <v>3681</v>
      </c>
      <c r="G334" s="267"/>
      <c r="H334" s="267" t="s">
        <v>2891</v>
      </c>
      <c r="I334" s="267" t="s">
        <v>4495</v>
      </c>
      <c r="J334" s="267" t="s">
        <v>3107</v>
      </c>
      <c r="K334" s="268" t="s">
        <v>76</v>
      </c>
      <c r="L334" s="267" t="s">
        <v>2970</v>
      </c>
      <c r="M334" s="267" t="s">
        <v>3168</v>
      </c>
      <c r="N334" s="267" t="s">
        <v>11</v>
      </c>
      <c r="O334" s="268" t="s">
        <v>4496</v>
      </c>
    </row>
    <row r="335" spans="1:15" ht="76.5">
      <c r="A335" s="267">
        <v>1761547</v>
      </c>
      <c r="B335" s="267" t="s">
        <v>3159</v>
      </c>
      <c r="C335" s="268" t="s">
        <v>4497</v>
      </c>
      <c r="D335" s="267" t="s">
        <v>3161</v>
      </c>
      <c r="E335" s="267" t="s">
        <v>3162</v>
      </c>
      <c r="F335" s="267" t="s">
        <v>3681</v>
      </c>
      <c r="G335" s="267"/>
      <c r="H335" s="267" t="s">
        <v>4498</v>
      </c>
      <c r="I335" s="267" t="s">
        <v>4488</v>
      </c>
      <c r="J335" s="267" t="s">
        <v>4499</v>
      </c>
      <c r="K335" s="268" t="s">
        <v>4500</v>
      </c>
      <c r="L335" s="267" t="s">
        <v>3189</v>
      </c>
      <c r="M335" s="267" t="s">
        <v>3168</v>
      </c>
      <c r="N335" s="267" t="s">
        <v>11</v>
      </c>
      <c r="O335" s="268" t="s">
        <v>4501</v>
      </c>
    </row>
    <row r="336" spans="1:15" ht="114.75">
      <c r="A336" s="267">
        <v>1757082</v>
      </c>
      <c r="B336" s="267" t="s">
        <v>3159</v>
      </c>
      <c r="C336" s="268" t="s">
        <v>4502</v>
      </c>
      <c r="D336" s="267" t="s">
        <v>3300</v>
      </c>
      <c r="E336" s="267" t="s">
        <v>3162</v>
      </c>
      <c r="F336" s="267" t="s">
        <v>3681</v>
      </c>
      <c r="G336" s="267"/>
      <c r="H336" s="267" t="s">
        <v>2705</v>
      </c>
      <c r="I336" s="267" t="s">
        <v>4503</v>
      </c>
      <c r="J336" s="267" t="s">
        <v>3107</v>
      </c>
      <c r="K336" s="268" t="s">
        <v>4504</v>
      </c>
      <c r="L336" s="267" t="s">
        <v>3189</v>
      </c>
      <c r="M336" s="267" t="s">
        <v>4505</v>
      </c>
      <c r="N336" s="267" t="s">
        <v>23</v>
      </c>
      <c r="O336" s="268" t="s">
        <v>4506</v>
      </c>
    </row>
    <row r="337" spans="1:15" ht="114.75">
      <c r="A337" s="267">
        <v>1748861</v>
      </c>
      <c r="B337" s="267" t="s">
        <v>3159</v>
      </c>
      <c r="C337" s="268" t="s">
        <v>4507</v>
      </c>
      <c r="D337" s="267" t="s">
        <v>3171</v>
      </c>
      <c r="E337" s="267" t="s">
        <v>3162</v>
      </c>
      <c r="F337" s="267" t="s">
        <v>3681</v>
      </c>
      <c r="G337" s="267"/>
      <c r="H337" s="267" t="s">
        <v>4508</v>
      </c>
      <c r="I337" s="267" t="s">
        <v>3093</v>
      </c>
      <c r="J337" s="267" t="s">
        <v>4509</v>
      </c>
      <c r="K337" s="268" t="s">
        <v>4510</v>
      </c>
      <c r="L337" s="267" t="s">
        <v>4511</v>
      </c>
      <c r="M337" s="267" t="s">
        <v>11</v>
      </c>
      <c r="N337" s="267" t="s">
        <v>11</v>
      </c>
      <c r="O337" s="268" t="s">
        <v>4512</v>
      </c>
    </row>
    <row r="338" spans="1:15" ht="165.75">
      <c r="A338" s="267">
        <v>1744553</v>
      </c>
      <c r="B338" s="267" t="s">
        <v>3159</v>
      </c>
      <c r="C338" s="268" t="s">
        <v>4513</v>
      </c>
      <c r="D338" s="267" t="s">
        <v>3193</v>
      </c>
      <c r="E338" s="267" t="s">
        <v>3162</v>
      </c>
      <c r="F338" s="267" t="s">
        <v>3681</v>
      </c>
      <c r="G338" s="267"/>
      <c r="H338" s="267" t="s">
        <v>4514</v>
      </c>
      <c r="I338" s="267" t="s">
        <v>4515</v>
      </c>
      <c r="J338" s="267" t="s">
        <v>3107</v>
      </c>
      <c r="K338" s="268" t="s">
        <v>4516</v>
      </c>
      <c r="L338" s="267" t="s">
        <v>3649</v>
      </c>
      <c r="M338" s="267" t="s">
        <v>4517</v>
      </c>
      <c r="N338" s="267" t="s">
        <v>4518</v>
      </c>
      <c r="O338" s="268" t="s">
        <v>4519</v>
      </c>
    </row>
    <row r="339" spans="1:15" ht="114.75">
      <c r="A339" s="267">
        <v>1743354</v>
      </c>
      <c r="B339" s="267" t="s">
        <v>3159</v>
      </c>
      <c r="C339" s="268" t="s">
        <v>4520</v>
      </c>
      <c r="D339" s="267" t="s">
        <v>3171</v>
      </c>
      <c r="E339" s="267" t="s">
        <v>3162</v>
      </c>
      <c r="F339" s="267" t="s">
        <v>3681</v>
      </c>
      <c r="G339" s="267"/>
      <c r="H339" s="267" t="s">
        <v>4521</v>
      </c>
      <c r="I339" s="267" t="s">
        <v>489</v>
      </c>
      <c r="J339" s="267" t="s">
        <v>3107</v>
      </c>
      <c r="K339" s="268" t="s">
        <v>4522</v>
      </c>
      <c r="L339" s="267" t="s">
        <v>3271</v>
      </c>
      <c r="M339" s="267" t="s">
        <v>4523</v>
      </c>
      <c r="N339" s="267" t="s">
        <v>4524</v>
      </c>
      <c r="O339" s="268" t="s">
        <v>4525</v>
      </c>
    </row>
  </sheetData>
  <autoFilter ref="A1:P1" xr:uid="{6C032F9C-3B42-4893-B8FC-6C419EE1817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78A6-3773-4480-B945-AFE49F77D149}">
  <dimension ref="A1:Q559"/>
  <sheetViews>
    <sheetView showGridLines="0" zoomScale="75" zoomScaleNormal="75" workbookViewId="0">
      <pane ySplit="2" topLeftCell="A3" activePane="bottomLeft" state="frozen"/>
      <selection pane="bottomLeft" activeCell="A2" sqref="A2:XFD2"/>
    </sheetView>
  </sheetViews>
  <sheetFormatPr defaultRowHeight="15"/>
  <cols>
    <col min="1" max="1" width="15.7109375" customWidth="1"/>
    <col min="2" max="2" width="13.140625" bestFit="1" customWidth="1"/>
    <col min="3" max="3" width="16.7109375" bestFit="1" customWidth="1"/>
    <col min="4" max="4" width="14.5703125" bestFit="1" customWidth="1"/>
    <col min="5" max="6" width="12.28515625" bestFit="1" customWidth="1"/>
    <col min="7" max="7" width="71.28515625" style="259" customWidth="1"/>
    <col min="8" max="8" width="16.7109375" bestFit="1" customWidth="1"/>
    <col min="9" max="9" width="17.28515625" bestFit="1" customWidth="1"/>
    <col min="10" max="11" width="19.42578125" bestFit="1" customWidth="1"/>
    <col min="12" max="12" width="17.140625" bestFit="1" customWidth="1"/>
    <col min="13" max="13" width="18.5703125" bestFit="1" customWidth="1"/>
    <col min="14" max="14" width="32" bestFit="1" customWidth="1"/>
    <col min="15" max="15" width="19.28515625" style="259" customWidth="1"/>
    <col min="16" max="16" width="16.7109375" customWidth="1"/>
    <col min="17" max="17" width="14" bestFit="1" customWidth="1"/>
  </cols>
  <sheetData>
    <row r="1" spans="1:17" s="234" customFormat="1" ht="15.75">
      <c r="A1" s="226" t="s">
        <v>33</v>
      </c>
      <c r="B1" s="330" t="s">
        <v>57</v>
      </c>
      <c r="C1" s="331"/>
      <c r="D1" s="181">
        <f>COUNTIF($C:$C,$A$1)</f>
        <v>556</v>
      </c>
      <c r="E1" s="332"/>
      <c r="F1" s="332"/>
      <c r="G1" s="332"/>
      <c r="H1" s="332"/>
      <c r="I1" s="333"/>
      <c r="J1" s="332"/>
      <c r="K1" s="332"/>
      <c r="L1" s="332"/>
      <c r="M1" s="332"/>
      <c r="N1" s="332"/>
      <c r="O1" s="332"/>
      <c r="P1" s="332"/>
      <c r="Q1" s="332"/>
    </row>
    <row r="2" spans="1:17" s="235" customFormat="1" ht="30">
      <c r="A2" s="145" t="s">
        <v>1421</v>
      </c>
      <c r="B2" s="146" t="s">
        <v>180</v>
      </c>
      <c r="C2" s="146" t="s">
        <v>0</v>
      </c>
      <c r="D2" s="231" t="s">
        <v>1</v>
      </c>
      <c r="E2" s="232" t="s">
        <v>2</v>
      </c>
      <c r="F2" s="232" t="s">
        <v>3</v>
      </c>
      <c r="G2" s="251" t="s">
        <v>45</v>
      </c>
      <c r="H2" s="145" t="s">
        <v>44</v>
      </c>
      <c r="I2" s="229" t="s">
        <v>4</v>
      </c>
      <c r="J2" s="230" t="s">
        <v>54</v>
      </c>
      <c r="K2" s="233" t="s">
        <v>6</v>
      </c>
      <c r="L2" s="233" t="s">
        <v>7</v>
      </c>
      <c r="M2" s="146" t="s">
        <v>8</v>
      </c>
      <c r="N2" s="147" t="s">
        <v>55</v>
      </c>
      <c r="O2" s="145" t="s">
        <v>2501</v>
      </c>
      <c r="P2" s="146" t="s">
        <v>2524</v>
      </c>
      <c r="Q2" s="146" t="s">
        <v>10</v>
      </c>
    </row>
    <row r="3" spans="1:17" s="234" customFormat="1" ht="60">
      <c r="A3" s="27" t="s">
        <v>59</v>
      </c>
      <c r="B3" s="27">
        <v>6194</v>
      </c>
      <c r="C3" s="183" t="s">
        <v>33</v>
      </c>
      <c r="D3" s="184" t="s">
        <v>2730</v>
      </c>
      <c r="E3" s="26">
        <v>45870</v>
      </c>
      <c r="F3" s="26">
        <v>45900</v>
      </c>
      <c r="G3" s="22" t="s">
        <v>2239</v>
      </c>
      <c r="H3" s="34" t="s">
        <v>11</v>
      </c>
      <c r="I3" s="185">
        <v>300000</v>
      </c>
      <c r="J3" s="186">
        <v>4.0000000000000001E-3</v>
      </c>
      <c r="K3" s="187"/>
      <c r="L3" s="188"/>
      <c r="M3" s="189" t="s">
        <v>19</v>
      </c>
      <c r="N3" s="189" t="s">
        <v>147</v>
      </c>
      <c r="O3" s="190" t="s">
        <v>974</v>
      </c>
      <c r="P3" s="35">
        <v>45728</v>
      </c>
      <c r="Q3" s="22" t="s">
        <v>2763</v>
      </c>
    </row>
    <row r="4" spans="1:17" s="234" customFormat="1" ht="60">
      <c r="A4" s="27" t="s">
        <v>58</v>
      </c>
      <c r="B4" s="27">
        <v>6209</v>
      </c>
      <c r="C4" s="183" t="s">
        <v>33</v>
      </c>
      <c r="D4" s="184">
        <v>7934</v>
      </c>
      <c r="E4" s="26">
        <v>45870</v>
      </c>
      <c r="F4" s="26">
        <v>45900</v>
      </c>
      <c r="G4" s="22" t="s">
        <v>1001</v>
      </c>
      <c r="H4" s="34" t="s">
        <v>11</v>
      </c>
      <c r="I4" s="185">
        <v>1000</v>
      </c>
      <c r="J4" s="186">
        <v>2E-3</v>
      </c>
      <c r="K4" s="187"/>
      <c r="L4" s="188"/>
      <c r="M4" s="189" t="s">
        <v>27</v>
      </c>
      <c r="N4" s="189" t="s">
        <v>69</v>
      </c>
      <c r="O4" s="190" t="s">
        <v>999</v>
      </c>
      <c r="P4" s="35">
        <v>45734</v>
      </c>
      <c r="Q4" s="22"/>
    </row>
    <row r="5" spans="1:17" s="234" customFormat="1" ht="60">
      <c r="A5" s="27" t="s">
        <v>58</v>
      </c>
      <c r="B5" s="27">
        <v>6246</v>
      </c>
      <c r="C5" s="183" t="s">
        <v>33</v>
      </c>
      <c r="D5" s="184" t="s">
        <v>2737</v>
      </c>
      <c r="E5" s="26">
        <v>45870</v>
      </c>
      <c r="F5" s="26">
        <v>45900</v>
      </c>
      <c r="G5" s="22" t="s">
        <v>63</v>
      </c>
      <c r="H5" s="34" t="s">
        <v>11</v>
      </c>
      <c r="I5" s="185">
        <v>600000</v>
      </c>
      <c r="J5" s="186">
        <v>5.0000000000000001E-3</v>
      </c>
      <c r="K5" s="187"/>
      <c r="L5" s="188"/>
      <c r="M5" s="189" t="s">
        <v>19</v>
      </c>
      <c r="N5" s="189" t="s">
        <v>147</v>
      </c>
      <c r="O5" s="190" t="s">
        <v>1039</v>
      </c>
      <c r="P5" s="35">
        <v>45737</v>
      </c>
      <c r="Q5" s="22" t="s">
        <v>2764</v>
      </c>
    </row>
    <row r="6" spans="1:17" s="234" customFormat="1" ht="90">
      <c r="A6" s="27" t="s">
        <v>59</v>
      </c>
      <c r="B6" s="27" t="s">
        <v>1087</v>
      </c>
      <c r="C6" s="183" t="s">
        <v>38</v>
      </c>
      <c r="D6" s="184">
        <v>12765</v>
      </c>
      <c r="E6" s="26">
        <v>45870</v>
      </c>
      <c r="F6" s="26">
        <v>45900</v>
      </c>
      <c r="G6" s="22" t="s">
        <v>1072</v>
      </c>
      <c r="H6" s="34" t="s">
        <v>11</v>
      </c>
      <c r="I6" s="185">
        <v>1000000</v>
      </c>
      <c r="J6" s="186">
        <v>0</v>
      </c>
      <c r="K6" s="187"/>
      <c r="L6" s="188"/>
      <c r="M6" s="189" t="s">
        <v>39</v>
      </c>
      <c r="N6" s="189" t="s">
        <v>152</v>
      </c>
      <c r="O6" s="190" t="s">
        <v>1071</v>
      </c>
      <c r="P6" s="35">
        <v>45740</v>
      </c>
      <c r="Q6" s="22"/>
    </row>
    <row r="7" spans="1:17" s="234" customFormat="1" ht="60">
      <c r="A7" s="27" t="s">
        <v>59</v>
      </c>
      <c r="B7" s="27">
        <v>6307</v>
      </c>
      <c r="C7" s="183" t="s">
        <v>33</v>
      </c>
      <c r="D7" s="184" t="s">
        <v>1139</v>
      </c>
      <c r="E7" s="26">
        <v>45706</v>
      </c>
      <c r="F7" s="26">
        <v>45900</v>
      </c>
      <c r="G7" s="22" t="s">
        <v>2407</v>
      </c>
      <c r="H7" s="34" t="s">
        <v>11</v>
      </c>
      <c r="I7" s="185">
        <v>25000000</v>
      </c>
      <c r="J7" s="186">
        <v>5.0000000000000001E-4</v>
      </c>
      <c r="K7" s="187"/>
      <c r="L7" s="188"/>
      <c r="M7" s="189" t="s">
        <v>46</v>
      </c>
      <c r="N7" s="189" t="s">
        <v>70</v>
      </c>
      <c r="O7" s="190" t="s">
        <v>1138</v>
      </c>
      <c r="P7" s="35">
        <v>45748</v>
      </c>
      <c r="Q7" s="22"/>
    </row>
    <row r="8" spans="1:17" s="234" customFormat="1" ht="45">
      <c r="A8" s="27" t="s">
        <v>58</v>
      </c>
      <c r="B8" s="27">
        <v>6381</v>
      </c>
      <c r="C8" s="183" t="s">
        <v>33</v>
      </c>
      <c r="D8" s="184" t="s">
        <v>2733</v>
      </c>
      <c r="E8" s="26">
        <v>45870</v>
      </c>
      <c r="F8" s="26">
        <v>45900</v>
      </c>
      <c r="G8" s="22" t="s">
        <v>2738</v>
      </c>
      <c r="H8" s="34" t="s">
        <v>11</v>
      </c>
      <c r="I8" s="185">
        <v>0.01</v>
      </c>
      <c r="J8" s="186">
        <v>2E-3</v>
      </c>
      <c r="K8" s="187"/>
      <c r="L8" s="188"/>
      <c r="M8" s="189" t="s">
        <v>39</v>
      </c>
      <c r="N8" s="189" t="s">
        <v>155</v>
      </c>
      <c r="O8" s="190" t="s">
        <v>1201</v>
      </c>
      <c r="P8" s="35">
        <v>45754</v>
      </c>
      <c r="Q8" s="22" t="s">
        <v>2765</v>
      </c>
    </row>
    <row r="9" spans="1:17" s="234" customFormat="1" ht="45">
      <c r="A9" s="27" t="s">
        <v>59</v>
      </c>
      <c r="B9" s="27">
        <v>8488</v>
      </c>
      <c r="C9" s="183" t="s">
        <v>33</v>
      </c>
      <c r="D9" s="184" t="s">
        <v>2733</v>
      </c>
      <c r="E9" s="26">
        <v>45870</v>
      </c>
      <c r="F9" s="26">
        <v>45900</v>
      </c>
      <c r="G9" s="22" t="s">
        <v>107</v>
      </c>
      <c r="H9" s="34" t="s">
        <v>11</v>
      </c>
      <c r="I9" s="185">
        <v>0.01</v>
      </c>
      <c r="J9" s="186">
        <v>2E-3</v>
      </c>
      <c r="K9" s="187"/>
      <c r="L9" s="188"/>
      <c r="M9" s="189" t="s">
        <v>39</v>
      </c>
      <c r="N9" s="189" t="s">
        <v>155</v>
      </c>
      <c r="O9" s="190" t="s">
        <v>1201</v>
      </c>
      <c r="P9" s="35">
        <v>45754</v>
      </c>
      <c r="Q9" s="22" t="s">
        <v>2765</v>
      </c>
    </row>
    <row r="10" spans="1:17" s="234" customFormat="1" ht="60">
      <c r="A10" s="27" t="s">
        <v>59</v>
      </c>
      <c r="B10" s="27">
        <v>6756</v>
      </c>
      <c r="C10" s="183" t="s">
        <v>33</v>
      </c>
      <c r="D10" s="184">
        <v>2598</v>
      </c>
      <c r="E10" s="26">
        <v>45870</v>
      </c>
      <c r="F10" s="26">
        <v>45900</v>
      </c>
      <c r="G10" s="22" t="s">
        <v>1502</v>
      </c>
      <c r="H10" s="34" t="s">
        <v>11</v>
      </c>
      <c r="I10" s="185">
        <v>0.01</v>
      </c>
      <c r="J10" s="186">
        <v>2.5000000000000001E-3</v>
      </c>
      <c r="K10" s="187"/>
      <c r="L10" s="188"/>
      <c r="M10" s="189" t="s">
        <v>29</v>
      </c>
      <c r="N10" s="189" t="s">
        <v>60</v>
      </c>
      <c r="O10" s="190" t="s">
        <v>1501</v>
      </c>
      <c r="P10" s="35">
        <v>45779</v>
      </c>
      <c r="Q10" s="22"/>
    </row>
    <row r="11" spans="1:17" s="234" customFormat="1" ht="45">
      <c r="A11" s="27" t="s">
        <v>58</v>
      </c>
      <c r="B11" s="27">
        <v>7186</v>
      </c>
      <c r="C11" s="183" t="s">
        <v>33</v>
      </c>
      <c r="D11" s="184">
        <v>936</v>
      </c>
      <c r="E11" s="26">
        <v>45870</v>
      </c>
      <c r="F11" s="26">
        <v>45900</v>
      </c>
      <c r="G11" s="22" t="s">
        <v>1997</v>
      </c>
      <c r="H11" s="34" t="s">
        <v>11</v>
      </c>
      <c r="I11" s="185">
        <v>500000</v>
      </c>
      <c r="J11" s="186">
        <v>2E-3</v>
      </c>
      <c r="K11" s="187"/>
      <c r="L11" s="188"/>
      <c r="M11" s="189" t="s">
        <v>19</v>
      </c>
      <c r="N11" s="189" t="s">
        <v>1494</v>
      </c>
      <c r="O11" s="190" t="s">
        <v>1996</v>
      </c>
      <c r="P11" s="35">
        <v>45824</v>
      </c>
      <c r="Q11" s="22"/>
    </row>
    <row r="12" spans="1:17" s="234" customFormat="1" ht="45">
      <c r="A12" s="27" t="s">
        <v>58</v>
      </c>
      <c r="B12" s="27">
        <v>7805</v>
      </c>
      <c r="C12" s="183" t="s">
        <v>33</v>
      </c>
      <c r="D12" s="184">
        <v>936</v>
      </c>
      <c r="E12" s="26">
        <v>45870</v>
      </c>
      <c r="F12" s="26">
        <v>45900</v>
      </c>
      <c r="G12" s="22" t="s">
        <v>1997</v>
      </c>
      <c r="H12" s="34" t="s">
        <v>11</v>
      </c>
      <c r="I12" s="185">
        <v>0.01</v>
      </c>
      <c r="J12" s="186">
        <v>5.4999999999999997E-3</v>
      </c>
      <c r="K12" s="187"/>
      <c r="L12" s="188"/>
      <c r="M12" s="189" t="s">
        <v>19</v>
      </c>
      <c r="N12" s="189" t="s">
        <v>1494</v>
      </c>
      <c r="O12" s="190" t="s">
        <v>1996</v>
      </c>
      <c r="P12" s="35">
        <v>45824</v>
      </c>
      <c r="Q12" s="22"/>
    </row>
    <row r="13" spans="1:17" s="234" customFormat="1" ht="45">
      <c r="A13" s="27" t="s">
        <v>58</v>
      </c>
      <c r="B13" s="27">
        <v>7258</v>
      </c>
      <c r="C13" s="183" t="s">
        <v>33</v>
      </c>
      <c r="D13" s="184">
        <v>17354</v>
      </c>
      <c r="E13" s="26">
        <v>45870</v>
      </c>
      <c r="F13" s="26">
        <v>45900</v>
      </c>
      <c r="G13" s="22" t="s">
        <v>2059</v>
      </c>
      <c r="H13" s="34" t="s">
        <v>11</v>
      </c>
      <c r="I13" s="185">
        <v>0.01</v>
      </c>
      <c r="J13" s="186">
        <v>6.0000000000000001E-3</v>
      </c>
      <c r="K13" s="187"/>
      <c r="L13" s="188"/>
      <c r="M13" s="189" t="s">
        <v>42</v>
      </c>
      <c r="N13" s="189" t="s">
        <v>1495</v>
      </c>
      <c r="O13" s="190" t="s">
        <v>2058</v>
      </c>
      <c r="P13" s="35">
        <v>45828</v>
      </c>
      <c r="Q13" s="22"/>
    </row>
    <row r="14" spans="1:17" s="234" customFormat="1" ht="60">
      <c r="A14" s="27" t="s">
        <v>59</v>
      </c>
      <c r="B14" s="27">
        <v>7509</v>
      </c>
      <c r="C14" s="183" t="s">
        <v>33</v>
      </c>
      <c r="D14" s="184">
        <v>12340</v>
      </c>
      <c r="E14" s="26">
        <v>45870</v>
      </c>
      <c r="F14" s="26">
        <v>45900</v>
      </c>
      <c r="G14" s="22" t="s">
        <v>2772</v>
      </c>
      <c r="H14" s="34" t="s">
        <v>11</v>
      </c>
      <c r="I14" s="185">
        <v>300000</v>
      </c>
      <c r="J14" s="186">
        <v>5.0000000000000001E-4</v>
      </c>
      <c r="K14" s="187"/>
      <c r="L14" s="188"/>
      <c r="M14" s="189" t="s">
        <v>17</v>
      </c>
      <c r="N14" s="189" t="s">
        <v>94</v>
      </c>
      <c r="O14" s="190" t="s">
        <v>2176</v>
      </c>
      <c r="P14" s="35">
        <v>45849</v>
      </c>
      <c r="Q14" s="22"/>
    </row>
    <row r="15" spans="1:17" s="234" customFormat="1" ht="60">
      <c r="A15" s="27" t="s">
        <v>59</v>
      </c>
      <c r="B15" s="27">
        <v>7509</v>
      </c>
      <c r="C15" s="183" t="s">
        <v>33</v>
      </c>
      <c r="D15" s="184">
        <v>12340</v>
      </c>
      <c r="E15" s="26">
        <v>45870</v>
      </c>
      <c r="F15" s="26">
        <v>45900</v>
      </c>
      <c r="G15" s="22" t="s">
        <v>2772</v>
      </c>
      <c r="H15" s="34" t="s">
        <v>11</v>
      </c>
      <c r="I15" s="185">
        <v>500000</v>
      </c>
      <c r="J15" s="186">
        <v>1E-3</v>
      </c>
      <c r="K15" s="187"/>
      <c r="L15" s="188"/>
      <c r="M15" s="189" t="s">
        <v>17</v>
      </c>
      <c r="N15" s="189" t="s">
        <v>94</v>
      </c>
      <c r="O15" s="190" t="s">
        <v>2176</v>
      </c>
      <c r="P15" s="35">
        <v>45849</v>
      </c>
      <c r="Q15" s="22"/>
    </row>
    <row r="16" spans="1:17" s="234" customFormat="1" ht="60">
      <c r="A16" s="27" t="s">
        <v>58</v>
      </c>
      <c r="B16" s="27">
        <v>7513</v>
      </c>
      <c r="C16" s="183" t="s">
        <v>33</v>
      </c>
      <c r="D16" s="184">
        <v>4079</v>
      </c>
      <c r="E16" s="26">
        <v>45870</v>
      </c>
      <c r="F16" s="26">
        <v>45900</v>
      </c>
      <c r="G16" s="22" t="s">
        <v>2180</v>
      </c>
      <c r="H16" s="34" t="s">
        <v>11</v>
      </c>
      <c r="I16" s="185">
        <v>0.01</v>
      </c>
      <c r="J16" s="186">
        <v>5.0000000000000001E-3</v>
      </c>
      <c r="K16" s="187"/>
      <c r="L16" s="188"/>
      <c r="M16" s="189" t="s">
        <v>17</v>
      </c>
      <c r="N16" s="189" t="s">
        <v>62</v>
      </c>
      <c r="O16" s="190" t="s">
        <v>2179</v>
      </c>
      <c r="P16" s="35">
        <v>45849</v>
      </c>
      <c r="Q16" s="22"/>
    </row>
    <row r="17" spans="1:17" s="234" customFormat="1" ht="60">
      <c r="A17" s="27" t="s">
        <v>59</v>
      </c>
      <c r="B17" s="27">
        <v>7535</v>
      </c>
      <c r="C17" s="183" t="s">
        <v>33</v>
      </c>
      <c r="D17" s="184">
        <v>17894</v>
      </c>
      <c r="E17" s="26">
        <v>45870</v>
      </c>
      <c r="F17" s="26">
        <v>45900</v>
      </c>
      <c r="G17" s="22" t="s">
        <v>107</v>
      </c>
      <c r="H17" s="34" t="s">
        <v>11</v>
      </c>
      <c r="I17" s="185">
        <v>0.01</v>
      </c>
      <c r="J17" s="186">
        <v>7.4999999999999997E-3</v>
      </c>
      <c r="K17" s="187"/>
      <c r="L17" s="188"/>
      <c r="M17" s="189" t="s">
        <v>17</v>
      </c>
      <c r="N17" s="189" t="s">
        <v>62</v>
      </c>
      <c r="O17" s="190" t="s">
        <v>2193</v>
      </c>
      <c r="P17" s="35">
        <v>45845</v>
      </c>
      <c r="Q17" s="22"/>
    </row>
    <row r="18" spans="1:17" s="234" customFormat="1" ht="45">
      <c r="A18" s="27" t="s">
        <v>59</v>
      </c>
      <c r="B18" s="27">
        <v>7114</v>
      </c>
      <c r="C18" s="183" t="s">
        <v>33</v>
      </c>
      <c r="D18" s="184">
        <v>4079</v>
      </c>
      <c r="E18" s="26">
        <v>45809</v>
      </c>
      <c r="F18" s="26">
        <v>45900</v>
      </c>
      <c r="G18" s="22" t="s">
        <v>107</v>
      </c>
      <c r="H18" s="34" t="s">
        <v>11</v>
      </c>
      <c r="I18" s="185">
        <v>0.01</v>
      </c>
      <c r="J18" s="186">
        <v>7.4999999999999997E-3</v>
      </c>
      <c r="K18" s="187"/>
      <c r="L18" s="188"/>
      <c r="M18" s="189" t="s">
        <v>17</v>
      </c>
      <c r="N18" s="189" t="s">
        <v>62</v>
      </c>
      <c r="O18" s="190" t="s">
        <v>1924</v>
      </c>
      <c r="P18" s="35">
        <v>45819</v>
      </c>
      <c r="Q18" s="22"/>
    </row>
    <row r="19" spans="1:17" s="234" customFormat="1" ht="45">
      <c r="A19" s="27" t="s">
        <v>58</v>
      </c>
      <c r="B19" s="191">
        <v>7694</v>
      </c>
      <c r="C19" s="183" t="s">
        <v>33</v>
      </c>
      <c r="D19" s="184" t="s">
        <v>164</v>
      </c>
      <c r="E19" s="26">
        <v>45870</v>
      </c>
      <c r="F19" s="26">
        <v>45900</v>
      </c>
      <c r="G19" s="22" t="s">
        <v>2574</v>
      </c>
      <c r="H19" s="34" t="s">
        <v>11</v>
      </c>
      <c r="I19" s="185">
        <v>800000</v>
      </c>
      <c r="J19" s="186">
        <v>1E-3</v>
      </c>
      <c r="K19" s="187"/>
      <c r="L19" s="188"/>
      <c r="M19" s="189" t="s">
        <v>17</v>
      </c>
      <c r="N19" s="189" t="s">
        <v>62</v>
      </c>
      <c r="O19" s="190" t="s">
        <v>939</v>
      </c>
      <c r="P19" s="35">
        <v>45854</v>
      </c>
      <c r="Q19" s="22" t="s">
        <v>2747</v>
      </c>
    </row>
    <row r="20" spans="1:17" s="234" customFormat="1" ht="45">
      <c r="A20" s="27" t="s">
        <v>58</v>
      </c>
      <c r="B20" s="27">
        <v>7811</v>
      </c>
      <c r="C20" s="183" t="s">
        <v>33</v>
      </c>
      <c r="D20" s="184">
        <v>4190</v>
      </c>
      <c r="E20" s="26">
        <v>45870</v>
      </c>
      <c r="F20" s="26">
        <v>45900</v>
      </c>
      <c r="G20" s="22" t="s">
        <v>2354</v>
      </c>
      <c r="H20" s="34" t="s">
        <v>11</v>
      </c>
      <c r="I20" s="185">
        <v>2000</v>
      </c>
      <c r="J20" s="186">
        <v>2E-3</v>
      </c>
      <c r="K20" s="187"/>
      <c r="L20" s="188"/>
      <c r="M20" s="189" t="s">
        <v>17</v>
      </c>
      <c r="N20" s="189" t="s">
        <v>94</v>
      </c>
      <c r="O20" s="190" t="s">
        <v>2353</v>
      </c>
      <c r="P20" s="35">
        <v>45862</v>
      </c>
      <c r="Q20" s="22"/>
    </row>
    <row r="21" spans="1:17" s="234" customFormat="1" ht="45">
      <c r="A21" s="27" t="s">
        <v>58</v>
      </c>
      <c r="B21" s="27">
        <v>7814</v>
      </c>
      <c r="C21" s="183" t="s">
        <v>33</v>
      </c>
      <c r="D21" s="184">
        <v>4190</v>
      </c>
      <c r="E21" s="26">
        <v>45870</v>
      </c>
      <c r="F21" s="26">
        <v>45900</v>
      </c>
      <c r="G21" s="22" t="s">
        <v>2355</v>
      </c>
      <c r="H21" s="34" t="s">
        <v>11</v>
      </c>
      <c r="I21" s="185">
        <v>2000</v>
      </c>
      <c r="J21" s="186">
        <v>2E-3</v>
      </c>
      <c r="K21" s="187"/>
      <c r="L21" s="188"/>
      <c r="M21" s="189" t="s">
        <v>17</v>
      </c>
      <c r="N21" s="189" t="s">
        <v>94</v>
      </c>
      <c r="O21" s="190" t="s">
        <v>2353</v>
      </c>
      <c r="P21" s="35">
        <v>45862</v>
      </c>
      <c r="Q21" s="22"/>
    </row>
    <row r="22" spans="1:17" s="234" customFormat="1" ht="45">
      <c r="A22" s="27" t="s">
        <v>59</v>
      </c>
      <c r="B22" s="27">
        <v>7817</v>
      </c>
      <c r="C22" s="183" t="s">
        <v>33</v>
      </c>
      <c r="D22" s="184">
        <v>4190</v>
      </c>
      <c r="E22" s="26">
        <v>45870</v>
      </c>
      <c r="F22" s="26">
        <v>45900</v>
      </c>
      <c r="G22" s="22" t="s">
        <v>107</v>
      </c>
      <c r="H22" s="34" t="s">
        <v>11</v>
      </c>
      <c r="I22" s="185">
        <v>2000</v>
      </c>
      <c r="J22" s="186">
        <v>2E-3</v>
      </c>
      <c r="K22" s="187"/>
      <c r="L22" s="188"/>
      <c r="M22" s="189" t="s">
        <v>17</v>
      </c>
      <c r="N22" s="189" t="s">
        <v>94</v>
      </c>
      <c r="O22" s="190" t="s">
        <v>2353</v>
      </c>
      <c r="P22" s="35">
        <v>45862</v>
      </c>
      <c r="Q22" s="22"/>
    </row>
    <row r="23" spans="1:17" s="234" customFormat="1" ht="45">
      <c r="A23" s="27" t="s">
        <v>58</v>
      </c>
      <c r="B23" s="27">
        <v>7820</v>
      </c>
      <c r="C23" s="183" t="s">
        <v>33</v>
      </c>
      <c r="D23" s="184">
        <v>4190</v>
      </c>
      <c r="E23" s="26">
        <v>45870</v>
      </c>
      <c r="F23" s="26">
        <v>45900</v>
      </c>
      <c r="G23" s="22" t="s">
        <v>2357</v>
      </c>
      <c r="H23" s="34" t="s">
        <v>11</v>
      </c>
      <c r="I23" s="185">
        <v>2000</v>
      </c>
      <c r="J23" s="186">
        <v>2E-3</v>
      </c>
      <c r="K23" s="187"/>
      <c r="L23" s="188"/>
      <c r="M23" s="189" t="s">
        <v>17</v>
      </c>
      <c r="N23" s="189" t="s">
        <v>94</v>
      </c>
      <c r="O23" s="190" t="s">
        <v>2353</v>
      </c>
      <c r="P23" s="35">
        <v>45862</v>
      </c>
      <c r="Q23" s="22"/>
    </row>
    <row r="24" spans="1:17" s="234" customFormat="1" ht="45">
      <c r="A24" s="27" t="s">
        <v>58</v>
      </c>
      <c r="B24" s="27">
        <v>7824</v>
      </c>
      <c r="C24" s="183" t="s">
        <v>33</v>
      </c>
      <c r="D24" s="184">
        <v>4190</v>
      </c>
      <c r="E24" s="26">
        <v>45870</v>
      </c>
      <c r="F24" s="26">
        <v>45900</v>
      </c>
      <c r="G24" s="22" t="s">
        <v>2358</v>
      </c>
      <c r="H24" s="34" t="s">
        <v>11</v>
      </c>
      <c r="I24" s="185">
        <v>2000</v>
      </c>
      <c r="J24" s="186">
        <v>2E-3</v>
      </c>
      <c r="K24" s="187"/>
      <c r="L24" s="188"/>
      <c r="M24" s="189" t="s">
        <v>17</v>
      </c>
      <c r="N24" s="189" t="s">
        <v>94</v>
      </c>
      <c r="O24" s="190" t="s">
        <v>2353</v>
      </c>
      <c r="P24" s="35">
        <v>45862</v>
      </c>
      <c r="Q24" s="22"/>
    </row>
    <row r="25" spans="1:17" s="234" customFormat="1" ht="45">
      <c r="A25" s="27" t="s">
        <v>58</v>
      </c>
      <c r="B25" s="27">
        <v>7827</v>
      </c>
      <c r="C25" s="183" t="s">
        <v>33</v>
      </c>
      <c r="D25" s="184">
        <v>4190</v>
      </c>
      <c r="E25" s="26">
        <v>45870</v>
      </c>
      <c r="F25" s="26">
        <v>45900</v>
      </c>
      <c r="G25" s="22" t="s">
        <v>2359</v>
      </c>
      <c r="H25" s="34" t="s">
        <v>11</v>
      </c>
      <c r="I25" s="185">
        <v>2000</v>
      </c>
      <c r="J25" s="186">
        <v>2E-3</v>
      </c>
      <c r="K25" s="187"/>
      <c r="L25" s="188"/>
      <c r="M25" s="189" t="s">
        <v>17</v>
      </c>
      <c r="N25" s="189" t="s">
        <v>94</v>
      </c>
      <c r="O25" s="190" t="s">
        <v>2353</v>
      </c>
      <c r="P25" s="35">
        <v>45862</v>
      </c>
      <c r="Q25" s="22"/>
    </row>
    <row r="26" spans="1:17" s="234" customFormat="1" ht="45">
      <c r="A26" s="27" t="s">
        <v>58</v>
      </c>
      <c r="B26" s="27">
        <v>7830</v>
      </c>
      <c r="C26" s="183" t="s">
        <v>33</v>
      </c>
      <c r="D26" s="184">
        <v>4190</v>
      </c>
      <c r="E26" s="26">
        <v>45870</v>
      </c>
      <c r="F26" s="26">
        <v>45900</v>
      </c>
      <c r="G26" s="22" t="s">
        <v>2360</v>
      </c>
      <c r="H26" s="34" t="s">
        <v>11</v>
      </c>
      <c r="I26" s="185">
        <v>2000</v>
      </c>
      <c r="J26" s="186">
        <v>2E-3</v>
      </c>
      <c r="K26" s="187"/>
      <c r="L26" s="188"/>
      <c r="M26" s="189" t="s">
        <v>17</v>
      </c>
      <c r="N26" s="189" t="s">
        <v>94</v>
      </c>
      <c r="O26" s="190" t="s">
        <v>2353</v>
      </c>
      <c r="P26" s="35">
        <v>45862</v>
      </c>
      <c r="Q26" s="22"/>
    </row>
    <row r="27" spans="1:17" s="234" customFormat="1" ht="45">
      <c r="A27" s="27" t="s">
        <v>58</v>
      </c>
      <c r="B27" s="27">
        <v>7839</v>
      </c>
      <c r="C27" s="183" t="s">
        <v>33</v>
      </c>
      <c r="D27" s="184">
        <v>7337</v>
      </c>
      <c r="E27" s="26">
        <v>45860</v>
      </c>
      <c r="F27" s="26">
        <v>45891</v>
      </c>
      <c r="G27" s="22" t="s">
        <v>2408</v>
      </c>
      <c r="H27" s="34" t="s">
        <v>100</v>
      </c>
      <c r="I27" s="185">
        <v>0.01</v>
      </c>
      <c r="J27" s="186">
        <v>0.02</v>
      </c>
      <c r="K27" s="187"/>
      <c r="L27" s="188"/>
      <c r="M27" s="189" t="s">
        <v>13</v>
      </c>
      <c r="N27" s="189" t="s">
        <v>111</v>
      </c>
      <c r="O27" s="190" t="s">
        <v>2345</v>
      </c>
      <c r="P27" s="35">
        <v>45861</v>
      </c>
      <c r="Q27" s="22"/>
    </row>
    <row r="28" spans="1:17" s="234" customFormat="1" ht="75">
      <c r="A28" s="27" t="s">
        <v>58</v>
      </c>
      <c r="B28" s="191">
        <v>7833</v>
      </c>
      <c r="C28" s="183" t="s">
        <v>33</v>
      </c>
      <c r="D28" s="184">
        <v>2404</v>
      </c>
      <c r="E28" s="26">
        <v>45870</v>
      </c>
      <c r="F28" s="26">
        <v>45900</v>
      </c>
      <c r="G28" s="22" t="s">
        <v>2366</v>
      </c>
      <c r="H28" s="34" t="s">
        <v>11</v>
      </c>
      <c r="I28" s="185">
        <v>0.01</v>
      </c>
      <c r="J28" s="186">
        <v>5.0000000000000001E-3</v>
      </c>
      <c r="K28" s="187"/>
      <c r="L28" s="188"/>
      <c r="M28" s="189" t="s">
        <v>24</v>
      </c>
      <c r="N28" s="189" t="s">
        <v>2378</v>
      </c>
      <c r="O28" s="190" t="s">
        <v>2364</v>
      </c>
      <c r="P28" s="35">
        <v>45862</v>
      </c>
      <c r="Q28" s="22"/>
    </row>
    <row r="29" spans="1:17" s="234" customFormat="1" ht="60">
      <c r="A29" s="27" t="s">
        <v>58</v>
      </c>
      <c r="B29" s="191">
        <v>7846</v>
      </c>
      <c r="C29" s="183" t="s">
        <v>33</v>
      </c>
      <c r="D29" s="184">
        <v>13891</v>
      </c>
      <c r="E29" s="26">
        <v>45870</v>
      </c>
      <c r="F29" s="26">
        <v>45900</v>
      </c>
      <c r="G29" s="22" t="s">
        <v>347</v>
      </c>
      <c r="H29" s="34" t="s">
        <v>11</v>
      </c>
      <c r="I29" s="185">
        <v>0.01</v>
      </c>
      <c r="J29" s="186">
        <v>1.2500000000000001E-2</v>
      </c>
      <c r="K29" s="187"/>
      <c r="L29" s="188"/>
      <c r="M29" s="189" t="s">
        <v>13</v>
      </c>
      <c r="N29" s="189" t="s">
        <v>111</v>
      </c>
      <c r="O29" s="190" t="s">
        <v>2367</v>
      </c>
      <c r="P29" s="35">
        <v>45862</v>
      </c>
      <c r="Q29" s="22"/>
    </row>
    <row r="30" spans="1:17" s="234" customFormat="1" ht="45">
      <c r="A30" s="27" t="s">
        <v>59</v>
      </c>
      <c r="B30" s="191">
        <v>6166</v>
      </c>
      <c r="C30" s="183" t="s">
        <v>33</v>
      </c>
      <c r="D30" s="184" t="s">
        <v>2734</v>
      </c>
      <c r="E30" s="26">
        <v>45870</v>
      </c>
      <c r="F30" s="26">
        <v>45900</v>
      </c>
      <c r="G30" s="22" t="s">
        <v>2815</v>
      </c>
      <c r="H30" s="34" t="s">
        <v>11</v>
      </c>
      <c r="I30" s="185">
        <v>300000</v>
      </c>
      <c r="J30" s="186">
        <v>2E-3</v>
      </c>
      <c r="K30" s="187"/>
      <c r="L30" s="188"/>
      <c r="M30" s="189" t="s">
        <v>19</v>
      </c>
      <c r="N30" s="189" t="s">
        <v>85</v>
      </c>
      <c r="O30" s="190" t="s">
        <v>961</v>
      </c>
      <c r="P30" s="35">
        <v>45721</v>
      </c>
      <c r="Q30" s="22" t="s">
        <v>2766</v>
      </c>
    </row>
    <row r="31" spans="1:17" s="234" customFormat="1">
      <c r="A31" s="27" t="s">
        <v>59</v>
      </c>
      <c r="B31" s="191">
        <v>7928</v>
      </c>
      <c r="C31" s="183" t="s">
        <v>33</v>
      </c>
      <c r="D31" s="184">
        <v>17711</v>
      </c>
      <c r="E31" s="26">
        <v>45870</v>
      </c>
      <c r="F31" s="26">
        <v>45900</v>
      </c>
      <c r="G31" s="22" t="s">
        <v>107</v>
      </c>
      <c r="H31" s="34" t="s">
        <v>11</v>
      </c>
      <c r="I31" s="185">
        <v>0.01</v>
      </c>
      <c r="J31" s="186">
        <v>7.4999999999999997E-3</v>
      </c>
      <c r="K31" s="187"/>
      <c r="L31" s="188"/>
      <c r="M31" s="189" t="s">
        <v>168</v>
      </c>
      <c r="N31" s="189" t="s">
        <v>176</v>
      </c>
      <c r="O31" s="190">
        <v>1744911</v>
      </c>
      <c r="P31" s="35">
        <v>45874</v>
      </c>
      <c r="Q31" s="22"/>
    </row>
    <row r="32" spans="1:17" s="234" customFormat="1">
      <c r="A32" s="27" t="s">
        <v>59</v>
      </c>
      <c r="B32" s="191">
        <v>7927</v>
      </c>
      <c r="C32" s="183" t="s">
        <v>33</v>
      </c>
      <c r="D32" s="184">
        <v>16898</v>
      </c>
      <c r="E32" s="26">
        <v>45870</v>
      </c>
      <c r="F32" s="26">
        <v>45900</v>
      </c>
      <c r="G32" s="22" t="s">
        <v>107</v>
      </c>
      <c r="H32" s="34" t="s">
        <v>11</v>
      </c>
      <c r="I32" s="185">
        <v>0.01</v>
      </c>
      <c r="J32" s="186">
        <v>4.4999999999999997E-3</v>
      </c>
      <c r="K32" s="187"/>
      <c r="L32" s="188"/>
      <c r="M32" s="189" t="s">
        <v>168</v>
      </c>
      <c r="N32" s="189" t="s">
        <v>176</v>
      </c>
      <c r="O32" s="190">
        <v>1744845</v>
      </c>
      <c r="P32" s="35">
        <v>45874.600115740737</v>
      </c>
      <c r="Q32" s="22"/>
    </row>
    <row r="33" spans="1:17" s="234" customFormat="1" ht="30">
      <c r="A33" s="27" t="s">
        <v>58</v>
      </c>
      <c r="B33" s="191">
        <v>7926</v>
      </c>
      <c r="C33" s="183" t="s">
        <v>33</v>
      </c>
      <c r="D33" s="184">
        <v>14363</v>
      </c>
      <c r="E33" s="26">
        <v>45870</v>
      </c>
      <c r="F33" s="26">
        <v>45900</v>
      </c>
      <c r="G33" s="252" t="s">
        <v>2834</v>
      </c>
      <c r="H33" s="34" t="s">
        <v>11</v>
      </c>
      <c r="I33" s="185">
        <v>1000</v>
      </c>
      <c r="J33" s="186">
        <v>1.4999999999999999E-2</v>
      </c>
      <c r="K33" s="187"/>
      <c r="L33" s="188"/>
      <c r="M33" s="189" t="s">
        <v>15</v>
      </c>
      <c r="N33" s="189" t="s">
        <v>120</v>
      </c>
      <c r="O33" s="190">
        <v>1743157</v>
      </c>
      <c r="P33" s="35">
        <v>45870.735173611109</v>
      </c>
      <c r="Q33" s="22"/>
    </row>
    <row r="34" spans="1:17" s="234" customFormat="1">
      <c r="A34" s="27" t="s">
        <v>59</v>
      </c>
      <c r="B34" s="191">
        <v>7925</v>
      </c>
      <c r="C34" s="183" t="s">
        <v>33</v>
      </c>
      <c r="D34" s="184" t="s">
        <v>2502</v>
      </c>
      <c r="E34" s="26">
        <v>45870</v>
      </c>
      <c r="F34" s="26">
        <v>45900</v>
      </c>
      <c r="G34" s="22" t="s">
        <v>107</v>
      </c>
      <c r="H34" s="34" t="s">
        <v>11</v>
      </c>
      <c r="I34" s="185">
        <v>0.01</v>
      </c>
      <c r="J34" s="186">
        <v>7.4999999999999997E-3</v>
      </c>
      <c r="K34" s="187"/>
      <c r="L34" s="188"/>
      <c r="M34" s="189" t="s">
        <v>12</v>
      </c>
      <c r="N34" s="189" t="s">
        <v>170</v>
      </c>
      <c r="O34" s="190">
        <v>1744722</v>
      </c>
      <c r="P34" s="35">
        <v>45874.535162037035</v>
      </c>
      <c r="Q34" s="22"/>
    </row>
    <row r="35" spans="1:17" s="234" customFormat="1">
      <c r="A35" s="27" t="s">
        <v>59</v>
      </c>
      <c r="B35" s="191">
        <v>7924</v>
      </c>
      <c r="C35" s="183" t="s">
        <v>33</v>
      </c>
      <c r="D35" s="184" t="s">
        <v>2503</v>
      </c>
      <c r="E35" s="26">
        <v>45870</v>
      </c>
      <c r="F35" s="26">
        <v>45900</v>
      </c>
      <c r="G35" s="22" t="s">
        <v>107</v>
      </c>
      <c r="H35" s="34" t="s">
        <v>11</v>
      </c>
      <c r="I35" s="185">
        <v>0.01</v>
      </c>
      <c r="J35" s="186">
        <v>7.4999999999999997E-3</v>
      </c>
      <c r="K35" s="187"/>
      <c r="L35" s="188"/>
      <c r="M35" s="189" t="s">
        <v>12</v>
      </c>
      <c r="N35" s="189" t="s">
        <v>170</v>
      </c>
      <c r="O35" s="190">
        <v>1744722</v>
      </c>
      <c r="P35" s="35">
        <v>45874.535162037035</v>
      </c>
      <c r="Q35" s="22"/>
    </row>
    <row r="36" spans="1:17" s="234" customFormat="1">
      <c r="A36" s="27" t="s">
        <v>59</v>
      </c>
      <c r="B36" s="191">
        <v>7923</v>
      </c>
      <c r="C36" s="183" t="s">
        <v>33</v>
      </c>
      <c r="D36" s="184">
        <v>2240</v>
      </c>
      <c r="E36" s="26">
        <v>45870</v>
      </c>
      <c r="F36" s="26">
        <v>45900</v>
      </c>
      <c r="G36" s="22" t="s">
        <v>107</v>
      </c>
      <c r="H36" s="34" t="s">
        <v>11</v>
      </c>
      <c r="I36" s="185">
        <v>0.01</v>
      </c>
      <c r="J36" s="186">
        <v>7.4999999999999997E-3</v>
      </c>
      <c r="K36" s="187"/>
      <c r="L36" s="188"/>
      <c r="M36" s="189" t="s">
        <v>12</v>
      </c>
      <c r="N36" s="189" t="s">
        <v>170</v>
      </c>
      <c r="O36" s="190">
        <v>1744722</v>
      </c>
      <c r="P36" s="35">
        <v>45874.535162037035</v>
      </c>
      <c r="Q36" s="22"/>
    </row>
    <row r="37" spans="1:17" s="234" customFormat="1">
      <c r="A37" s="27" t="s">
        <v>58</v>
      </c>
      <c r="B37" s="191">
        <v>7922</v>
      </c>
      <c r="C37" s="183" t="s">
        <v>33</v>
      </c>
      <c r="D37" s="184" t="s">
        <v>2504</v>
      </c>
      <c r="E37" s="26">
        <v>45870</v>
      </c>
      <c r="F37" s="26">
        <v>45900</v>
      </c>
      <c r="G37" s="22" t="s">
        <v>2505</v>
      </c>
      <c r="H37" s="34" t="s">
        <v>11</v>
      </c>
      <c r="I37" s="185">
        <v>1000</v>
      </c>
      <c r="J37" s="186">
        <v>4.4999999999999997E-3</v>
      </c>
      <c r="K37" s="187"/>
      <c r="L37" s="188"/>
      <c r="M37" s="189" t="s">
        <v>12</v>
      </c>
      <c r="N37" s="189" t="s">
        <v>170</v>
      </c>
      <c r="O37" s="190">
        <v>1744722</v>
      </c>
      <c r="P37" s="35">
        <v>45874.535162037035</v>
      </c>
      <c r="Q37" s="22"/>
    </row>
    <row r="38" spans="1:17" s="234" customFormat="1">
      <c r="A38" s="27" t="s">
        <v>58</v>
      </c>
      <c r="B38" s="191">
        <v>7921</v>
      </c>
      <c r="C38" s="183" t="s">
        <v>33</v>
      </c>
      <c r="D38" s="184" t="s">
        <v>2503</v>
      </c>
      <c r="E38" s="26">
        <v>45870</v>
      </c>
      <c r="F38" s="26">
        <v>45900</v>
      </c>
      <c r="G38" s="22" t="s">
        <v>2506</v>
      </c>
      <c r="H38" s="34">
        <v>0</v>
      </c>
      <c r="I38" s="185">
        <v>1000</v>
      </c>
      <c r="J38" s="186">
        <v>5.0000000000000001E-3</v>
      </c>
      <c r="K38" s="187"/>
      <c r="L38" s="188"/>
      <c r="M38" s="189" t="s">
        <v>12</v>
      </c>
      <c r="N38" s="189" t="s">
        <v>170</v>
      </c>
      <c r="O38" s="190">
        <v>1744722</v>
      </c>
      <c r="P38" s="35">
        <v>45874.535162037035</v>
      </c>
      <c r="Q38" s="22"/>
    </row>
    <row r="39" spans="1:17" s="234" customFormat="1">
      <c r="A39" s="27" t="s">
        <v>59</v>
      </c>
      <c r="B39" s="191">
        <v>7920</v>
      </c>
      <c r="C39" s="183" t="s">
        <v>33</v>
      </c>
      <c r="D39" s="184">
        <v>8835</v>
      </c>
      <c r="E39" s="26">
        <v>45870</v>
      </c>
      <c r="F39" s="26">
        <v>45900</v>
      </c>
      <c r="G39" s="22" t="s">
        <v>990</v>
      </c>
      <c r="H39" s="34" t="s">
        <v>11</v>
      </c>
      <c r="I39" s="185">
        <v>0.01</v>
      </c>
      <c r="J39" s="186">
        <v>6.0000000000000001E-3</v>
      </c>
      <c r="K39" s="187"/>
      <c r="L39" s="188"/>
      <c r="M39" s="189" t="s">
        <v>168</v>
      </c>
      <c r="N39" s="189" t="s">
        <v>73</v>
      </c>
      <c r="O39" s="190">
        <v>1744703</v>
      </c>
      <c r="P39" s="35">
        <v>45874.52548611111</v>
      </c>
      <c r="Q39" s="22"/>
    </row>
    <row r="40" spans="1:17" s="234" customFormat="1">
      <c r="A40" s="27" t="s">
        <v>59</v>
      </c>
      <c r="B40" s="191">
        <v>7919</v>
      </c>
      <c r="C40" s="183" t="s">
        <v>33</v>
      </c>
      <c r="D40" s="184">
        <v>13929</v>
      </c>
      <c r="E40" s="26">
        <v>45870</v>
      </c>
      <c r="F40" s="26">
        <v>45900</v>
      </c>
      <c r="G40" s="22" t="s">
        <v>990</v>
      </c>
      <c r="H40" s="34" t="s">
        <v>11</v>
      </c>
      <c r="I40" s="185">
        <v>0.01</v>
      </c>
      <c r="J40" s="186">
        <v>6.0000000000000001E-3</v>
      </c>
      <c r="K40" s="187"/>
      <c r="L40" s="188"/>
      <c r="M40" s="189" t="s">
        <v>168</v>
      </c>
      <c r="N40" s="189" t="s">
        <v>73</v>
      </c>
      <c r="O40" s="190">
        <v>1744571</v>
      </c>
      <c r="P40" s="35">
        <v>45874.471215277779</v>
      </c>
      <c r="Q40" s="22"/>
    </row>
    <row r="41" spans="1:17" s="234" customFormat="1">
      <c r="A41" s="27" t="s">
        <v>58</v>
      </c>
      <c r="B41" s="191">
        <v>7918</v>
      </c>
      <c r="C41" s="183" t="s">
        <v>33</v>
      </c>
      <c r="D41" s="184">
        <v>15332</v>
      </c>
      <c r="E41" s="26">
        <v>45870</v>
      </c>
      <c r="F41" s="26">
        <v>45900</v>
      </c>
      <c r="G41" s="22" t="s">
        <v>620</v>
      </c>
      <c r="H41" s="34" t="s">
        <v>11</v>
      </c>
      <c r="I41" s="185">
        <v>0.01</v>
      </c>
      <c r="J41" s="186">
        <v>0.01</v>
      </c>
      <c r="K41" s="187"/>
      <c r="L41" s="188"/>
      <c r="M41" s="189" t="s">
        <v>19</v>
      </c>
      <c r="N41" s="189" t="s">
        <v>147</v>
      </c>
      <c r="O41" s="190">
        <v>1744553</v>
      </c>
      <c r="P41" s="35">
        <v>45874.46733796296</v>
      </c>
      <c r="Q41" s="22"/>
    </row>
    <row r="42" spans="1:17" s="234" customFormat="1">
      <c r="A42" s="27" t="s">
        <v>59</v>
      </c>
      <c r="B42" s="191">
        <v>7913</v>
      </c>
      <c r="C42" s="183" t="s">
        <v>33</v>
      </c>
      <c r="D42" s="184">
        <v>17614</v>
      </c>
      <c r="E42" s="26">
        <v>45870</v>
      </c>
      <c r="F42" s="26">
        <v>45900</v>
      </c>
      <c r="G42" s="22" t="s">
        <v>107</v>
      </c>
      <c r="H42" s="34" t="s">
        <v>11</v>
      </c>
      <c r="I42" s="185">
        <v>0.01</v>
      </c>
      <c r="J42" s="186">
        <v>7.4999999999999997E-3</v>
      </c>
      <c r="K42" s="187"/>
      <c r="L42" s="188"/>
      <c r="M42" s="189" t="s">
        <v>168</v>
      </c>
      <c r="N42" s="189" t="s">
        <v>73</v>
      </c>
      <c r="O42" s="190">
        <v>1744544</v>
      </c>
      <c r="P42" s="35">
        <v>45874.463518518518</v>
      </c>
      <c r="Q42" s="22"/>
    </row>
    <row r="43" spans="1:17" s="234" customFormat="1" ht="30">
      <c r="A43" s="27" t="s">
        <v>59</v>
      </c>
      <c r="B43" s="191">
        <v>7912</v>
      </c>
      <c r="C43" s="183" t="s">
        <v>33</v>
      </c>
      <c r="D43" s="184">
        <v>13007</v>
      </c>
      <c r="E43" s="26">
        <v>45870</v>
      </c>
      <c r="F43" s="26">
        <v>45900</v>
      </c>
      <c r="G43" s="22" t="s">
        <v>107</v>
      </c>
      <c r="H43" s="34" t="s">
        <v>11</v>
      </c>
      <c r="I43" s="185">
        <v>0.01</v>
      </c>
      <c r="J43" s="186">
        <v>5.0000000000000001E-3</v>
      </c>
      <c r="K43" s="187"/>
      <c r="L43" s="188"/>
      <c r="M43" s="189" t="s">
        <v>95</v>
      </c>
      <c r="N43" s="189" t="s">
        <v>99</v>
      </c>
      <c r="O43" s="190">
        <v>1744536</v>
      </c>
      <c r="P43" s="35">
        <v>45874.461817129632</v>
      </c>
      <c r="Q43" s="22"/>
    </row>
    <row r="44" spans="1:17" s="234" customFormat="1" ht="30">
      <c r="A44" s="27" t="s">
        <v>58</v>
      </c>
      <c r="B44" s="191">
        <v>7911</v>
      </c>
      <c r="C44" s="183" t="s">
        <v>33</v>
      </c>
      <c r="D44" s="184">
        <v>15874</v>
      </c>
      <c r="E44" s="26">
        <v>45870</v>
      </c>
      <c r="F44" s="26">
        <v>45900</v>
      </c>
      <c r="G44" s="22" t="s">
        <v>2814</v>
      </c>
      <c r="H44" s="34" t="s">
        <v>11</v>
      </c>
      <c r="I44" s="185">
        <v>0.01</v>
      </c>
      <c r="J44" s="186">
        <v>5.0000000000000001E-3</v>
      </c>
      <c r="K44" s="187"/>
      <c r="L44" s="188"/>
      <c r="M44" s="189" t="s">
        <v>19</v>
      </c>
      <c r="N44" s="189" t="s">
        <v>60</v>
      </c>
      <c r="O44" s="190">
        <v>1744531</v>
      </c>
      <c r="P44" s="35">
        <v>45874.459780092591</v>
      </c>
      <c r="Q44" s="22"/>
    </row>
    <row r="45" spans="1:17" s="234" customFormat="1" ht="30">
      <c r="A45" s="192" t="s">
        <v>59</v>
      </c>
      <c r="B45" s="193">
        <v>7910</v>
      </c>
      <c r="C45" s="183" t="s">
        <v>33</v>
      </c>
      <c r="D45" s="194">
        <v>12021</v>
      </c>
      <c r="E45" s="195">
        <v>45870</v>
      </c>
      <c r="F45" s="195">
        <v>45900</v>
      </c>
      <c r="G45" s="22" t="s">
        <v>107</v>
      </c>
      <c r="H45" s="196" t="s">
        <v>11</v>
      </c>
      <c r="I45" s="185">
        <v>0.01</v>
      </c>
      <c r="J45" s="197">
        <v>5.0000000000000001E-3</v>
      </c>
      <c r="K45" s="198"/>
      <c r="L45" s="199"/>
      <c r="M45" s="189" t="s">
        <v>46</v>
      </c>
      <c r="N45" s="189" t="s">
        <v>70</v>
      </c>
      <c r="O45" s="228">
        <v>1744420</v>
      </c>
      <c r="P45" s="200">
        <v>45874.422777777778</v>
      </c>
      <c r="Q45" s="182"/>
    </row>
    <row r="46" spans="1:17" s="234" customFormat="1" ht="30">
      <c r="A46" s="192" t="s">
        <v>59</v>
      </c>
      <c r="B46" s="193">
        <v>8280</v>
      </c>
      <c r="C46" s="183" t="s">
        <v>33</v>
      </c>
      <c r="D46" s="194">
        <v>11937</v>
      </c>
      <c r="E46" s="195">
        <v>45870</v>
      </c>
      <c r="F46" s="195">
        <v>45900</v>
      </c>
      <c r="G46" s="22" t="s">
        <v>107</v>
      </c>
      <c r="H46" s="196" t="s">
        <v>11</v>
      </c>
      <c r="I46" s="185">
        <v>0.01</v>
      </c>
      <c r="J46" s="197">
        <v>5.0000000000000001E-3</v>
      </c>
      <c r="K46" s="198"/>
      <c r="L46" s="199"/>
      <c r="M46" s="189" t="s">
        <v>46</v>
      </c>
      <c r="N46" s="189" t="s">
        <v>70</v>
      </c>
      <c r="O46" s="228">
        <v>1744420</v>
      </c>
      <c r="P46" s="200">
        <v>45874.422777777778</v>
      </c>
      <c r="Q46" s="182"/>
    </row>
    <row r="47" spans="1:17" s="234" customFormat="1" ht="30">
      <c r="A47" s="27" t="s">
        <v>58</v>
      </c>
      <c r="B47" s="191">
        <v>7909</v>
      </c>
      <c r="C47" s="183" t="s">
        <v>33</v>
      </c>
      <c r="D47" s="184">
        <v>8476</v>
      </c>
      <c r="E47" s="26">
        <v>45870</v>
      </c>
      <c r="F47" s="26">
        <v>45900</v>
      </c>
      <c r="G47" s="22" t="s">
        <v>2797</v>
      </c>
      <c r="H47" s="34" t="s">
        <v>11</v>
      </c>
      <c r="I47" s="227">
        <v>1000</v>
      </c>
      <c r="J47" s="186">
        <v>1.0999999999999999E-2</v>
      </c>
      <c r="K47" s="187"/>
      <c r="L47" s="188"/>
      <c r="M47" s="189" t="s">
        <v>15</v>
      </c>
      <c r="N47" s="189" t="s">
        <v>120</v>
      </c>
      <c r="O47" s="190">
        <v>1744373</v>
      </c>
      <c r="P47" s="35">
        <v>45874.403726851851</v>
      </c>
      <c r="Q47" s="22"/>
    </row>
    <row r="48" spans="1:17" s="234" customFormat="1" ht="30">
      <c r="A48" s="27" t="s">
        <v>59</v>
      </c>
      <c r="B48" s="191">
        <v>7908</v>
      </c>
      <c r="C48" s="183" t="s">
        <v>33</v>
      </c>
      <c r="D48" s="184" t="s">
        <v>2736</v>
      </c>
      <c r="E48" s="26">
        <v>45870</v>
      </c>
      <c r="F48" s="26">
        <v>45900</v>
      </c>
      <c r="G48" s="22" t="s">
        <v>107</v>
      </c>
      <c r="H48" s="34" t="s">
        <v>11</v>
      </c>
      <c r="I48" s="185">
        <v>0.01</v>
      </c>
      <c r="J48" s="186">
        <v>6.0000000000000001E-3</v>
      </c>
      <c r="K48" s="187"/>
      <c r="L48" s="188"/>
      <c r="M48" s="189" t="s">
        <v>168</v>
      </c>
      <c r="N48" s="189" t="s">
        <v>176</v>
      </c>
      <c r="O48" s="190">
        <v>1743759</v>
      </c>
      <c r="P48" s="35">
        <v>45873.569548611114</v>
      </c>
      <c r="Q48" s="22" t="s">
        <v>2748</v>
      </c>
    </row>
    <row r="49" spans="1:17" s="234" customFormat="1">
      <c r="A49" s="27" t="s">
        <v>58</v>
      </c>
      <c r="B49" s="191">
        <v>7907</v>
      </c>
      <c r="C49" s="183" t="s">
        <v>33</v>
      </c>
      <c r="D49" s="184">
        <v>17938</v>
      </c>
      <c r="E49" s="26">
        <v>45870</v>
      </c>
      <c r="F49" s="26">
        <v>45900</v>
      </c>
      <c r="G49" s="22" t="s">
        <v>2832</v>
      </c>
      <c r="H49" s="34" t="s">
        <v>11</v>
      </c>
      <c r="I49" s="185">
        <v>0.01</v>
      </c>
      <c r="J49" s="186">
        <v>2E-3</v>
      </c>
      <c r="K49" s="187"/>
      <c r="L49" s="188"/>
      <c r="M49" s="189" t="s">
        <v>19</v>
      </c>
      <c r="N49" s="189" t="s">
        <v>1494</v>
      </c>
      <c r="O49" s="190">
        <v>1743775</v>
      </c>
      <c r="P49" s="35">
        <v>45873.576678240737</v>
      </c>
      <c r="Q49" s="22"/>
    </row>
    <row r="50" spans="1:17" s="234" customFormat="1" ht="30">
      <c r="A50" s="27" t="s">
        <v>58</v>
      </c>
      <c r="B50" s="191">
        <v>7906</v>
      </c>
      <c r="C50" s="183" t="s">
        <v>33</v>
      </c>
      <c r="D50" s="184" t="s">
        <v>2728</v>
      </c>
      <c r="E50" s="26">
        <v>45870</v>
      </c>
      <c r="F50" s="26">
        <v>45900</v>
      </c>
      <c r="G50" s="22" t="s">
        <v>131</v>
      </c>
      <c r="H50" s="34" t="s">
        <v>11</v>
      </c>
      <c r="I50" s="185">
        <v>0.01</v>
      </c>
      <c r="J50" s="186">
        <v>1.4999999999999999E-2</v>
      </c>
      <c r="K50" s="187"/>
      <c r="L50" s="188"/>
      <c r="M50" s="189" t="s">
        <v>168</v>
      </c>
      <c r="N50" s="189" t="s">
        <v>176</v>
      </c>
      <c r="O50" s="190">
        <v>1743556</v>
      </c>
      <c r="P50" s="35">
        <v>45873.470636574071</v>
      </c>
      <c r="Q50" s="22" t="s">
        <v>2749</v>
      </c>
    </row>
    <row r="51" spans="1:17" s="234" customFormat="1" ht="30">
      <c r="A51" s="27" t="s">
        <v>59</v>
      </c>
      <c r="B51" s="191">
        <v>7904</v>
      </c>
      <c r="C51" s="183" t="s">
        <v>33</v>
      </c>
      <c r="D51" s="184">
        <v>10940</v>
      </c>
      <c r="E51" s="26">
        <v>45870</v>
      </c>
      <c r="F51" s="26">
        <v>45900</v>
      </c>
      <c r="G51" s="22" t="s">
        <v>107</v>
      </c>
      <c r="H51" s="34" t="s">
        <v>11</v>
      </c>
      <c r="I51" s="185">
        <v>0.01</v>
      </c>
      <c r="J51" s="186">
        <v>4.0000000000000001E-3</v>
      </c>
      <c r="K51" s="187"/>
      <c r="L51" s="188"/>
      <c r="M51" s="189" t="s">
        <v>19</v>
      </c>
      <c r="N51" s="189" t="s">
        <v>167</v>
      </c>
      <c r="O51" s="190">
        <v>1743315</v>
      </c>
      <c r="P51" s="35">
        <v>45873.399884259263</v>
      </c>
      <c r="Q51" s="22"/>
    </row>
    <row r="52" spans="1:17" s="234" customFormat="1">
      <c r="A52" s="27" t="s">
        <v>58</v>
      </c>
      <c r="B52" s="191">
        <v>7903</v>
      </c>
      <c r="C52" s="183" t="s">
        <v>33</v>
      </c>
      <c r="D52" s="184">
        <v>6680</v>
      </c>
      <c r="E52" s="26">
        <v>45870</v>
      </c>
      <c r="F52" s="26">
        <v>45900</v>
      </c>
      <c r="G52" s="22" t="s">
        <v>2833</v>
      </c>
      <c r="H52" s="34" t="s">
        <v>11</v>
      </c>
      <c r="I52" s="185">
        <v>1000</v>
      </c>
      <c r="J52" s="186">
        <v>1.4999999999999999E-2</v>
      </c>
      <c r="K52" s="187"/>
      <c r="L52" s="188"/>
      <c r="M52" s="189" t="s">
        <v>17</v>
      </c>
      <c r="N52" s="189" t="s">
        <v>2378</v>
      </c>
      <c r="O52" s="190">
        <v>1743154</v>
      </c>
      <c r="P52" s="35">
        <v>45870.733958333331</v>
      </c>
      <c r="Q52" s="22"/>
    </row>
    <row r="53" spans="1:17" s="234" customFormat="1">
      <c r="A53" s="27" t="s">
        <v>59</v>
      </c>
      <c r="B53" s="191">
        <v>7971</v>
      </c>
      <c r="C53" s="183" t="s">
        <v>33</v>
      </c>
      <c r="D53" s="184">
        <v>16358</v>
      </c>
      <c r="E53" s="26">
        <v>45870</v>
      </c>
      <c r="F53" s="26">
        <v>45900</v>
      </c>
      <c r="G53" s="22" t="s">
        <v>107</v>
      </c>
      <c r="H53" s="34" t="s">
        <v>11</v>
      </c>
      <c r="I53" s="185">
        <v>0.01</v>
      </c>
      <c r="J53" s="186">
        <v>6.0000000000000001E-3</v>
      </c>
      <c r="K53" s="187"/>
      <c r="L53" s="188"/>
      <c r="M53" s="189" t="s">
        <v>168</v>
      </c>
      <c r="N53" s="189" t="s">
        <v>218</v>
      </c>
      <c r="O53" s="190">
        <v>1748975</v>
      </c>
      <c r="P53" s="35">
        <v>45880</v>
      </c>
      <c r="Q53" s="22"/>
    </row>
    <row r="54" spans="1:17" s="234" customFormat="1">
      <c r="A54" s="27" t="s">
        <v>59</v>
      </c>
      <c r="B54" s="191">
        <v>7972</v>
      </c>
      <c r="C54" s="183" t="s">
        <v>33</v>
      </c>
      <c r="D54" s="184">
        <v>18120</v>
      </c>
      <c r="E54" s="26">
        <v>45870</v>
      </c>
      <c r="F54" s="26">
        <v>45900</v>
      </c>
      <c r="G54" s="22" t="s">
        <v>107</v>
      </c>
      <c r="H54" s="34" t="s">
        <v>11</v>
      </c>
      <c r="I54" s="185">
        <v>0.01</v>
      </c>
      <c r="J54" s="186">
        <v>7.4999999999999997E-3</v>
      </c>
      <c r="K54" s="187"/>
      <c r="L54" s="188"/>
      <c r="M54" s="189" t="s">
        <v>168</v>
      </c>
      <c r="N54" s="189" t="s">
        <v>218</v>
      </c>
      <c r="O54" s="190">
        <v>1748961</v>
      </c>
      <c r="P54" s="35">
        <v>45880</v>
      </c>
      <c r="Q54" s="22"/>
    </row>
    <row r="55" spans="1:17" s="234" customFormat="1" ht="30">
      <c r="A55" s="27" t="s">
        <v>59</v>
      </c>
      <c r="B55" s="191">
        <v>7973</v>
      </c>
      <c r="C55" s="183" t="s">
        <v>33</v>
      </c>
      <c r="D55" s="184" t="s">
        <v>178</v>
      </c>
      <c r="E55" s="26">
        <v>45870</v>
      </c>
      <c r="F55" s="26">
        <v>45900</v>
      </c>
      <c r="G55" s="22" t="s">
        <v>2866</v>
      </c>
      <c r="H55" s="34" t="s">
        <v>11</v>
      </c>
      <c r="I55" s="185">
        <v>150000</v>
      </c>
      <c r="J55" s="186">
        <v>3.0000000000000001E-3</v>
      </c>
      <c r="K55" s="187"/>
      <c r="L55" s="188"/>
      <c r="M55" s="189" t="s">
        <v>18</v>
      </c>
      <c r="N55" s="189" t="s">
        <v>83</v>
      </c>
      <c r="O55" s="190">
        <v>1748747</v>
      </c>
      <c r="P55" s="35">
        <v>45880</v>
      </c>
      <c r="Q55" s="22" t="s">
        <v>2750</v>
      </c>
    </row>
    <row r="56" spans="1:17" s="234" customFormat="1">
      <c r="A56" s="27" t="s">
        <v>59</v>
      </c>
      <c r="B56" s="191">
        <v>7974</v>
      </c>
      <c r="C56" s="183" t="s">
        <v>33</v>
      </c>
      <c r="D56" s="184">
        <v>16819</v>
      </c>
      <c r="E56" s="26">
        <v>45870</v>
      </c>
      <c r="F56" s="26">
        <v>45900</v>
      </c>
      <c r="G56" s="22" t="s">
        <v>107</v>
      </c>
      <c r="H56" s="34" t="s">
        <v>11</v>
      </c>
      <c r="I56" s="185">
        <v>0.01</v>
      </c>
      <c r="J56" s="186">
        <v>5.0000000000000001E-3</v>
      </c>
      <c r="K56" s="187"/>
      <c r="L56" s="188"/>
      <c r="M56" s="189" t="s">
        <v>168</v>
      </c>
      <c r="N56" s="189" t="s">
        <v>65</v>
      </c>
      <c r="O56" s="190">
        <v>1748874</v>
      </c>
      <c r="P56" s="35">
        <v>45880</v>
      </c>
      <c r="Q56" s="22"/>
    </row>
    <row r="57" spans="1:17" s="234" customFormat="1">
      <c r="A57" s="27" t="s">
        <v>59</v>
      </c>
      <c r="B57" s="191">
        <v>7975</v>
      </c>
      <c r="C57" s="183" t="s">
        <v>33</v>
      </c>
      <c r="D57" s="184">
        <v>14482</v>
      </c>
      <c r="E57" s="26">
        <v>45870</v>
      </c>
      <c r="F57" s="26">
        <v>45900</v>
      </c>
      <c r="G57" s="22" t="s">
        <v>2526</v>
      </c>
      <c r="H57" s="34" t="s">
        <v>11</v>
      </c>
      <c r="I57" s="185">
        <v>0.01</v>
      </c>
      <c r="J57" s="186">
        <v>7.0000000000000001E-3</v>
      </c>
      <c r="K57" s="187"/>
      <c r="L57" s="188"/>
      <c r="M57" s="189" t="s">
        <v>168</v>
      </c>
      <c r="N57" s="189" t="s">
        <v>65</v>
      </c>
      <c r="O57" s="190">
        <v>1748869</v>
      </c>
      <c r="P57" s="35">
        <v>45880</v>
      </c>
      <c r="Q57" s="22"/>
    </row>
    <row r="58" spans="1:17" s="234" customFormat="1" ht="45">
      <c r="A58" s="27" t="s">
        <v>59</v>
      </c>
      <c r="B58" s="191">
        <v>7976</v>
      </c>
      <c r="C58" s="183" t="s">
        <v>33</v>
      </c>
      <c r="D58" s="184">
        <v>6962</v>
      </c>
      <c r="E58" s="26">
        <v>45870</v>
      </c>
      <c r="F58" s="26">
        <v>45900</v>
      </c>
      <c r="G58" s="22" t="s">
        <v>2867</v>
      </c>
      <c r="H58" s="34" t="s">
        <v>11</v>
      </c>
      <c r="I58" s="185">
        <v>0.01</v>
      </c>
      <c r="J58" s="186" t="s">
        <v>2743</v>
      </c>
      <c r="K58" s="187"/>
      <c r="L58" s="188"/>
      <c r="M58" s="189" t="s">
        <v>18</v>
      </c>
      <c r="N58" s="189" t="s">
        <v>74</v>
      </c>
      <c r="O58" s="190">
        <v>1748861</v>
      </c>
      <c r="P58" s="35">
        <v>45880</v>
      </c>
      <c r="Q58" s="22"/>
    </row>
    <row r="59" spans="1:17" s="234" customFormat="1" ht="30">
      <c r="A59" s="27" t="s">
        <v>59</v>
      </c>
      <c r="B59" s="191">
        <v>7977</v>
      </c>
      <c r="C59" s="183" t="s">
        <v>33</v>
      </c>
      <c r="D59" s="184">
        <v>16382</v>
      </c>
      <c r="E59" s="26">
        <v>45870</v>
      </c>
      <c r="F59" s="26">
        <v>45900</v>
      </c>
      <c r="G59" s="22" t="s">
        <v>107</v>
      </c>
      <c r="H59" s="34" t="s">
        <v>11</v>
      </c>
      <c r="I59" s="185">
        <v>0.01</v>
      </c>
      <c r="J59" s="186">
        <v>7.4999999999999997E-3</v>
      </c>
      <c r="K59" s="187"/>
      <c r="L59" s="188"/>
      <c r="M59" s="189" t="s">
        <v>48</v>
      </c>
      <c r="N59" s="189" t="s">
        <v>75</v>
      </c>
      <c r="O59" s="190">
        <v>1748847</v>
      </c>
      <c r="P59" s="35">
        <v>45880</v>
      </c>
      <c r="Q59" s="22"/>
    </row>
    <row r="60" spans="1:17" s="234" customFormat="1" ht="30">
      <c r="A60" s="27" t="s">
        <v>58</v>
      </c>
      <c r="B60" s="191">
        <v>7978</v>
      </c>
      <c r="C60" s="183" t="s">
        <v>33</v>
      </c>
      <c r="D60" s="184">
        <v>15087</v>
      </c>
      <c r="E60" s="26">
        <v>45870</v>
      </c>
      <c r="F60" s="26">
        <v>45900</v>
      </c>
      <c r="G60" s="22" t="s">
        <v>1473</v>
      </c>
      <c r="H60" s="34" t="s">
        <v>11</v>
      </c>
      <c r="I60" s="185">
        <v>30000</v>
      </c>
      <c r="J60" s="186">
        <v>2.5000000000000001E-3</v>
      </c>
      <c r="K60" s="187"/>
      <c r="L60" s="188"/>
      <c r="M60" s="189" t="s">
        <v>48</v>
      </c>
      <c r="N60" s="189" t="s">
        <v>75</v>
      </c>
      <c r="O60" s="190">
        <v>1748762</v>
      </c>
      <c r="P60" s="35">
        <v>45880</v>
      </c>
      <c r="Q60" s="22"/>
    </row>
    <row r="61" spans="1:17" s="234" customFormat="1" ht="30">
      <c r="A61" s="27" t="s">
        <v>58</v>
      </c>
      <c r="B61" s="191">
        <v>7979</v>
      </c>
      <c r="C61" s="183" t="s">
        <v>33</v>
      </c>
      <c r="D61" s="184">
        <v>17142</v>
      </c>
      <c r="E61" s="26">
        <v>45870</v>
      </c>
      <c r="F61" s="26">
        <v>45900</v>
      </c>
      <c r="G61" s="22" t="s">
        <v>1505</v>
      </c>
      <c r="H61" s="34" t="s">
        <v>11</v>
      </c>
      <c r="I61" s="185">
        <v>30000</v>
      </c>
      <c r="J61" s="186">
        <v>5.0000000000000001E-3</v>
      </c>
      <c r="K61" s="187"/>
      <c r="L61" s="188"/>
      <c r="M61" s="189" t="s">
        <v>48</v>
      </c>
      <c r="N61" s="189" t="s">
        <v>75</v>
      </c>
      <c r="O61" s="190">
        <v>1748752</v>
      </c>
      <c r="P61" s="35">
        <v>45880</v>
      </c>
      <c r="Q61" s="22"/>
    </row>
    <row r="62" spans="1:17" s="234" customFormat="1">
      <c r="A62" s="27" t="s">
        <v>59</v>
      </c>
      <c r="B62" s="191">
        <v>7980</v>
      </c>
      <c r="C62" s="183" t="s">
        <v>33</v>
      </c>
      <c r="D62" s="184">
        <v>14482</v>
      </c>
      <c r="E62" s="26">
        <v>45870</v>
      </c>
      <c r="F62" s="26">
        <v>45900</v>
      </c>
      <c r="G62" s="22" t="s">
        <v>107</v>
      </c>
      <c r="H62" s="34" t="s">
        <v>11</v>
      </c>
      <c r="I62" s="185">
        <v>0.01</v>
      </c>
      <c r="J62" s="186">
        <v>7.4999999999999997E-3</v>
      </c>
      <c r="K62" s="187"/>
      <c r="L62" s="188"/>
      <c r="M62" s="189" t="s">
        <v>168</v>
      </c>
      <c r="N62" s="189" t="s">
        <v>65</v>
      </c>
      <c r="O62" s="190">
        <v>1748748</v>
      </c>
      <c r="P62" s="35">
        <v>45880</v>
      </c>
      <c r="Q62" s="22"/>
    </row>
    <row r="63" spans="1:17" s="234" customFormat="1">
      <c r="A63" s="27" t="s">
        <v>58</v>
      </c>
      <c r="B63" s="191">
        <v>7981</v>
      </c>
      <c r="C63" s="183" t="s">
        <v>33</v>
      </c>
      <c r="D63" s="184">
        <v>17352</v>
      </c>
      <c r="E63" s="26">
        <v>45870</v>
      </c>
      <c r="F63" s="26">
        <v>45900</v>
      </c>
      <c r="G63" s="22" t="s">
        <v>2773</v>
      </c>
      <c r="H63" s="34" t="s">
        <v>11</v>
      </c>
      <c r="I63" s="185">
        <v>300000</v>
      </c>
      <c r="J63" s="186">
        <v>1.7999999999999999E-2</v>
      </c>
      <c r="K63" s="187"/>
      <c r="L63" s="188"/>
      <c r="M63" s="189" t="s">
        <v>103</v>
      </c>
      <c r="N63" s="189" t="s">
        <v>174</v>
      </c>
      <c r="O63" s="190">
        <v>1748741</v>
      </c>
      <c r="P63" s="35">
        <v>45880</v>
      </c>
      <c r="Q63" s="22"/>
    </row>
    <row r="64" spans="1:17" s="234" customFormat="1">
      <c r="A64" s="27" t="s">
        <v>59</v>
      </c>
      <c r="B64" s="191">
        <v>7982</v>
      </c>
      <c r="C64" s="183" t="s">
        <v>33</v>
      </c>
      <c r="D64" s="184">
        <v>16988</v>
      </c>
      <c r="E64" s="26">
        <v>45870</v>
      </c>
      <c r="F64" s="26">
        <v>45900</v>
      </c>
      <c r="G64" s="22" t="s">
        <v>107</v>
      </c>
      <c r="H64" s="34" t="s">
        <v>11</v>
      </c>
      <c r="I64" s="185">
        <v>0.01</v>
      </c>
      <c r="J64" s="186">
        <v>7.4999999999999997E-3</v>
      </c>
      <c r="K64" s="187"/>
      <c r="L64" s="188"/>
      <c r="M64" s="189" t="s">
        <v>168</v>
      </c>
      <c r="N64" s="189" t="s">
        <v>218</v>
      </c>
      <c r="O64" s="190">
        <v>1748595</v>
      </c>
      <c r="P64" s="35">
        <v>45880</v>
      </c>
      <c r="Q64" s="22"/>
    </row>
    <row r="65" spans="1:17" s="234" customFormat="1">
      <c r="A65" s="27" t="s">
        <v>58</v>
      </c>
      <c r="B65" s="191">
        <v>7983</v>
      </c>
      <c r="C65" s="183" t="s">
        <v>33</v>
      </c>
      <c r="D65" s="184">
        <v>16977</v>
      </c>
      <c r="E65" s="26">
        <v>45870</v>
      </c>
      <c r="F65" s="26">
        <v>45900</v>
      </c>
      <c r="G65" s="22" t="s">
        <v>1663</v>
      </c>
      <c r="H65" s="34" t="s">
        <v>11</v>
      </c>
      <c r="I65" s="185">
        <v>0.01</v>
      </c>
      <c r="J65" s="186">
        <v>3.5000000000000003E-2</v>
      </c>
      <c r="K65" s="187"/>
      <c r="L65" s="188"/>
      <c r="M65" s="189" t="s">
        <v>168</v>
      </c>
      <c r="N65" s="189" t="s">
        <v>218</v>
      </c>
      <c r="O65" s="190">
        <v>1748581</v>
      </c>
      <c r="P65" s="35">
        <v>45880</v>
      </c>
      <c r="Q65" s="22"/>
    </row>
    <row r="66" spans="1:17" s="234" customFormat="1">
      <c r="A66" s="27" t="s">
        <v>58</v>
      </c>
      <c r="B66" s="191">
        <v>7984</v>
      </c>
      <c r="C66" s="183" t="s">
        <v>33</v>
      </c>
      <c r="D66" s="184">
        <v>16977</v>
      </c>
      <c r="E66" s="26">
        <v>45870</v>
      </c>
      <c r="F66" s="26">
        <v>45900</v>
      </c>
      <c r="G66" s="22" t="s">
        <v>2527</v>
      </c>
      <c r="H66" s="34" t="s">
        <v>11</v>
      </c>
      <c r="I66" s="185">
        <v>0.01</v>
      </c>
      <c r="J66" s="186">
        <v>8.0000000000000002E-3</v>
      </c>
      <c r="K66" s="187"/>
      <c r="L66" s="188"/>
      <c r="M66" s="189" t="s">
        <v>168</v>
      </c>
      <c r="N66" s="189" t="s">
        <v>218</v>
      </c>
      <c r="O66" s="190">
        <v>1748573</v>
      </c>
      <c r="P66" s="35">
        <v>45880</v>
      </c>
      <c r="Q66" s="22"/>
    </row>
    <row r="67" spans="1:17" s="234" customFormat="1" ht="30">
      <c r="A67" s="27" t="s">
        <v>59</v>
      </c>
      <c r="B67" s="191">
        <v>7986</v>
      </c>
      <c r="C67" s="183" t="s">
        <v>33</v>
      </c>
      <c r="D67" s="184" t="s">
        <v>2729</v>
      </c>
      <c r="E67" s="26">
        <v>45870</v>
      </c>
      <c r="F67" s="26">
        <v>45900</v>
      </c>
      <c r="G67" s="22" t="s">
        <v>2868</v>
      </c>
      <c r="H67" s="34" t="s">
        <v>11</v>
      </c>
      <c r="I67" s="185">
        <v>400000</v>
      </c>
      <c r="J67" s="186">
        <v>1E-3</v>
      </c>
      <c r="K67" s="187"/>
      <c r="L67" s="188"/>
      <c r="M67" s="189" t="s">
        <v>32</v>
      </c>
      <c r="N67" s="189" t="s">
        <v>64</v>
      </c>
      <c r="O67" s="190">
        <v>1746915</v>
      </c>
      <c r="P67" s="35">
        <v>45876</v>
      </c>
      <c r="Q67" s="22" t="s">
        <v>2751</v>
      </c>
    </row>
    <row r="68" spans="1:17" s="234" customFormat="1" ht="60">
      <c r="A68" s="27" t="s">
        <v>59</v>
      </c>
      <c r="B68" s="39">
        <v>7929</v>
      </c>
      <c r="C68" s="183" t="s">
        <v>33</v>
      </c>
      <c r="D68" s="184">
        <v>16130</v>
      </c>
      <c r="E68" s="26">
        <v>45870</v>
      </c>
      <c r="F68" s="26">
        <v>45900</v>
      </c>
      <c r="G68" s="22" t="s">
        <v>2519</v>
      </c>
      <c r="H68" s="34" t="s">
        <v>11</v>
      </c>
      <c r="I68" s="185">
        <v>10000</v>
      </c>
      <c r="J68" s="186">
        <v>5.0000000000000001E-3</v>
      </c>
      <c r="K68" s="187"/>
      <c r="L68" s="188"/>
      <c r="M68" s="189" t="s">
        <v>27</v>
      </c>
      <c r="N68" s="189" t="s">
        <v>173</v>
      </c>
      <c r="O68" s="190">
        <v>1746672</v>
      </c>
      <c r="P68" s="35">
        <v>45876</v>
      </c>
      <c r="Q68" s="22" t="s">
        <v>2739</v>
      </c>
    </row>
    <row r="69" spans="1:17" s="234" customFormat="1" ht="30">
      <c r="A69" s="27" t="s">
        <v>59</v>
      </c>
      <c r="B69" s="39">
        <v>7930</v>
      </c>
      <c r="C69" s="183" t="s">
        <v>33</v>
      </c>
      <c r="D69" s="184">
        <v>16130</v>
      </c>
      <c r="E69" s="26">
        <v>45870</v>
      </c>
      <c r="F69" s="26">
        <v>45900</v>
      </c>
      <c r="G69" s="236" t="s">
        <v>2664</v>
      </c>
      <c r="H69" s="34" t="s">
        <v>11</v>
      </c>
      <c r="I69" s="185">
        <v>10000</v>
      </c>
      <c r="J69" s="186">
        <v>0.02</v>
      </c>
      <c r="K69" s="187"/>
      <c r="L69" s="188"/>
      <c r="M69" s="189" t="s">
        <v>27</v>
      </c>
      <c r="N69" s="189" t="s">
        <v>173</v>
      </c>
      <c r="O69" s="190">
        <v>1746672</v>
      </c>
      <c r="P69" s="35">
        <v>45876</v>
      </c>
      <c r="Q69" s="22"/>
    </row>
    <row r="70" spans="1:17" s="234" customFormat="1" ht="30">
      <c r="A70" s="27" t="s">
        <v>59</v>
      </c>
      <c r="B70" s="39">
        <v>7931</v>
      </c>
      <c r="C70" s="183" t="s">
        <v>33</v>
      </c>
      <c r="D70" s="184">
        <v>16130</v>
      </c>
      <c r="E70" s="26">
        <v>45870</v>
      </c>
      <c r="F70" s="26">
        <v>45900</v>
      </c>
      <c r="G70" s="22" t="s">
        <v>2511</v>
      </c>
      <c r="H70" s="34" t="s">
        <v>11</v>
      </c>
      <c r="I70" s="185">
        <v>10000</v>
      </c>
      <c r="J70" s="186">
        <v>2.75E-2</v>
      </c>
      <c r="K70" s="187"/>
      <c r="L70" s="188"/>
      <c r="M70" s="189" t="s">
        <v>27</v>
      </c>
      <c r="N70" s="189" t="s">
        <v>173</v>
      </c>
      <c r="O70" s="190">
        <v>1746672</v>
      </c>
      <c r="P70" s="35">
        <v>45876</v>
      </c>
      <c r="Q70" s="22"/>
    </row>
    <row r="71" spans="1:17" s="234" customFormat="1" ht="30">
      <c r="A71" s="27" t="s">
        <v>59</v>
      </c>
      <c r="B71" s="39">
        <v>7932</v>
      </c>
      <c r="C71" s="183" t="s">
        <v>33</v>
      </c>
      <c r="D71" s="184">
        <v>16130</v>
      </c>
      <c r="E71" s="26">
        <v>45870</v>
      </c>
      <c r="F71" s="26">
        <v>45900</v>
      </c>
      <c r="G71" s="22" t="s">
        <v>2483</v>
      </c>
      <c r="H71" s="34" t="s">
        <v>11</v>
      </c>
      <c r="I71" s="185">
        <v>10000</v>
      </c>
      <c r="J71" s="186">
        <v>7.4999999999999997E-3</v>
      </c>
      <c r="K71" s="187"/>
      <c r="L71" s="188"/>
      <c r="M71" s="189" t="s">
        <v>27</v>
      </c>
      <c r="N71" s="189" t="s">
        <v>173</v>
      </c>
      <c r="O71" s="190">
        <v>1746672</v>
      </c>
      <c r="P71" s="35">
        <v>45876</v>
      </c>
      <c r="Q71" s="22"/>
    </row>
    <row r="72" spans="1:17" s="234" customFormat="1" ht="60">
      <c r="A72" s="27" t="s">
        <v>58</v>
      </c>
      <c r="B72" s="39">
        <v>7933</v>
      </c>
      <c r="C72" s="183" t="s">
        <v>33</v>
      </c>
      <c r="D72" s="184">
        <v>16130</v>
      </c>
      <c r="E72" s="26">
        <v>45870</v>
      </c>
      <c r="F72" s="26">
        <v>45900</v>
      </c>
      <c r="G72" s="22" t="s">
        <v>2484</v>
      </c>
      <c r="H72" s="34" t="s">
        <v>11</v>
      </c>
      <c r="I72" s="185">
        <v>10000</v>
      </c>
      <c r="J72" s="186">
        <v>5.0000000000000001E-3</v>
      </c>
      <c r="K72" s="187"/>
      <c r="L72" s="188"/>
      <c r="M72" s="189" t="s">
        <v>27</v>
      </c>
      <c r="N72" s="189" t="s">
        <v>173</v>
      </c>
      <c r="O72" s="190">
        <v>1746672</v>
      </c>
      <c r="P72" s="35">
        <v>45876</v>
      </c>
      <c r="Q72" s="22" t="s">
        <v>2740</v>
      </c>
    </row>
    <row r="73" spans="1:17" s="234" customFormat="1" ht="30">
      <c r="A73" s="27" t="s">
        <v>58</v>
      </c>
      <c r="B73" s="39">
        <v>7935</v>
      </c>
      <c r="C73" s="183" t="s">
        <v>33</v>
      </c>
      <c r="D73" s="184">
        <v>16130</v>
      </c>
      <c r="E73" s="26">
        <v>45870</v>
      </c>
      <c r="F73" s="26">
        <v>45900</v>
      </c>
      <c r="G73" s="22" t="s">
        <v>2512</v>
      </c>
      <c r="H73" s="34" t="s">
        <v>11</v>
      </c>
      <c r="I73" s="185">
        <v>10000</v>
      </c>
      <c r="J73" s="186">
        <v>5.0000000000000001E-3</v>
      </c>
      <c r="K73" s="187"/>
      <c r="L73" s="188"/>
      <c r="M73" s="189" t="s">
        <v>27</v>
      </c>
      <c r="N73" s="189" t="s">
        <v>173</v>
      </c>
      <c r="O73" s="190">
        <v>1746672</v>
      </c>
      <c r="P73" s="35">
        <v>45876</v>
      </c>
      <c r="Q73" s="22"/>
    </row>
    <row r="74" spans="1:17" s="234" customFormat="1" ht="30">
      <c r="A74" s="27" t="s">
        <v>58</v>
      </c>
      <c r="B74" s="39">
        <v>7934</v>
      </c>
      <c r="C74" s="183" t="s">
        <v>33</v>
      </c>
      <c r="D74" s="184">
        <v>16130</v>
      </c>
      <c r="E74" s="26">
        <v>45870</v>
      </c>
      <c r="F74" s="26">
        <v>45900</v>
      </c>
      <c r="G74" s="22" t="s">
        <v>2513</v>
      </c>
      <c r="H74" s="34" t="s">
        <v>11</v>
      </c>
      <c r="I74" s="185">
        <v>10000</v>
      </c>
      <c r="J74" s="186">
        <v>2E-3</v>
      </c>
      <c r="K74" s="187"/>
      <c r="L74" s="188"/>
      <c r="M74" s="189" t="s">
        <v>27</v>
      </c>
      <c r="N74" s="189" t="s">
        <v>173</v>
      </c>
      <c r="O74" s="190">
        <v>1746672</v>
      </c>
      <c r="P74" s="35">
        <v>45876</v>
      </c>
      <c r="Q74" s="22"/>
    </row>
    <row r="75" spans="1:17" s="234" customFormat="1" ht="30">
      <c r="A75" s="27" t="s">
        <v>58</v>
      </c>
      <c r="B75" s="39">
        <v>7936</v>
      </c>
      <c r="C75" s="183" t="s">
        <v>33</v>
      </c>
      <c r="D75" s="184">
        <v>16130</v>
      </c>
      <c r="E75" s="26">
        <v>45870</v>
      </c>
      <c r="F75" s="26">
        <v>45900</v>
      </c>
      <c r="G75" s="22" t="s">
        <v>2514</v>
      </c>
      <c r="H75" s="34" t="s">
        <v>11</v>
      </c>
      <c r="I75" s="185">
        <v>10000</v>
      </c>
      <c r="J75" s="186">
        <v>1.95E-2</v>
      </c>
      <c r="K75" s="187"/>
      <c r="L75" s="188"/>
      <c r="M75" s="189" t="s">
        <v>27</v>
      </c>
      <c r="N75" s="189" t="s">
        <v>173</v>
      </c>
      <c r="O75" s="190">
        <v>1746672</v>
      </c>
      <c r="P75" s="35">
        <v>45876</v>
      </c>
      <c r="Q75" s="22"/>
    </row>
    <row r="76" spans="1:17" s="234" customFormat="1" ht="30">
      <c r="A76" s="27" t="s">
        <v>58</v>
      </c>
      <c r="B76" s="39">
        <v>7937</v>
      </c>
      <c r="C76" s="183" t="s">
        <v>33</v>
      </c>
      <c r="D76" s="184">
        <v>16130</v>
      </c>
      <c r="E76" s="26">
        <v>45870</v>
      </c>
      <c r="F76" s="26">
        <v>45900</v>
      </c>
      <c r="G76" s="22" t="s">
        <v>2515</v>
      </c>
      <c r="H76" s="34" t="s">
        <v>11</v>
      </c>
      <c r="I76" s="185">
        <v>10000</v>
      </c>
      <c r="J76" s="186">
        <v>4.4999999999999997E-3</v>
      </c>
      <c r="K76" s="187"/>
      <c r="L76" s="188"/>
      <c r="M76" s="189" t="s">
        <v>27</v>
      </c>
      <c r="N76" s="189" t="s">
        <v>173</v>
      </c>
      <c r="O76" s="190">
        <v>1746672</v>
      </c>
      <c r="P76" s="35">
        <v>45876</v>
      </c>
      <c r="Q76" s="22"/>
    </row>
    <row r="77" spans="1:17" s="234" customFormat="1" ht="30">
      <c r="A77" s="27" t="s">
        <v>58</v>
      </c>
      <c r="B77" s="39">
        <v>7938</v>
      </c>
      <c r="C77" s="183" t="s">
        <v>33</v>
      </c>
      <c r="D77" s="184" t="s">
        <v>2735</v>
      </c>
      <c r="E77" s="26">
        <v>45870</v>
      </c>
      <c r="F77" s="26">
        <v>45900</v>
      </c>
      <c r="G77" s="22" t="s">
        <v>2835</v>
      </c>
      <c r="H77" s="34" t="s">
        <v>11</v>
      </c>
      <c r="I77" s="185">
        <v>10000</v>
      </c>
      <c r="J77" s="186">
        <v>1.95E-2</v>
      </c>
      <c r="K77" s="187"/>
      <c r="L77" s="188"/>
      <c r="M77" s="189" t="s">
        <v>27</v>
      </c>
      <c r="N77" s="189" t="s">
        <v>173</v>
      </c>
      <c r="O77" s="190">
        <v>1746672</v>
      </c>
      <c r="P77" s="35">
        <v>45876</v>
      </c>
      <c r="Q77" s="22"/>
    </row>
    <row r="78" spans="1:17" s="234" customFormat="1" ht="30">
      <c r="A78" s="27" t="s">
        <v>58</v>
      </c>
      <c r="B78" s="39">
        <v>7939</v>
      </c>
      <c r="C78" s="183" t="s">
        <v>33</v>
      </c>
      <c r="D78" s="184" t="s">
        <v>2735</v>
      </c>
      <c r="E78" s="26">
        <v>45870</v>
      </c>
      <c r="F78" s="26">
        <v>45900</v>
      </c>
      <c r="G78" s="22" t="s">
        <v>2516</v>
      </c>
      <c r="H78" s="34" t="s">
        <v>11</v>
      </c>
      <c r="I78" s="185">
        <v>10000</v>
      </c>
      <c r="J78" s="186">
        <v>8.3000000000000001E-3</v>
      </c>
      <c r="K78" s="187"/>
      <c r="L78" s="188"/>
      <c r="M78" s="189" t="s">
        <v>27</v>
      </c>
      <c r="N78" s="189" t="s">
        <v>173</v>
      </c>
      <c r="O78" s="190">
        <v>1746672</v>
      </c>
      <c r="P78" s="35">
        <v>45876</v>
      </c>
      <c r="Q78" s="22"/>
    </row>
    <row r="79" spans="1:17" s="234" customFormat="1" ht="30">
      <c r="A79" s="27" t="s">
        <v>59</v>
      </c>
      <c r="B79" s="39">
        <v>7940</v>
      </c>
      <c r="C79" s="183" t="s">
        <v>33</v>
      </c>
      <c r="D79" s="184" t="s">
        <v>2735</v>
      </c>
      <c r="E79" s="26">
        <v>45870</v>
      </c>
      <c r="F79" s="26">
        <v>45900</v>
      </c>
      <c r="G79" s="22" t="s">
        <v>107</v>
      </c>
      <c r="H79" s="34" t="s">
        <v>11</v>
      </c>
      <c r="I79" s="185">
        <v>10000</v>
      </c>
      <c r="J79" s="186">
        <v>2E-3</v>
      </c>
      <c r="K79" s="187"/>
      <c r="L79" s="188"/>
      <c r="M79" s="189" t="s">
        <v>27</v>
      </c>
      <c r="N79" s="189" t="s">
        <v>173</v>
      </c>
      <c r="O79" s="190">
        <v>1746672</v>
      </c>
      <c r="P79" s="35">
        <v>45876</v>
      </c>
      <c r="Q79" s="22"/>
    </row>
    <row r="80" spans="1:17" s="234" customFormat="1" ht="30">
      <c r="A80" s="27" t="s">
        <v>59</v>
      </c>
      <c r="B80" s="39">
        <v>7941</v>
      </c>
      <c r="C80" s="183" t="s">
        <v>33</v>
      </c>
      <c r="D80" s="236">
        <v>15086</v>
      </c>
      <c r="E80" s="26">
        <v>45870</v>
      </c>
      <c r="F80" s="26">
        <v>45900</v>
      </c>
      <c r="G80" s="22" t="s">
        <v>107</v>
      </c>
      <c r="H80" s="34" t="s">
        <v>11</v>
      </c>
      <c r="I80" s="185">
        <v>10000</v>
      </c>
      <c r="J80" s="186">
        <v>5.0000000000000001E-3</v>
      </c>
      <c r="K80" s="187"/>
      <c r="L80" s="188"/>
      <c r="M80" s="189" t="s">
        <v>27</v>
      </c>
      <c r="N80" s="189" t="s">
        <v>173</v>
      </c>
      <c r="O80" s="190">
        <v>1746672</v>
      </c>
      <c r="P80" s="35">
        <v>45876</v>
      </c>
      <c r="Q80" s="22"/>
    </row>
    <row r="81" spans="1:17" s="234" customFormat="1" ht="30">
      <c r="A81" s="27" t="s">
        <v>58</v>
      </c>
      <c r="B81" s="39">
        <v>7942</v>
      </c>
      <c r="C81" s="183" t="s">
        <v>33</v>
      </c>
      <c r="D81" s="184">
        <v>15086</v>
      </c>
      <c r="E81" s="26">
        <v>45870</v>
      </c>
      <c r="F81" s="26">
        <v>45900</v>
      </c>
      <c r="G81" s="22" t="s">
        <v>2517</v>
      </c>
      <c r="H81" s="34" t="s">
        <v>11</v>
      </c>
      <c r="I81" s="185">
        <v>10000</v>
      </c>
      <c r="J81" s="186">
        <v>5.0000000000000001E-3</v>
      </c>
      <c r="K81" s="187"/>
      <c r="L81" s="188"/>
      <c r="M81" s="189" t="s">
        <v>27</v>
      </c>
      <c r="N81" s="189" t="s">
        <v>173</v>
      </c>
      <c r="O81" s="190">
        <v>1746672</v>
      </c>
      <c r="P81" s="35">
        <v>45876</v>
      </c>
      <c r="Q81" s="22"/>
    </row>
    <row r="82" spans="1:17" s="234" customFormat="1" ht="30">
      <c r="A82" s="27" t="s">
        <v>58</v>
      </c>
      <c r="B82" s="39">
        <v>7943</v>
      </c>
      <c r="C82" s="183" t="s">
        <v>33</v>
      </c>
      <c r="D82" s="184">
        <v>15086</v>
      </c>
      <c r="E82" s="26">
        <v>45870</v>
      </c>
      <c r="F82" s="26">
        <v>45900</v>
      </c>
      <c r="G82" s="22" t="s">
        <v>2518</v>
      </c>
      <c r="H82" s="34" t="s">
        <v>11</v>
      </c>
      <c r="I82" s="185">
        <v>10000</v>
      </c>
      <c r="J82" s="186">
        <v>2E-3</v>
      </c>
      <c r="K82" s="187"/>
      <c r="L82" s="188"/>
      <c r="M82" s="189" t="s">
        <v>27</v>
      </c>
      <c r="N82" s="189" t="s">
        <v>173</v>
      </c>
      <c r="O82" s="190">
        <v>1746672</v>
      </c>
      <c r="P82" s="35">
        <v>45876</v>
      </c>
      <c r="Q82" s="22"/>
    </row>
    <row r="83" spans="1:17" s="234" customFormat="1">
      <c r="A83" s="27" t="s">
        <v>58</v>
      </c>
      <c r="B83" s="39">
        <v>7944</v>
      </c>
      <c r="C83" s="183" t="s">
        <v>33</v>
      </c>
      <c r="D83" s="184">
        <v>9286</v>
      </c>
      <c r="E83" s="26">
        <v>45870</v>
      </c>
      <c r="F83" s="26">
        <v>45900</v>
      </c>
      <c r="G83" s="252" t="s">
        <v>2836</v>
      </c>
      <c r="H83" s="34" t="s">
        <v>11</v>
      </c>
      <c r="I83" s="185">
        <v>30000</v>
      </c>
      <c r="J83" s="186">
        <v>2E-3</v>
      </c>
      <c r="K83" s="187"/>
      <c r="L83" s="188"/>
      <c r="M83" s="189" t="s">
        <v>18</v>
      </c>
      <c r="N83" s="189" t="s">
        <v>74</v>
      </c>
      <c r="O83" s="190">
        <v>1746325</v>
      </c>
      <c r="P83" s="35">
        <v>45875</v>
      </c>
      <c r="Q83" s="22"/>
    </row>
    <row r="84" spans="1:17" s="234" customFormat="1">
      <c r="A84" s="27" t="s">
        <v>58</v>
      </c>
      <c r="B84" s="39">
        <v>7945</v>
      </c>
      <c r="C84" s="183" t="s">
        <v>33</v>
      </c>
      <c r="D84" s="184">
        <v>8819</v>
      </c>
      <c r="E84" s="26">
        <v>45870</v>
      </c>
      <c r="F84" s="26">
        <v>45900</v>
      </c>
      <c r="G84" s="22" t="s">
        <v>2837</v>
      </c>
      <c r="H84" s="34" t="s">
        <v>11</v>
      </c>
      <c r="I84" s="185">
        <v>50000</v>
      </c>
      <c r="J84" s="186">
        <v>3.0000000000000001E-3</v>
      </c>
      <c r="K84" s="187"/>
      <c r="L84" s="188"/>
      <c r="M84" s="189" t="s">
        <v>18</v>
      </c>
      <c r="N84" s="189" t="s">
        <v>74</v>
      </c>
      <c r="O84" s="190">
        <v>1746323</v>
      </c>
      <c r="P84" s="35">
        <v>45875</v>
      </c>
      <c r="Q84" s="22"/>
    </row>
    <row r="85" spans="1:17" s="234" customFormat="1">
      <c r="A85" s="27" t="s">
        <v>58</v>
      </c>
      <c r="B85" s="39">
        <v>7946</v>
      </c>
      <c r="C85" s="183" t="s">
        <v>33</v>
      </c>
      <c r="D85" s="184">
        <v>6245</v>
      </c>
      <c r="E85" s="26">
        <v>45870</v>
      </c>
      <c r="F85" s="26">
        <v>45900</v>
      </c>
      <c r="G85" s="22" t="s">
        <v>2837</v>
      </c>
      <c r="H85" s="34" t="s">
        <v>11</v>
      </c>
      <c r="I85" s="185">
        <v>50000</v>
      </c>
      <c r="J85" s="186">
        <v>3.0000000000000001E-3</v>
      </c>
      <c r="K85" s="187"/>
      <c r="L85" s="188"/>
      <c r="M85" s="189" t="s">
        <v>18</v>
      </c>
      <c r="N85" s="189" t="s">
        <v>74</v>
      </c>
      <c r="O85" s="190">
        <v>1746323</v>
      </c>
      <c r="P85" s="35">
        <v>45875</v>
      </c>
      <c r="Q85" s="22"/>
    </row>
    <row r="86" spans="1:17" s="234" customFormat="1">
      <c r="A86" s="27" t="s">
        <v>58</v>
      </c>
      <c r="B86" s="39">
        <v>7947</v>
      </c>
      <c r="C86" s="183" t="s">
        <v>33</v>
      </c>
      <c r="D86" s="184">
        <v>9286</v>
      </c>
      <c r="E86" s="26">
        <v>45870</v>
      </c>
      <c r="F86" s="26">
        <v>45900</v>
      </c>
      <c r="G86" s="22" t="s">
        <v>2508</v>
      </c>
      <c r="H86" s="34" t="s">
        <v>11</v>
      </c>
      <c r="I86" s="185">
        <v>100000</v>
      </c>
      <c r="J86" s="186">
        <v>1E-3</v>
      </c>
      <c r="K86" s="187"/>
      <c r="L86" s="188"/>
      <c r="M86" s="189" t="s">
        <v>18</v>
      </c>
      <c r="N86" s="189" t="s">
        <v>74</v>
      </c>
      <c r="O86" s="190">
        <v>1746285</v>
      </c>
      <c r="P86" s="35">
        <v>45875</v>
      </c>
      <c r="Q86" s="22"/>
    </row>
    <row r="87" spans="1:17" s="234" customFormat="1">
      <c r="A87" s="27" t="s">
        <v>58</v>
      </c>
      <c r="B87" s="39">
        <v>7948</v>
      </c>
      <c r="C87" s="183" t="s">
        <v>33</v>
      </c>
      <c r="D87" s="184">
        <v>1929</v>
      </c>
      <c r="E87" s="26">
        <v>45870</v>
      </c>
      <c r="F87" s="26">
        <v>45900</v>
      </c>
      <c r="G87" s="22" t="s">
        <v>2525</v>
      </c>
      <c r="H87" s="34" t="s">
        <v>11</v>
      </c>
      <c r="I87" s="185">
        <v>1000</v>
      </c>
      <c r="J87" s="186">
        <v>1E-3</v>
      </c>
      <c r="K87" s="187"/>
      <c r="L87" s="188"/>
      <c r="M87" s="189" t="s">
        <v>18</v>
      </c>
      <c r="N87" s="189" t="s">
        <v>74</v>
      </c>
      <c r="O87" s="190">
        <v>1746285</v>
      </c>
      <c r="P87" s="35">
        <v>45875</v>
      </c>
      <c r="Q87" s="22"/>
    </row>
    <row r="88" spans="1:17" s="234" customFormat="1">
      <c r="A88" s="27" t="s">
        <v>58</v>
      </c>
      <c r="B88" s="39">
        <v>7949</v>
      </c>
      <c r="C88" s="183" t="s">
        <v>33</v>
      </c>
      <c r="D88" s="184">
        <v>7769</v>
      </c>
      <c r="E88" s="26">
        <v>45870</v>
      </c>
      <c r="F88" s="26">
        <v>45900</v>
      </c>
      <c r="G88" s="22" t="s">
        <v>2525</v>
      </c>
      <c r="H88" s="34" t="s">
        <v>11</v>
      </c>
      <c r="I88" s="185">
        <v>1000</v>
      </c>
      <c r="J88" s="186">
        <v>1E-3</v>
      </c>
      <c r="K88" s="187"/>
      <c r="L88" s="188"/>
      <c r="M88" s="189" t="s">
        <v>18</v>
      </c>
      <c r="N88" s="189" t="s">
        <v>74</v>
      </c>
      <c r="O88" s="190">
        <v>1746285</v>
      </c>
      <c r="P88" s="35">
        <v>45875</v>
      </c>
      <c r="Q88" s="22"/>
    </row>
    <row r="89" spans="1:17" s="234" customFormat="1">
      <c r="A89" s="27" t="s">
        <v>58</v>
      </c>
      <c r="B89" s="39">
        <v>7950</v>
      </c>
      <c r="C89" s="183" t="s">
        <v>33</v>
      </c>
      <c r="D89" s="184">
        <v>12153</v>
      </c>
      <c r="E89" s="26">
        <v>45870</v>
      </c>
      <c r="F89" s="26">
        <v>45900</v>
      </c>
      <c r="G89" s="22" t="s">
        <v>2525</v>
      </c>
      <c r="H89" s="34" t="s">
        <v>11</v>
      </c>
      <c r="I89" s="185">
        <v>1000</v>
      </c>
      <c r="J89" s="186">
        <v>1E-3</v>
      </c>
      <c r="K89" s="187"/>
      <c r="L89" s="188"/>
      <c r="M89" s="189" t="s">
        <v>18</v>
      </c>
      <c r="N89" s="189" t="s">
        <v>74</v>
      </c>
      <c r="O89" s="190">
        <v>1746285</v>
      </c>
      <c r="P89" s="35">
        <v>45875</v>
      </c>
      <c r="Q89" s="22"/>
    </row>
    <row r="90" spans="1:17" s="234" customFormat="1">
      <c r="A90" s="27" t="s">
        <v>58</v>
      </c>
      <c r="B90" s="39">
        <v>7951</v>
      </c>
      <c r="C90" s="183" t="s">
        <v>33</v>
      </c>
      <c r="D90" s="184">
        <v>7481</v>
      </c>
      <c r="E90" s="26">
        <v>45870</v>
      </c>
      <c r="F90" s="26">
        <v>45900</v>
      </c>
      <c r="G90" s="22" t="s">
        <v>2525</v>
      </c>
      <c r="H90" s="34" t="s">
        <v>11</v>
      </c>
      <c r="I90" s="185">
        <v>1000</v>
      </c>
      <c r="J90" s="186">
        <v>1E-3</v>
      </c>
      <c r="K90" s="187"/>
      <c r="L90" s="188"/>
      <c r="M90" s="189" t="s">
        <v>18</v>
      </c>
      <c r="N90" s="189" t="s">
        <v>74</v>
      </c>
      <c r="O90" s="190">
        <v>1746285</v>
      </c>
      <c r="P90" s="35">
        <v>45875</v>
      </c>
      <c r="Q90" s="22"/>
    </row>
    <row r="91" spans="1:17" s="234" customFormat="1">
      <c r="A91" s="27" t="s">
        <v>58</v>
      </c>
      <c r="B91" s="39">
        <v>7952</v>
      </c>
      <c r="C91" s="183" t="s">
        <v>33</v>
      </c>
      <c r="D91" s="184">
        <v>6048</v>
      </c>
      <c r="E91" s="26">
        <v>45870</v>
      </c>
      <c r="F91" s="26">
        <v>45900</v>
      </c>
      <c r="G91" s="22" t="s">
        <v>2525</v>
      </c>
      <c r="H91" s="34" t="s">
        <v>11</v>
      </c>
      <c r="I91" s="185">
        <v>1000</v>
      </c>
      <c r="J91" s="186">
        <v>1E-3</v>
      </c>
      <c r="K91" s="187"/>
      <c r="L91" s="188"/>
      <c r="M91" s="189" t="s">
        <v>18</v>
      </c>
      <c r="N91" s="189" t="s">
        <v>74</v>
      </c>
      <c r="O91" s="190">
        <v>1746285</v>
      </c>
      <c r="P91" s="35">
        <v>45875</v>
      </c>
      <c r="Q91" s="22"/>
    </row>
    <row r="92" spans="1:17" s="234" customFormat="1">
      <c r="A92" s="27" t="s">
        <v>58</v>
      </c>
      <c r="B92" s="39">
        <v>7953</v>
      </c>
      <c r="C92" s="183" t="s">
        <v>33</v>
      </c>
      <c r="D92" s="184">
        <v>16793</v>
      </c>
      <c r="E92" s="26">
        <v>45870</v>
      </c>
      <c r="F92" s="26">
        <v>45900</v>
      </c>
      <c r="G92" s="22" t="s">
        <v>2525</v>
      </c>
      <c r="H92" s="34" t="s">
        <v>11</v>
      </c>
      <c r="I92" s="185">
        <v>1000</v>
      </c>
      <c r="J92" s="186">
        <v>1E-3</v>
      </c>
      <c r="K92" s="187"/>
      <c r="L92" s="188"/>
      <c r="M92" s="189" t="s">
        <v>18</v>
      </c>
      <c r="N92" s="189" t="s">
        <v>74</v>
      </c>
      <c r="O92" s="190">
        <v>1746285</v>
      </c>
      <c r="P92" s="35">
        <v>45875</v>
      </c>
      <c r="Q92" s="22"/>
    </row>
    <row r="93" spans="1:17" s="234" customFormat="1">
      <c r="A93" s="27" t="s">
        <v>58</v>
      </c>
      <c r="B93" s="39">
        <v>7954</v>
      </c>
      <c r="C93" s="183" t="s">
        <v>33</v>
      </c>
      <c r="D93" s="184">
        <v>6312</v>
      </c>
      <c r="E93" s="26">
        <v>45870</v>
      </c>
      <c r="F93" s="26">
        <v>45900</v>
      </c>
      <c r="G93" s="22" t="s">
        <v>2525</v>
      </c>
      <c r="H93" s="34" t="s">
        <v>11</v>
      </c>
      <c r="I93" s="185">
        <v>1000</v>
      </c>
      <c r="J93" s="186">
        <v>1E-3</v>
      </c>
      <c r="K93" s="187"/>
      <c r="L93" s="188"/>
      <c r="M93" s="189" t="s">
        <v>18</v>
      </c>
      <c r="N93" s="189" t="s">
        <v>74</v>
      </c>
      <c r="O93" s="190">
        <v>1746285</v>
      </c>
      <c r="P93" s="35">
        <v>45875</v>
      </c>
      <c r="Q93" s="22"/>
    </row>
    <row r="94" spans="1:17" s="234" customFormat="1">
      <c r="A94" s="27" t="s">
        <v>58</v>
      </c>
      <c r="B94" s="39">
        <v>7955</v>
      </c>
      <c r="C94" s="183" t="s">
        <v>33</v>
      </c>
      <c r="D94" s="184">
        <v>17324</v>
      </c>
      <c r="E94" s="26">
        <v>45870</v>
      </c>
      <c r="F94" s="26">
        <v>45900</v>
      </c>
      <c r="G94" s="22" t="s">
        <v>2525</v>
      </c>
      <c r="H94" s="34" t="s">
        <v>11</v>
      </c>
      <c r="I94" s="185">
        <v>1000</v>
      </c>
      <c r="J94" s="186">
        <v>1E-3</v>
      </c>
      <c r="K94" s="187"/>
      <c r="L94" s="188"/>
      <c r="M94" s="189" t="s">
        <v>18</v>
      </c>
      <c r="N94" s="189" t="s">
        <v>74</v>
      </c>
      <c r="O94" s="190">
        <v>1746285</v>
      </c>
      <c r="P94" s="35">
        <v>45875</v>
      </c>
      <c r="Q94" s="22"/>
    </row>
    <row r="95" spans="1:17" s="234" customFormat="1">
      <c r="A95" s="27" t="s">
        <v>58</v>
      </c>
      <c r="B95" s="39">
        <v>7956</v>
      </c>
      <c r="C95" s="183" t="s">
        <v>33</v>
      </c>
      <c r="D95" s="184">
        <v>8819</v>
      </c>
      <c r="E95" s="26">
        <v>45870</v>
      </c>
      <c r="F95" s="26">
        <v>45900</v>
      </c>
      <c r="G95" s="22" t="s">
        <v>2525</v>
      </c>
      <c r="H95" s="34" t="s">
        <v>11</v>
      </c>
      <c r="I95" s="185">
        <v>1000</v>
      </c>
      <c r="J95" s="186">
        <v>1E-3</v>
      </c>
      <c r="K95" s="187"/>
      <c r="L95" s="188"/>
      <c r="M95" s="189" t="s">
        <v>18</v>
      </c>
      <c r="N95" s="189" t="s">
        <v>74</v>
      </c>
      <c r="O95" s="190">
        <v>1746285</v>
      </c>
      <c r="P95" s="35">
        <v>45875</v>
      </c>
      <c r="Q95" s="22"/>
    </row>
    <row r="96" spans="1:17" s="234" customFormat="1">
      <c r="A96" s="27" t="s">
        <v>58</v>
      </c>
      <c r="B96" s="39">
        <v>7957</v>
      </c>
      <c r="C96" s="183" t="s">
        <v>33</v>
      </c>
      <c r="D96" s="184">
        <v>12295</v>
      </c>
      <c r="E96" s="26">
        <v>45870</v>
      </c>
      <c r="F96" s="26">
        <v>45900</v>
      </c>
      <c r="G96" s="22" t="s">
        <v>2525</v>
      </c>
      <c r="H96" s="34" t="s">
        <v>11</v>
      </c>
      <c r="I96" s="185">
        <v>1000</v>
      </c>
      <c r="J96" s="186">
        <v>1E-3</v>
      </c>
      <c r="K96" s="187"/>
      <c r="L96" s="188"/>
      <c r="M96" s="189" t="s">
        <v>18</v>
      </c>
      <c r="N96" s="189" t="s">
        <v>74</v>
      </c>
      <c r="O96" s="190">
        <v>1746285</v>
      </c>
      <c r="P96" s="35">
        <v>45875</v>
      </c>
      <c r="Q96" s="22"/>
    </row>
    <row r="97" spans="1:17" s="234" customFormat="1" ht="30">
      <c r="A97" s="27" t="s">
        <v>58</v>
      </c>
      <c r="B97" s="191">
        <v>7958</v>
      </c>
      <c r="C97" s="183" t="s">
        <v>33</v>
      </c>
      <c r="D97" s="184">
        <v>2820</v>
      </c>
      <c r="E97" s="26">
        <v>45870</v>
      </c>
      <c r="F97" s="26">
        <v>45900</v>
      </c>
      <c r="G97" s="22" t="s">
        <v>63</v>
      </c>
      <c r="H97" s="34" t="s">
        <v>11</v>
      </c>
      <c r="I97" s="185">
        <v>0.01</v>
      </c>
      <c r="J97" s="186">
        <v>3.0000000000000001E-3</v>
      </c>
      <c r="K97" s="187"/>
      <c r="L97" s="188"/>
      <c r="M97" s="189" t="s">
        <v>21</v>
      </c>
      <c r="N97" s="189" t="s">
        <v>66</v>
      </c>
      <c r="O97" s="190">
        <v>1746249</v>
      </c>
      <c r="P97" s="35">
        <v>45875</v>
      </c>
      <c r="Q97" s="22"/>
    </row>
    <row r="98" spans="1:17" s="234" customFormat="1">
      <c r="A98" s="27" t="s">
        <v>59</v>
      </c>
      <c r="B98" s="191">
        <v>7959</v>
      </c>
      <c r="C98" s="183" t="s">
        <v>33</v>
      </c>
      <c r="D98" s="184">
        <v>16474</v>
      </c>
      <c r="E98" s="26">
        <v>45870</v>
      </c>
      <c r="F98" s="26">
        <v>45900</v>
      </c>
      <c r="G98" s="22" t="s">
        <v>107</v>
      </c>
      <c r="H98" s="34" t="s">
        <v>11</v>
      </c>
      <c r="I98" s="185">
        <v>0.01</v>
      </c>
      <c r="J98" s="186">
        <v>5.0000000000000001E-3</v>
      </c>
      <c r="K98" s="187"/>
      <c r="L98" s="188"/>
      <c r="M98" s="189" t="s">
        <v>168</v>
      </c>
      <c r="N98" s="189" t="s">
        <v>176</v>
      </c>
      <c r="O98" s="190">
        <v>1745858</v>
      </c>
      <c r="P98" s="35">
        <v>45875</v>
      </c>
      <c r="Q98" s="22"/>
    </row>
    <row r="99" spans="1:17" s="234" customFormat="1" ht="30">
      <c r="A99" s="27" t="s">
        <v>59</v>
      </c>
      <c r="B99" s="191">
        <v>7960</v>
      </c>
      <c r="C99" s="183" t="s">
        <v>33</v>
      </c>
      <c r="D99" s="184" t="s">
        <v>2731</v>
      </c>
      <c r="E99" s="26">
        <v>45870</v>
      </c>
      <c r="F99" s="26">
        <v>45900</v>
      </c>
      <c r="G99" s="22" t="s">
        <v>107</v>
      </c>
      <c r="H99" s="34" t="s">
        <v>11</v>
      </c>
      <c r="I99" s="185">
        <v>0.01</v>
      </c>
      <c r="J99" s="186">
        <v>6.0000000000000001E-3</v>
      </c>
      <c r="K99" s="187"/>
      <c r="L99" s="188"/>
      <c r="M99" s="189" t="s">
        <v>32</v>
      </c>
      <c r="N99" s="189" t="s">
        <v>80</v>
      </c>
      <c r="O99" s="190">
        <v>1745640</v>
      </c>
      <c r="P99" s="35">
        <v>45875</v>
      </c>
      <c r="Q99" s="22" t="s">
        <v>2752</v>
      </c>
    </row>
    <row r="100" spans="1:17" s="234" customFormat="1" ht="30">
      <c r="A100" s="27" t="s">
        <v>59</v>
      </c>
      <c r="B100" s="191">
        <v>7961</v>
      </c>
      <c r="C100" s="183" t="s">
        <v>33</v>
      </c>
      <c r="D100" s="184" t="s">
        <v>2732</v>
      </c>
      <c r="E100" s="26">
        <v>45870</v>
      </c>
      <c r="F100" s="26">
        <v>45900</v>
      </c>
      <c r="G100" s="22" t="s">
        <v>107</v>
      </c>
      <c r="H100" s="34" t="s">
        <v>11</v>
      </c>
      <c r="I100" s="185">
        <v>500000</v>
      </c>
      <c r="J100" s="186">
        <v>5.0000000000000001E-3</v>
      </c>
      <c r="K100" s="187"/>
      <c r="L100" s="188"/>
      <c r="M100" s="189" t="s">
        <v>141</v>
      </c>
      <c r="N100" s="189" t="s">
        <v>142</v>
      </c>
      <c r="O100" s="190">
        <v>1745617</v>
      </c>
      <c r="P100" s="35">
        <v>45875</v>
      </c>
      <c r="Q100" s="22" t="s">
        <v>2753</v>
      </c>
    </row>
    <row r="101" spans="1:17" s="234" customFormat="1" ht="30">
      <c r="A101" s="27" t="s">
        <v>58</v>
      </c>
      <c r="B101" s="191">
        <v>7962</v>
      </c>
      <c r="C101" s="183" t="s">
        <v>33</v>
      </c>
      <c r="D101" s="184">
        <v>4629</v>
      </c>
      <c r="E101" s="26">
        <v>45870</v>
      </c>
      <c r="F101" s="26">
        <v>45900</v>
      </c>
      <c r="G101" s="22" t="s">
        <v>2510</v>
      </c>
      <c r="H101" s="34" t="s">
        <v>11</v>
      </c>
      <c r="I101" s="185">
        <v>0.01</v>
      </c>
      <c r="J101" s="186">
        <v>0.01</v>
      </c>
      <c r="K101" s="187"/>
      <c r="L101" s="188"/>
      <c r="M101" s="189" t="s">
        <v>46</v>
      </c>
      <c r="N101" s="189" t="s">
        <v>70</v>
      </c>
      <c r="O101" s="190">
        <v>1745599</v>
      </c>
      <c r="P101" s="35">
        <v>45875</v>
      </c>
      <c r="Q101" s="22"/>
    </row>
    <row r="102" spans="1:17" s="234" customFormat="1" ht="30">
      <c r="A102" s="27" t="s">
        <v>58</v>
      </c>
      <c r="B102" s="191">
        <v>7963</v>
      </c>
      <c r="C102" s="183" t="s">
        <v>33</v>
      </c>
      <c r="D102" s="184">
        <v>4629</v>
      </c>
      <c r="E102" s="26">
        <v>45870</v>
      </c>
      <c r="F102" s="26">
        <v>45900</v>
      </c>
      <c r="G102" s="22" t="s">
        <v>2509</v>
      </c>
      <c r="H102" s="34" t="s">
        <v>11</v>
      </c>
      <c r="I102" s="185">
        <v>0.01</v>
      </c>
      <c r="J102" s="186">
        <v>5.0000000000000001E-3</v>
      </c>
      <c r="K102" s="187"/>
      <c r="L102" s="188"/>
      <c r="M102" s="189" t="s">
        <v>46</v>
      </c>
      <c r="N102" s="189" t="s">
        <v>70</v>
      </c>
      <c r="O102" s="190">
        <v>1745599</v>
      </c>
      <c r="P102" s="35">
        <v>45875</v>
      </c>
      <c r="Q102" s="22"/>
    </row>
    <row r="103" spans="1:17" s="234" customFormat="1" ht="30">
      <c r="A103" s="27" t="s">
        <v>58</v>
      </c>
      <c r="B103" s="191">
        <v>7964</v>
      </c>
      <c r="C103" s="183" t="s">
        <v>33</v>
      </c>
      <c r="D103" s="184">
        <v>4629</v>
      </c>
      <c r="E103" s="26">
        <v>45870</v>
      </c>
      <c r="F103" s="26">
        <v>45900</v>
      </c>
      <c r="G103" s="22" t="s">
        <v>2791</v>
      </c>
      <c r="H103" s="34" t="s">
        <v>11</v>
      </c>
      <c r="I103" s="185">
        <v>0.01</v>
      </c>
      <c r="J103" s="186">
        <v>0.03</v>
      </c>
      <c r="K103" s="187"/>
      <c r="L103" s="188"/>
      <c r="M103" s="189" t="s">
        <v>46</v>
      </c>
      <c r="N103" s="189" t="s">
        <v>70</v>
      </c>
      <c r="O103" s="190">
        <v>1745599</v>
      </c>
      <c r="P103" s="35">
        <v>45875</v>
      </c>
      <c r="Q103" s="22"/>
    </row>
    <row r="104" spans="1:17" s="234" customFormat="1" ht="30">
      <c r="A104" s="27" t="s">
        <v>58</v>
      </c>
      <c r="B104" s="191">
        <v>7965</v>
      </c>
      <c r="C104" s="183" t="s">
        <v>33</v>
      </c>
      <c r="D104" s="184">
        <v>11652</v>
      </c>
      <c r="E104" s="26">
        <v>45870</v>
      </c>
      <c r="F104" s="26">
        <v>45900</v>
      </c>
      <c r="G104" s="22" t="s">
        <v>2520</v>
      </c>
      <c r="H104" s="34" t="s">
        <v>11</v>
      </c>
      <c r="I104" s="185">
        <v>0.01</v>
      </c>
      <c r="J104" s="186">
        <v>0.01</v>
      </c>
      <c r="K104" s="187"/>
      <c r="L104" s="188"/>
      <c r="M104" s="189" t="s">
        <v>46</v>
      </c>
      <c r="N104" s="189" t="s">
        <v>70</v>
      </c>
      <c r="O104" s="190">
        <v>1745564</v>
      </c>
      <c r="P104" s="35">
        <v>45875</v>
      </c>
      <c r="Q104" s="22"/>
    </row>
    <row r="105" spans="1:17" s="234" customFormat="1" ht="30">
      <c r="A105" s="27" t="s">
        <v>58</v>
      </c>
      <c r="B105" s="191">
        <v>7966</v>
      </c>
      <c r="C105" s="183" t="s">
        <v>33</v>
      </c>
      <c r="D105" s="184">
        <v>11652</v>
      </c>
      <c r="E105" s="26">
        <v>45870</v>
      </c>
      <c r="F105" s="26">
        <v>45900</v>
      </c>
      <c r="G105" s="22" t="s">
        <v>2792</v>
      </c>
      <c r="H105" s="34" t="s">
        <v>11</v>
      </c>
      <c r="I105" s="185">
        <v>0.01</v>
      </c>
      <c r="J105" s="186">
        <v>0.03</v>
      </c>
      <c r="K105" s="187"/>
      <c r="L105" s="188"/>
      <c r="M105" s="189" t="s">
        <v>46</v>
      </c>
      <c r="N105" s="189" t="s">
        <v>70</v>
      </c>
      <c r="O105" s="190">
        <v>1745564</v>
      </c>
      <c r="P105" s="35">
        <v>45875</v>
      </c>
      <c r="Q105" s="22"/>
    </row>
    <row r="106" spans="1:17" s="234" customFormat="1" ht="45">
      <c r="A106" s="27" t="s">
        <v>58</v>
      </c>
      <c r="B106" s="191">
        <v>7967</v>
      </c>
      <c r="C106" s="183" t="s">
        <v>33</v>
      </c>
      <c r="D106" s="184">
        <v>6846</v>
      </c>
      <c r="E106" s="26">
        <v>45870</v>
      </c>
      <c r="F106" s="26">
        <v>45900</v>
      </c>
      <c r="G106" s="22" t="s">
        <v>2523</v>
      </c>
      <c r="H106" s="34" t="s">
        <v>11</v>
      </c>
      <c r="I106" s="185">
        <v>0.01</v>
      </c>
      <c r="J106" s="186">
        <v>5.0000000000000001E-3</v>
      </c>
      <c r="K106" s="187"/>
      <c r="L106" s="188"/>
      <c r="M106" s="189" t="s">
        <v>17</v>
      </c>
      <c r="N106" s="189" t="s">
        <v>62</v>
      </c>
      <c r="O106" s="190">
        <v>1745527</v>
      </c>
      <c r="P106" s="35">
        <v>45875</v>
      </c>
      <c r="Q106" s="22"/>
    </row>
    <row r="107" spans="1:17" s="234" customFormat="1" ht="30">
      <c r="A107" s="27" t="s">
        <v>58</v>
      </c>
      <c r="B107" s="191">
        <v>7968</v>
      </c>
      <c r="C107" s="183" t="s">
        <v>33</v>
      </c>
      <c r="D107" s="184">
        <v>6846</v>
      </c>
      <c r="E107" s="26">
        <v>45870</v>
      </c>
      <c r="F107" s="26">
        <v>45900</v>
      </c>
      <c r="G107" s="22" t="s">
        <v>2522</v>
      </c>
      <c r="H107" s="34" t="s">
        <v>11</v>
      </c>
      <c r="I107" s="185">
        <v>0.01</v>
      </c>
      <c r="J107" s="186">
        <v>0.01</v>
      </c>
      <c r="K107" s="187"/>
      <c r="L107" s="188"/>
      <c r="M107" s="189" t="s">
        <v>17</v>
      </c>
      <c r="N107" s="189" t="s">
        <v>62</v>
      </c>
      <c r="O107" s="190">
        <v>1745527</v>
      </c>
      <c r="P107" s="35">
        <v>45875</v>
      </c>
      <c r="Q107" s="22"/>
    </row>
    <row r="108" spans="1:17" s="234" customFormat="1" ht="30">
      <c r="A108" s="27" t="s">
        <v>59</v>
      </c>
      <c r="B108" s="191">
        <v>7969</v>
      </c>
      <c r="C108" s="183" t="s">
        <v>33</v>
      </c>
      <c r="D108" s="184">
        <v>6846</v>
      </c>
      <c r="E108" s="26">
        <v>45870</v>
      </c>
      <c r="F108" s="26">
        <v>45900</v>
      </c>
      <c r="G108" s="22" t="s">
        <v>107</v>
      </c>
      <c r="H108" s="34" t="s">
        <v>11</v>
      </c>
      <c r="I108" s="185">
        <v>0.01</v>
      </c>
      <c r="J108" s="186">
        <v>6.0000000000000001E-3</v>
      </c>
      <c r="K108" s="187"/>
      <c r="L108" s="188"/>
      <c r="M108" s="189" t="s">
        <v>17</v>
      </c>
      <c r="N108" s="189" t="s">
        <v>62</v>
      </c>
      <c r="O108" s="190">
        <v>1745527</v>
      </c>
      <c r="P108" s="35">
        <v>45875</v>
      </c>
      <c r="Q108" s="22"/>
    </row>
    <row r="109" spans="1:17" s="234" customFormat="1" ht="30">
      <c r="A109" s="27" t="s">
        <v>58</v>
      </c>
      <c r="B109" s="191">
        <v>7970</v>
      </c>
      <c r="C109" s="183" t="s">
        <v>33</v>
      </c>
      <c r="D109" s="184">
        <v>6846</v>
      </c>
      <c r="E109" s="26">
        <v>45870</v>
      </c>
      <c r="F109" s="26">
        <v>45900</v>
      </c>
      <c r="G109" s="22" t="s">
        <v>2521</v>
      </c>
      <c r="H109" s="34" t="s">
        <v>11</v>
      </c>
      <c r="I109" s="185">
        <v>0.01</v>
      </c>
      <c r="J109" s="186">
        <v>1.4999999999999999E-2</v>
      </c>
      <c r="K109" s="187"/>
      <c r="L109" s="188"/>
      <c r="M109" s="189" t="s">
        <v>17</v>
      </c>
      <c r="N109" s="189" t="s">
        <v>62</v>
      </c>
      <c r="O109" s="190">
        <v>1745527</v>
      </c>
      <c r="P109" s="35">
        <v>45875</v>
      </c>
      <c r="Q109" s="22"/>
    </row>
    <row r="110" spans="1:17" s="234" customFormat="1" ht="75">
      <c r="A110" s="27" t="s">
        <v>59</v>
      </c>
      <c r="B110" s="191">
        <v>7987</v>
      </c>
      <c r="C110" s="183" t="s">
        <v>33</v>
      </c>
      <c r="D110" s="184">
        <v>17514</v>
      </c>
      <c r="E110" s="26">
        <v>45870</v>
      </c>
      <c r="F110" s="26">
        <v>45877</v>
      </c>
      <c r="G110" s="22" t="s">
        <v>107</v>
      </c>
      <c r="H110" s="34" t="s">
        <v>11</v>
      </c>
      <c r="I110" s="185">
        <v>0.01</v>
      </c>
      <c r="J110" s="186">
        <v>2E-3</v>
      </c>
      <c r="K110" s="187"/>
      <c r="L110" s="188"/>
      <c r="M110" s="189" t="s">
        <v>14</v>
      </c>
      <c r="N110" s="189" t="s">
        <v>68</v>
      </c>
      <c r="O110" s="190" t="s">
        <v>2529</v>
      </c>
      <c r="P110" s="35">
        <v>45875</v>
      </c>
      <c r="Q110" s="22"/>
    </row>
    <row r="111" spans="1:17" s="234" customFormat="1" ht="75">
      <c r="A111" s="27" t="s">
        <v>58</v>
      </c>
      <c r="B111" s="191">
        <v>7988</v>
      </c>
      <c r="C111" s="183" t="s">
        <v>33</v>
      </c>
      <c r="D111" s="184" t="s">
        <v>2530</v>
      </c>
      <c r="E111" s="26">
        <v>45870</v>
      </c>
      <c r="F111" s="26">
        <v>45877</v>
      </c>
      <c r="G111" s="22" t="s">
        <v>2838</v>
      </c>
      <c r="H111" s="34" t="s">
        <v>11</v>
      </c>
      <c r="I111" s="185">
        <v>0.01</v>
      </c>
      <c r="J111" s="186">
        <v>2E-3</v>
      </c>
      <c r="K111" s="187"/>
      <c r="L111" s="188"/>
      <c r="M111" s="189" t="s">
        <v>14</v>
      </c>
      <c r="N111" s="189" t="s">
        <v>68</v>
      </c>
      <c r="O111" s="190" t="s">
        <v>2529</v>
      </c>
      <c r="P111" s="35">
        <v>45875</v>
      </c>
      <c r="Q111" s="22"/>
    </row>
    <row r="112" spans="1:17" s="234" customFormat="1" ht="75">
      <c r="A112" s="27" t="s">
        <v>59</v>
      </c>
      <c r="B112" s="191">
        <v>7989</v>
      </c>
      <c r="C112" s="183" t="s">
        <v>33</v>
      </c>
      <c r="D112" s="184" t="s">
        <v>2531</v>
      </c>
      <c r="E112" s="26">
        <v>45870</v>
      </c>
      <c r="F112" s="26">
        <v>45900</v>
      </c>
      <c r="G112" s="22" t="s">
        <v>132</v>
      </c>
      <c r="H112" s="34" t="s">
        <v>11</v>
      </c>
      <c r="I112" s="185">
        <v>10000</v>
      </c>
      <c r="J112" s="186">
        <v>7.4999999999999997E-3</v>
      </c>
      <c r="K112" s="187"/>
      <c r="L112" s="188"/>
      <c r="M112" s="189" t="s">
        <v>14</v>
      </c>
      <c r="N112" s="189" t="s">
        <v>68</v>
      </c>
      <c r="O112" s="190" t="s">
        <v>2529</v>
      </c>
      <c r="P112" s="35">
        <v>45875</v>
      </c>
      <c r="Q112" s="22"/>
    </row>
    <row r="113" spans="1:17" s="234" customFormat="1" ht="45">
      <c r="A113" s="27" t="s">
        <v>58</v>
      </c>
      <c r="B113" s="191">
        <v>7992</v>
      </c>
      <c r="C113" s="183" t="s">
        <v>33</v>
      </c>
      <c r="D113" s="184">
        <v>9067</v>
      </c>
      <c r="E113" s="26">
        <v>45870</v>
      </c>
      <c r="F113" s="26">
        <v>45900</v>
      </c>
      <c r="G113" s="22" t="s">
        <v>1942</v>
      </c>
      <c r="H113" s="34" t="s">
        <v>11</v>
      </c>
      <c r="I113" s="185">
        <v>0.01</v>
      </c>
      <c r="J113" s="186">
        <v>6.0000000000000001E-3</v>
      </c>
      <c r="K113" s="187"/>
      <c r="L113" s="188"/>
      <c r="M113" s="189" t="s">
        <v>21</v>
      </c>
      <c r="N113" s="189" t="s">
        <v>66</v>
      </c>
      <c r="O113" s="190" t="s">
        <v>2536</v>
      </c>
      <c r="P113" s="35">
        <v>45880</v>
      </c>
      <c r="Q113" s="22"/>
    </row>
    <row r="114" spans="1:17" s="234" customFormat="1" ht="45">
      <c r="A114" s="27" t="s">
        <v>58</v>
      </c>
      <c r="B114" s="191">
        <v>7993</v>
      </c>
      <c r="C114" s="183" t="s">
        <v>33</v>
      </c>
      <c r="D114" s="184">
        <v>9067</v>
      </c>
      <c r="E114" s="26">
        <v>45870</v>
      </c>
      <c r="F114" s="26">
        <v>45900</v>
      </c>
      <c r="G114" s="22" t="s">
        <v>2798</v>
      </c>
      <c r="H114" s="34" t="s">
        <v>11</v>
      </c>
      <c r="I114" s="185">
        <v>0.01</v>
      </c>
      <c r="J114" s="186">
        <v>6.0000000000000001E-3</v>
      </c>
      <c r="K114" s="187"/>
      <c r="L114" s="188"/>
      <c r="M114" s="189" t="s">
        <v>21</v>
      </c>
      <c r="N114" s="189" t="s">
        <v>66</v>
      </c>
      <c r="O114" s="190" t="s">
        <v>2536</v>
      </c>
      <c r="P114" s="35">
        <v>45880</v>
      </c>
      <c r="Q114" s="22"/>
    </row>
    <row r="115" spans="1:17" s="234" customFormat="1" ht="45">
      <c r="A115" s="27" t="s">
        <v>58</v>
      </c>
      <c r="B115" s="191">
        <v>7994</v>
      </c>
      <c r="C115" s="183" t="s">
        <v>33</v>
      </c>
      <c r="D115" s="184">
        <v>5614</v>
      </c>
      <c r="E115" s="26">
        <v>45870</v>
      </c>
      <c r="F115" s="26">
        <v>45900</v>
      </c>
      <c r="G115" s="22" t="s">
        <v>2538</v>
      </c>
      <c r="H115" s="34" t="s">
        <v>11</v>
      </c>
      <c r="I115" s="185">
        <v>1000</v>
      </c>
      <c r="J115" s="186">
        <v>5.0000000000000001E-3</v>
      </c>
      <c r="K115" s="187"/>
      <c r="L115" s="188"/>
      <c r="M115" s="189" t="s">
        <v>18</v>
      </c>
      <c r="N115" s="189" t="s">
        <v>74</v>
      </c>
      <c r="O115" s="190" t="s">
        <v>2537</v>
      </c>
      <c r="P115" s="35">
        <v>45881</v>
      </c>
      <c r="Q115" s="22"/>
    </row>
    <row r="116" spans="1:17" s="234" customFormat="1" ht="45">
      <c r="A116" s="27" t="s">
        <v>58</v>
      </c>
      <c r="B116" s="191">
        <v>7995</v>
      </c>
      <c r="C116" s="183" t="s">
        <v>33</v>
      </c>
      <c r="D116" s="184">
        <v>7882</v>
      </c>
      <c r="E116" s="26">
        <v>45870</v>
      </c>
      <c r="F116" s="26">
        <v>45900</v>
      </c>
      <c r="G116" s="22" t="s">
        <v>2540</v>
      </c>
      <c r="H116" s="34" t="s">
        <v>11</v>
      </c>
      <c r="I116" s="185">
        <v>0.01</v>
      </c>
      <c r="J116" s="186">
        <v>2E-3</v>
      </c>
      <c r="K116" s="187"/>
      <c r="L116" s="188"/>
      <c r="M116" s="189" t="s">
        <v>24</v>
      </c>
      <c r="N116" s="189" t="s">
        <v>2378</v>
      </c>
      <c r="O116" s="190" t="s">
        <v>2539</v>
      </c>
      <c r="P116" s="35">
        <v>45881</v>
      </c>
      <c r="Q116" s="22"/>
    </row>
    <row r="117" spans="1:17" s="234" customFormat="1" ht="75">
      <c r="A117" s="27" t="s">
        <v>59</v>
      </c>
      <c r="B117" s="191">
        <v>7996</v>
      </c>
      <c r="C117" s="183" t="s">
        <v>33</v>
      </c>
      <c r="D117" s="184">
        <v>16754</v>
      </c>
      <c r="E117" s="26">
        <v>45870</v>
      </c>
      <c r="F117" s="26">
        <v>45900</v>
      </c>
      <c r="G117" s="22" t="s">
        <v>2799</v>
      </c>
      <c r="H117" s="34" t="s">
        <v>11</v>
      </c>
      <c r="I117" s="185">
        <v>0.01</v>
      </c>
      <c r="J117" s="186">
        <v>0.01</v>
      </c>
      <c r="K117" s="187"/>
      <c r="L117" s="188"/>
      <c r="M117" s="189" t="s">
        <v>21</v>
      </c>
      <c r="N117" s="189" t="s">
        <v>66</v>
      </c>
      <c r="O117" s="190" t="s">
        <v>2541</v>
      </c>
      <c r="P117" s="35">
        <v>45881</v>
      </c>
      <c r="Q117" s="22"/>
    </row>
    <row r="118" spans="1:17" s="234" customFormat="1" ht="75">
      <c r="A118" s="27" t="s">
        <v>58</v>
      </c>
      <c r="B118" s="191">
        <v>7997</v>
      </c>
      <c r="C118" s="183" t="s">
        <v>33</v>
      </c>
      <c r="D118" s="184">
        <v>16754</v>
      </c>
      <c r="E118" s="26">
        <v>45870</v>
      </c>
      <c r="F118" s="26">
        <v>45900</v>
      </c>
      <c r="G118" s="22" t="s">
        <v>2800</v>
      </c>
      <c r="H118" s="34" t="s">
        <v>11</v>
      </c>
      <c r="I118" s="185">
        <v>0.01</v>
      </c>
      <c r="J118" s="186">
        <v>4.0000000000000001E-3</v>
      </c>
      <c r="K118" s="187"/>
      <c r="L118" s="188"/>
      <c r="M118" s="189" t="s">
        <v>21</v>
      </c>
      <c r="N118" s="189" t="s">
        <v>66</v>
      </c>
      <c r="O118" s="190" t="s">
        <v>2541</v>
      </c>
      <c r="P118" s="35">
        <v>45881</v>
      </c>
      <c r="Q118" s="22"/>
    </row>
    <row r="119" spans="1:17" s="234" customFormat="1" ht="75">
      <c r="A119" s="27" t="s">
        <v>58</v>
      </c>
      <c r="B119" s="191">
        <v>7998</v>
      </c>
      <c r="C119" s="183" t="s">
        <v>33</v>
      </c>
      <c r="D119" s="184">
        <v>6300</v>
      </c>
      <c r="E119" s="26">
        <v>45870</v>
      </c>
      <c r="F119" s="26">
        <v>45900</v>
      </c>
      <c r="G119" s="22" t="s">
        <v>2548</v>
      </c>
      <c r="H119" s="34" t="s">
        <v>11</v>
      </c>
      <c r="I119" s="185">
        <v>0.01</v>
      </c>
      <c r="J119" s="186">
        <v>5.0000000000000001E-3</v>
      </c>
      <c r="K119" s="187"/>
      <c r="L119" s="188"/>
      <c r="M119" s="189" t="s">
        <v>30</v>
      </c>
      <c r="N119" s="189" t="s">
        <v>87</v>
      </c>
      <c r="O119" s="190" t="s">
        <v>2542</v>
      </c>
      <c r="P119" s="35">
        <v>45881</v>
      </c>
      <c r="Q119" s="22"/>
    </row>
    <row r="120" spans="1:17" s="234" customFormat="1" ht="75">
      <c r="A120" s="27" t="s">
        <v>58</v>
      </c>
      <c r="B120" s="191">
        <v>8000</v>
      </c>
      <c r="C120" s="183" t="s">
        <v>33</v>
      </c>
      <c r="D120" s="184" t="s">
        <v>2544</v>
      </c>
      <c r="E120" s="26">
        <v>45870</v>
      </c>
      <c r="F120" s="26">
        <v>45900</v>
      </c>
      <c r="G120" s="22" t="s">
        <v>2548</v>
      </c>
      <c r="H120" s="34" t="s">
        <v>11</v>
      </c>
      <c r="I120" s="185">
        <v>0.01</v>
      </c>
      <c r="J120" s="186">
        <v>5.0000000000000001E-3</v>
      </c>
      <c r="K120" s="187"/>
      <c r="L120" s="188"/>
      <c r="M120" s="189" t="s">
        <v>30</v>
      </c>
      <c r="N120" s="189" t="s">
        <v>87</v>
      </c>
      <c r="O120" s="190" t="s">
        <v>2542</v>
      </c>
      <c r="P120" s="35">
        <v>45881</v>
      </c>
      <c r="Q120" s="22"/>
    </row>
    <row r="121" spans="1:17" s="234" customFormat="1" ht="75">
      <c r="A121" s="27" t="s">
        <v>58</v>
      </c>
      <c r="B121" s="191">
        <v>8001</v>
      </c>
      <c r="C121" s="183" t="s">
        <v>33</v>
      </c>
      <c r="D121" s="184" t="s">
        <v>2545</v>
      </c>
      <c r="E121" s="26">
        <v>45870</v>
      </c>
      <c r="F121" s="26">
        <v>45900</v>
      </c>
      <c r="G121" s="22" t="s">
        <v>2548</v>
      </c>
      <c r="H121" s="34" t="s">
        <v>11</v>
      </c>
      <c r="I121" s="185">
        <v>0.01</v>
      </c>
      <c r="J121" s="186">
        <v>5.0000000000000001E-3</v>
      </c>
      <c r="K121" s="187"/>
      <c r="L121" s="188"/>
      <c r="M121" s="189" t="s">
        <v>30</v>
      </c>
      <c r="N121" s="189" t="s">
        <v>87</v>
      </c>
      <c r="O121" s="190" t="s">
        <v>2542</v>
      </c>
      <c r="P121" s="35">
        <v>45881</v>
      </c>
      <c r="Q121" s="22"/>
    </row>
    <row r="122" spans="1:17" s="234" customFormat="1" ht="75">
      <c r="A122" s="27" t="s">
        <v>58</v>
      </c>
      <c r="B122" s="191">
        <v>8004</v>
      </c>
      <c r="C122" s="183" t="s">
        <v>33</v>
      </c>
      <c r="D122" s="184">
        <v>5890</v>
      </c>
      <c r="E122" s="26">
        <v>45870</v>
      </c>
      <c r="F122" s="26">
        <v>45900</v>
      </c>
      <c r="G122" s="22" t="s">
        <v>2548</v>
      </c>
      <c r="H122" s="34" t="s">
        <v>11</v>
      </c>
      <c r="I122" s="185">
        <v>0.01</v>
      </c>
      <c r="J122" s="186">
        <v>5.0000000000000001E-3</v>
      </c>
      <c r="K122" s="187"/>
      <c r="L122" s="188"/>
      <c r="M122" s="189" t="s">
        <v>30</v>
      </c>
      <c r="N122" s="189" t="s">
        <v>87</v>
      </c>
      <c r="O122" s="190" t="s">
        <v>2542</v>
      </c>
      <c r="P122" s="35">
        <v>45881</v>
      </c>
      <c r="Q122" s="22"/>
    </row>
    <row r="123" spans="1:17" s="234" customFormat="1" ht="75">
      <c r="A123" s="27" t="s">
        <v>58</v>
      </c>
      <c r="B123" s="39">
        <v>8140</v>
      </c>
      <c r="C123" s="183" t="s">
        <v>33</v>
      </c>
      <c r="D123" s="184" t="s">
        <v>2543</v>
      </c>
      <c r="E123" s="26">
        <v>45870</v>
      </c>
      <c r="F123" s="26">
        <v>45883</v>
      </c>
      <c r="G123" s="28" t="s">
        <v>2548</v>
      </c>
      <c r="H123" s="34" t="s">
        <v>11</v>
      </c>
      <c r="I123" s="185">
        <v>0.01</v>
      </c>
      <c r="J123" s="186">
        <v>7.0000000000000001E-3</v>
      </c>
      <c r="K123" s="237"/>
      <c r="L123" s="188"/>
      <c r="M123" s="189" t="s">
        <v>30</v>
      </c>
      <c r="N123" s="189" t="s">
        <v>87</v>
      </c>
      <c r="O123" s="190" t="s">
        <v>2542</v>
      </c>
      <c r="P123" s="35">
        <v>45887</v>
      </c>
      <c r="Q123" s="22"/>
    </row>
    <row r="124" spans="1:17" s="234" customFormat="1" ht="75">
      <c r="A124" s="27" t="s">
        <v>58</v>
      </c>
      <c r="B124" s="39">
        <v>8141</v>
      </c>
      <c r="C124" s="183" t="s">
        <v>33</v>
      </c>
      <c r="D124" s="184" t="s">
        <v>2543</v>
      </c>
      <c r="E124" s="26">
        <v>45884</v>
      </c>
      <c r="F124" s="26">
        <v>45900</v>
      </c>
      <c r="G124" s="28" t="s">
        <v>2548</v>
      </c>
      <c r="H124" s="34" t="s">
        <v>11</v>
      </c>
      <c r="I124" s="185">
        <v>0.01</v>
      </c>
      <c r="J124" s="186">
        <v>0.01</v>
      </c>
      <c r="K124" s="237"/>
      <c r="L124" s="188"/>
      <c r="M124" s="189" t="s">
        <v>30</v>
      </c>
      <c r="N124" s="189" t="s">
        <v>87</v>
      </c>
      <c r="O124" s="190" t="s">
        <v>2542</v>
      </c>
      <c r="P124" s="35">
        <v>45887</v>
      </c>
      <c r="Q124" s="22"/>
    </row>
    <row r="125" spans="1:17" s="234" customFormat="1" ht="75">
      <c r="A125" s="27" t="s">
        <v>58</v>
      </c>
      <c r="B125" s="39">
        <v>8144</v>
      </c>
      <c r="C125" s="183" t="s">
        <v>33</v>
      </c>
      <c r="D125" s="184" t="s">
        <v>2546</v>
      </c>
      <c r="E125" s="26">
        <v>45870</v>
      </c>
      <c r="F125" s="26">
        <v>45883</v>
      </c>
      <c r="G125" s="28" t="s">
        <v>2548</v>
      </c>
      <c r="H125" s="34" t="s">
        <v>11</v>
      </c>
      <c r="I125" s="185">
        <v>0.01</v>
      </c>
      <c r="J125" s="186">
        <v>5.0000000000000001E-3</v>
      </c>
      <c r="K125" s="237"/>
      <c r="L125" s="188"/>
      <c r="M125" s="189" t="s">
        <v>30</v>
      </c>
      <c r="N125" s="189" t="s">
        <v>87</v>
      </c>
      <c r="O125" s="190" t="s">
        <v>2542</v>
      </c>
      <c r="P125" s="35">
        <v>45887</v>
      </c>
      <c r="Q125" s="22"/>
    </row>
    <row r="126" spans="1:17" s="234" customFormat="1" ht="75">
      <c r="A126" s="27" t="s">
        <v>58</v>
      </c>
      <c r="B126" s="39">
        <v>8145</v>
      </c>
      <c r="C126" s="183" t="s">
        <v>33</v>
      </c>
      <c r="D126" s="184" t="s">
        <v>2546</v>
      </c>
      <c r="E126" s="26">
        <v>45884</v>
      </c>
      <c r="F126" s="26">
        <v>45900</v>
      </c>
      <c r="G126" s="28" t="s">
        <v>2548</v>
      </c>
      <c r="H126" s="34" t="s">
        <v>11</v>
      </c>
      <c r="I126" s="185">
        <v>0.01</v>
      </c>
      <c r="J126" s="186">
        <v>8.0000000000000002E-3</v>
      </c>
      <c r="K126" s="237"/>
      <c r="L126" s="188"/>
      <c r="M126" s="189" t="s">
        <v>30</v>
      </c>
      <c r="N126" s="189" t="s">
        <v>87</v>
      </c>
      <c r="O126" s="190" t="s">
        <v>2542</v>
      </c>
      <c r="P126" s="35">
        <v>45887</v>
      </c>
      <c r="Q126" s="22"/>
    </row>
    <row r="127" spans="1:17" s="234" customFormat="1" ht="75">
      <c r="A127" s="27" t="s">
        <v>58</v>
      </c>
      <c r="B127" s="39">
        <v>8146</v>
      </c>
      <c r="C127" s="183" t="s">
        <v>33</v>
      </c>
      <c r="D127" s="184" t="s">
        <v>2547</v>
      </c>
      <c r="E127" s="26">
        <v>45870</v>
      </c>
      <c r="F127" s="26">
        <v>45883</v>
      </c>
      <c r="G127" s="28" t="s">
        <v>2548</v>
      </c>
      <c r="H127" s="34" t="s">
        <v>11</v>
      </c>
      <c r="I127" s="185">
        <v>0.01</v>
      </c>
      <c r="J127" s="186">
        <v>5.0000000000000001E-3</v>
      </c>
      <c r="K127" s="237"/>
      <c r="L127" s="188"/>
      <c r="M127" s="189" t="s">
        <v>30</v>
      </c>
      <c r="N127" s="189" t="s">
        <v>87</v>
      </c>
      <c r="O127" s="190" t="s">
        <v>2542</v>
      </c>
      <c r="P127" s="35">
        <v>45887</v>
      </c>
      <c r="Q127" s="22"/>
    </row>
    <row r="128" spans="1:17" s="234" customFormat="1" ht="75">
      <c r="A128" s="27" t="s">
        <v>58</v>
      </c>
      <c r="B128" s="39">
        <v>8147</v>
      </c>
      <c r="C128" s="183" t="s">
        <v>33</v>
      </c>
      <c r="D128" s="184" t="s">
        <v>2547</v>
      </c>
      <c r="E128" s="26">
        <v>45884</v>
      </c>
      <c r="F128" s="26">
        <v>45900</v>
      </c>
      <c r="G128" s="28" t="s">
        <v>2548</v>
      </c>
      <c r="H128" s="34" t="s">
        <v>11</v>
      </c>
      <c r="I128" s="185">
        <v>0.01</v>
      </c>
      <c r="J128" s="186">
        <v>8.0000000000000002E-3</v>
      </c>
      <c r="K128" s="237"/>
      <c r="L128" s="188"/>
      <c r="M128" s="189" t="s">
        <v>30</v>
      </c>
      <c r="N128" s="189" t="s">
        <v>87</v>
      </c>
      <c r="O128" s="190" t="s">
        <v>2542</v>
      </c>
      <c r="P128" s="35">
        <v>45887</v>
      </c>
      <c r="Q128" s="22"/>
    </row>
    <row r="129" spans="1:17" s="234" customFormat="1" ht="60">
      <c r="A129" s="27" t="s">
        <v>58</v>
      </c>
      <c r="B129" s="191">
        <v>8005</v>
      </c>
      <c r="C129" s="183" t="s">
        <v>33</v>
      </c>
      <c r="D129" s="184">
        <v>16713</v>
      </c>
      <c r="E129" s="26">
        <v>45870</v>
      </c>
      <c r="F129" s="26">
        <v>45881</v>
      </c>
      <c r="G129" s="253" t="s">
        <v>2575</v>
      </c>
      <c r="H129" s="34" t="s">
        <v>11</v>
      </c>
      <c r="I129" s="185">
        <v>0.01</v>
      </c>
      <c r="J129" s="186">
        <v>2.7E-2</v>
      </c>
      <c r="K129" s="187"/>
      <c r="L129" s="188"/>
      <c r="M129" s="189" t="s">
        <v>13</v>
      </c>
      <c r="N129" s="189" t="s">
        <v>198</v>
      </c>
      <c r="O129" s="190" t="s">
        <v>2549</v>
      </c>
      <c r="P129" s="35">
        <v>45877</v>
      </c>
      <c r="Q129" s="22"/>
    </row>
    <row r="130" spans="1:17" s="234" customFormat="1" ht="60">
      <c r="A130" s="27" t="s">
        <v>58</v>
      </c>
      <c r="B130" s="191">
        <v>8006</v>
      </c>
      <c r="C130" s="183" t="s">
        <v>33</v>
      </c>
      <c r="D130" s="184">
        <v>16713</v>
      </c>
      <c r="E130" s="26">
        <v>45882</v>
      </c>
      <c r="F130" s="26">
        <v>45900</v>
      </c>
      <c r="G130" s="253" t="s">
        <v>2575</v>
      </c>
      <c r="H130" s="34" t="s">
        <v>11</v>
      </c>
      <c r="I130" s="185">
        <v>0.01</v>
      </c>
      <c r="J130" s="186">
        <v>0.02</v>
      </c>
      <c r="K130" s="187"/>
      <c r="L130" s="188"/>
      <c r="M130" s="189" t="s">
        <v>13</v>
      </c>
      <c r="N130" s="189" t="s">
        <v>198</v>
      </c>
      <c r="O130" s="190" t="s">
        <v>2549</v>
      </c>
      <c r="P130" s="35">
        <v>45877</v>
      </c>
      <c r="Q130" s="22"/>
    </row>
    <row r="131" spans="1:17" s="234" customFormat="1" ht="60">
      <c r="A131" s="27" t="s">
        <v>58</v>
      </c>
      <c r="B131" s="39">
        <v>8007</v>
      </c>
      <c r="C131" s="183" t="s">
        <v>33</v>
      </c>
      <c r="D131" s="184">
        <v>14409</v>
      </c>
      <c r="E131" s="26">
        <v>45870</v>
      </c>
      <c r="F131" s="26">
        <v>45900</v>
      </c>
      <c r="G131" s="22" t="s">
        <v>2048</v>
      </c>
      <c r="H131" s="34" t="s">
        <v>11</v>
      </c>
      <c r="I131" s="185">
        <v>10000</v>
      </c>
      <c r="J131" s="186">
        <v>5.0000000000000001E-3</v>
      </c>
      <c r="K131" s="187"/>
      <c r="L131" s="188"/>
      <c r="M131" s="189" t="s">
        <v>18</v>
      </c>
      <c r="N131" s="189" t="s">
        <v>2376</v>
      </c>
      <c r="O131" s="190" t="s">
        <v>2550</v>
      </c>
      <c r="P131" s="35">
        <v>45881</v>
      </c>
      <c r="Q131" s="22"/>
    </row>
    <row r="132" spans="1:17" s="234" customFormat="1" ht="60">
      <c r="A132" s="27" t="s">
        <v>59</v>
      </c>
      <c r="B132" s="39">
        <v>8008</v>
      </c>
      <c r="C132" s="183" t="s">
        <v>33</v>
      </c>
      <c r="D132" s="184" t="s">
        <v>2223</v>
      </c>
      <c r="E132" s="26">
        <v>45870</v>
      </c>
      <c r="F132" s="26">
        <v>45900</v>
      </c>
      <c r="G132" s="22" t="s">
        <v>855</v>
      </c>
      <c r="H132" s="34" t="s">
        <v>11</v>
      </c>
      <c r="I132" s="185">
        <v>10000</v>
      </c>
      <c r="J132" s="186">
        <v>7.4999999999999997E-3</v>
      </c>
      <c r="K132" s="187"/>
      <c r="L132" s="188"/>
      <c r="M132" s="189" t="s">
        <v>18</v>
      </c>
      <c r="N132" s="189" t="s">
        <v>2376</v>
      </c>
      <c r="O132" s="190" t="s">
        <v>2550</v>
      </c>
      <c r="P132" s="35">
        <v>45881</v>
      </c>
      <c r="Q132" s="22"/>
    </row>
    <row r="133" spans="1:17" s="234" customFormat="1" ht="45">
      <c r="A133" s="27" t="s">
        <v>58</v>
      </c>
      <c r="B133" s="191">
        <v>8009</v>
      </c>
      <c r="C133" s="183" t="s">
        <v>33</v>
      </c>
      <c r="D133" s="184">
        <v>3594</v>
      </c>
      <c r="E133" s="26">
        <v>45870</v>
      </c>
      <c r="F133" s="26">
        <v>45900</v>
      </c>
      <c r="G133" s="22" t="s">
        <v>2801</v>
      </c>
      <c r="H133" s="34" t="s">
        <v>11</v>
      </c>
      <c r="I133" s="185">
        <v>200000</v>
      </c>
      <c r="J133" s="225">
        <v>200</v>
      </c>
      <c r="K133" s="187"/>
      <c r="L133" s="188"/>
      <c r="M133" s="189" t="s">
        <v>32</v>
      </c>
      <c r="N133" s="189" t="s">
        <v>64</v>
      </c>
      <c r="O133" s="190" t="s">
        <v>1864</v>
      </c>
      <c r="P133" s="35">
        <v>45881</v>
      </c>
      <c r="Q133" s="22"/>
    </row>
    <row r="134" spans="1:17" s="234" customFormat="1" ht="60">
      <c r="A134" s="27" t="s">
        <v>59</v>
      </c>
      <c r="B134" s="39">
        <v>8010</v>
      </c>
      <c r="C134" s="183" t="s">
        <v>33</v>
      </c>
      <c r="D134" s="184">
        <v>1818</v>
      </c>
      <c r="E134" s="26">
        <v>45870</v>
      </c>
      <c r="F134" s="26">
        <v>45900</v>
      </c>
      <c r="G134" s="22" t="s">
        <v>2086</v>
      </c>
      <c r="H134" s="34" t="s">
        <v>11</v>
      </c>
      <c r="I134" s="185">
        <v>500000</v>
      </c>
      <c r="J134" s="186">
        <v>2E-3</v>
      </c>
      <c r="K134" s="187"/>
      <c r="L134" s="188"/>
      <c r="M134" s="189" t="s">
        <v>19</v>
      </c>
      <c r="N134" s="189" t="s">
        <v>166</v>
      </c>
      <c r="O134" s="190" t="s">
        <v>1532</v>
      </c>
      <c r="P134" s="35">
        <v>45881</v>
      </c>
      <c r="Q134" s="22"/>
    </row>
    <row r="135" spans="1:17" s="234" customFormat="1" ht="45">
      <c r="A135" s="27" t="s">
        <v>58</v>
      </c>
      <c r="B135" s="191">
        <v>8011</v>
      </c>
      <c r="C135" s="183" t="s">
        <v>33</v>
      </c>
      <c r="D135" s="184">
        <v>8518</v>
      </c>
      <c r="E135" s="26">
        <v>45870</v>
      </c>
      <c r="F135" s="26">
        <v>45900</v>
      </c>
      <c r="G135" s="22" t="s">
        <v>2802</v>
      </c>
      <c r="H135" s="34" t="s">
        <v>11</v>
      </c>
      <c r="I135" s="185">
        <v>50000</v>
      </c>
      <c r="J135" s="186">
        <v>3.0000000000000001E-3</v>
      </c>
      <c r="K135" s="187"/>
      <c r="L135" s="188"/>
      <c r="M135" s="189" t="s">
        <v>18</v>
      </c>
      <c r="N135" s="189" t="s">
        <v>83</v>
      </c>
      <c r="O135" s="190" t="s">
        <v>2551</v>
      </c>
      <c r="P135" s="35">
        <v>45882</v>
      </c>
      <c r="Q135" s="22"/>
    </row>
    <row r="136" spans="1:17" s="234" customFormat="1" ht="60">
      <c r="A136" s="27" t="s">
        <v>58</v>
      </c>
      <c r="B136" s="191">
        <v>8012</v>
      </c>
      <c r="C136" s="183" t="s">
        <v>33</v>
      </c>
      <c r="D136" s="184" t="s">
        <v>2728</v>
      </c>
      <c r="E136" s="26">
        <v>45870</v>
      </c>
      <c r="F136" s="26">
        <v>45900</v>
      </c>
      <c r="G136" s="22" t="s">
        <v>2803</v>
      </c>
      <c r="H136" s="34" t="s">
        <v>11</v>
      </c>
      <c r="I136" s="185">
        <v>10000000</v>
      </c>
      <c r="J136" s="186">
        <v>1.4999999999999999E-2</v>
      </c>
      <c r="K136" s="187"/>
      <c r="L136" s="188"/>
      <c r="M136" s="189" t="s">
        <v>168</v>
      </c>
      <c r="N136" s="189" t="s">
        <v>176</v>
      </c>
      <c r="O136" s="190" t="s">
        <v>2184</v>
      </c>
      <c r="P136" s="35">
        <v>45877</v>
      </c>
      <c r="Q136" s="22" t="s">
        <v>2749</v>
      </c>
    </row>
    <row r="137" spans="1:17" s="234" customFormat="1" ht="60">
      <c r="A137" s="27" t="s">
        <v>58</v>
      </c>
      <c r="B137" s="191">
        <v>8012</v>
      </c>
      <c r="C137" s="183" t="s">
        <v>33</v>
      </c>
      <c r="D137" s="184" t="s">
        <v>2728</v>
      </c>
      <c r="E137" s="26">
        <v>45870</v>
      </c>
      <c r="F137" s="26">
        <v>45900</v>
      </c>
      <c r="G137" s="22" t="s">
        <v>2803</v>
      </c>
      <c r="H137" s="34" t="s">
        <v>11</v>
      </c>
      <c r="I137" s="185">
        <v>1000000</v>
      </c>
      <c r="J137" s="186">
        <v>1.7000000000000001E-2</v>
      </c>
      <c r="K137" s="187"/>
      <c r="L137" s="188"/>
      <c r="M137" s="189" t="s">
        <v>168</v>
      </c>
      <c r="N137" s="189" t="s">
        <v>176</v>
      </c>
      <c r="O137" s="190" t="s">
        <v>2184</v>
      </c>
      <c r="P137" s="35">
        <v>45877</v>
      </c>
      <c r="Q137" s="22" t="s">
        <v>2749</v>
      </c>
    </row>
    <row r="138" spans="1:17" s="234" customFormat="1" ht="75">
      <c r="A138" s="27" t="s">
        <v>58</v>
      </c>
      <c r="B138" s="39">
        <v>8013</v>
      </c>
      <c r="C138" s="183" t="s">
        <v>33</v>
      </c>
      <c r="D138" s="184">
        <v>8851</v>
      </c>
      <c r="E138" s="26">
        <v>45870</v>
      </c>
      <c r="F138" s="26">
        <v>45900</v>
      </c>
      <c r="G138" s="22" t="s">
        <v>2438</v>
      </c>
      <c r="H138" s="34" t="s">
        <v>11</v>
      </c>
      <c r="I138" s="185">
        <v>0.01</v>
      </c>
      <c r="J138" s="186">
        <v>2E-3</v>
      </c>
      <c r="K138" s="187"/>
      <c r="L138" s="188"/>
      <c r="M138" s="189" t="s">
        <v>41</v>
      </c>
      <c r="N138" s="189" t="s">
        <v>1496</v>
      </c>
      <c r="O138" s="190" t="s">
        <v>2552</v>
      </c>
      <c r="P138" s="35">
        <v>45877</v>
      </c>
      <c r="Q138" s="22"/>
    </row>
    <row r="139" spans="1:17" s="234" customFormat="1" ht="75">
      <c r="A139" s="27" t="s">
        <v>58</v>
      </c>
      <c r="B139" s="39">
        <v>8014</v>
      </c>
      <c r="C139" s="183" t="s">
        <v>33</v>
      </c>
      <c r="D139" s="184">
        <v>8851</v>
      </c>
      <c r="E139" s="26">
        <v>45870</v>
      </c>
      <c r="F139" s="26">
        <v>45900</v>
      </c>
      <c r="G139" s="22" t="s">
        <v>2439</v>
      </c>
      <c r="H139" s="34" t="s">
        <v>11</v>
      </c>
      <c r="I139" s="185">
        <v>0.01</v>
      </c>
      <c r="J139" s="186">
        <v>2E-3</v>
      </c>
      <c r="K139" s="187"/>
      <c r="L139" s="188"/>
      <c r="M139" s="189" t="s">
        <v>41</v>
      </c>
      <c r="N139" s="189" t="s">
        <v>1496</v>
      </c>
      <c r="O139" s="190" t="s">
        <v>2552</v>
      </c>
      <c r="P139" s="35">
        <v>45877</v>
      </c>
      <c r="Q139" s="22"/>
    </row>
    <row r="140" spans="1:17" s="234" customFormat="1" ht="60">
      <c r="A140" s="27" t="s">
        <v>58</v>
      </c>
      <c r="B140" s="39">
        <v>8015</v>
      </c>
      <c r="C140" s="183" t="s">
        <v>33</v>
      </c>
      <c r="D140" s="184">
        <v>17865</v>
      </c>
      <c r="E140" s="26">
        <v>45870</v>
      </c>
      <c r="F140" s="26">
        <v>45900</v>
      </c>
      <c r="G140" s="238" t="s">
        <v>2839</v>
      </c>
      <c r="H140" s="34" t="s">
        <v>11</v>
      </c>
      <c r="I140" s="185">
        <v>50000</v>
      </c>
      <c r="J140" s="186">
        <v>5.0000000000000001E-3</v>
      </c>
      <c r="K140" s="187"/>
      <c r="L140" s="188"/>
      <c r="M140" s="189" t="s">
        <v>168</v>
      </c>
      <c r="N140" s="189" t="s">
        <v>2375</v>
      </c>
      <c r="O140" s="190" t="s">
        <v>2553</v>
      </c>
      <c r="P140" s="35">
        <v>45877</v>
      </c>
      <c r="Q140" s="22"/>
    </row>
    <row r="141" spans="1:17" s="234" customFormat="1" ht="45">
      <c r="A141" s="27" t="s">
        <v>58</v>
      </c>
      <c r="B141" s="39">
        <v>8016</v>
      </c>
      <c r="C141" s="183" t="s">
        <v>33</v>
      </c>
      <c r="D141" s="184">
        <v>1942</v>
      </c>
      <c r="E141" s="26">
        <v>45870</v>
      </c>
      <c r="F141" s="26">
        <v>45900</v>
      </c>
      <c r="G141" s="22" t="s">
        <v>2538</v>
      </c>
      <c r="H141" s="34" t="s">
        <v>11</v>
      </c>
      <c r="I141" s="185">
        <v>1000</v>
      </c>
      <c r="J141" s="186">
        <v>5.0000000000000001E-3</v>
      </c>
      <c r="K141" s="187"/>
      <c r="L141" s="188"/>
      <c r="M141" s="189" t="s">
        <v>18</v>
      </c>
      <c r="N141" s="189" t="s">
        <v>74</v>
      </c>
      <c r="O141" s="190" t="s">
        <v>2426</v>
      </c>
      <c r="P141" s="35">
        <v>45877</v>
      </c>
      <c r="Q141" s="22"/>
    </row>
    <row r="142" spans="1:17" s="234" customFormat="1" ht="60">
      <c r="A142" s="27" t="s">
        <v>59</v>
      </c>
      <c r="B142" s="39">
        <v>8017</v>
      </c>
      <c r="C142" s="183" t="s">
        <v>33</v>
      </c>
      <c r="D142" s="184" t="s">
        <v>2727</v>
      </c>
      <c r="E142" s="26">
        <v>45870</v>
      </c>
      <c r="F142" s="26">
        <v>45900</v>
      </c>
      <c r="G142" s="22" t="s">
        <v>2840</v>
      </c>
      <c r="H142" s="34" t="s">
        <v>11</v>
      </c>
      <c r="I142" s="185">
        <v>700000</v>
      </c>
      <c r="J142" s="186">
        <v>3.0000000000000001E-3</v>
      </c>
      <c r="K142" s="187"/>
      <c r="L142" s="188"/>
      <c r="M142" s="189" t="s">
        <v>16</v>
      </c>
      <c r="N142" s="189" t="s">
        <v>78</v>
      </c>
      <c r="O142" s="190" t="s">
        <v>2554</v>
      </c>
      <c r="P142" s="35">
        <v>45877</v>
      </c>
      <c r="Q142" s="22" t="s">
        <v>2754</v>
      </c>
    </row>
    <row r="143" spans="1:17" s="234" customFormat="1" ht="60">
      <c r="A143" s="27" t="s">
        <v>58</v>
      </c>
      <c r="B143" s="39">
        <v>8018</v>
      </c>
      <c r="C143" s="183" t="s">
        <v>33</v>
      </c>
      <c r="D143" s="184">
        <v>5614</v>
      </c>
      <c r="E143" s="26">
        <v>45870</v>
      </c>
      <c r="F143" s="26">
        <v>45900</v>
      </c>
      <c r="G143" s="22" t="s">
        <v>2556</v>
      </c>
      <c r="H143" s="34" t="s">
        <v>11</v>
      </c>
      <c r="I143" s="185">
        <v>0.01</v>
      </c>
      <c r="J143" s="186">
        <v>2.5000000000000001E-3</v>
      </c>
      <c r="K143" s="187"/>
      <c r="L143" s="188"/>
      <c r="M143" s="189" t="s">
        <v>18</v>
      </c>
      <c r="N143" s="189" t="s">
        <v>74</v>
      </c>
      <c r="O143" s="190" t="s">
        <v>2555</v>
      </c>
      <c r="P143" s="35">
        <v>45877</v>
      </c>
      <c r="Q143" s="22"/>
    </row>
    <row r="144" spans="1:17" s="234" customFormat="1" ht="45">
      <c r="A144" s="27" t="s">
        <v>58</v>
      </c>
      <c r="B144" s="39">
        <v>8019</v>
      </c>
      <c r="C144" s="183" t="s">
        <v>33</v>
      </c>
      <c r="D144" s="184">
        <v>1212</v>
      </c>
      <c r="E144" s="26">
        <v>45870</v>
      </c>
      <c r="F144" s="26">
        <v>45900</v>
      </c>
      <c r="G144" s="22" t="s">
        <v>2576</v>
      </c>
      <c r="H144" s="34" t="s">
        <v>11</v>
      </c>
      <c r="I144" s="185">
        <v>0.01</v>
      </c>
      <c r="J144" s="186">
        <v>2E-3</v>
      </c>
      <c r="K144" s="187"/>
      <c r="L144" s="188"/>
      <c r="M144" s="189" t="s">
        <v>17</v>
      </c>
      <c r="N144" s="189" t="s">
        <v>62</v>
      </c>
      <c r="O144" s="190" t="s">
        <v>2557</v>
      </c>
      <c r="P144" s="35">
        <v>45877</v>
      </c>
      <c r="Q144" s="22"/>
    </row>
    <row r="145" spans="1:17" s="234" customFormat="1" ht="45">
      <c r="A145" s="27" t="s">
        <v>58</v>
      </c>
      <c r="B145" s="39">
        <v>8019</v>
      </c>
      <c r="C145" s="183" t="s">
        <v>33</v>
      </c>
      <c r="D145" s="184">
        <v>1212</v>
      </c>
      <c r="E145" s="26">
        <v>45870</v>
      </c>
      <c r="F145" s="26">
        <v>45900</v>
      </c>
      <c r="G145" s="22" t="s">
        <v>2576</v>
      </c>
      <c r="H145" s="34" t="s">
        <v>11</v>
      </c>
      <c r="I145" s="185">
        <v>500000</v>
      </c>
      <c r="J145" s="186">
        <v>5.0000000000000001E-3</v>
      </c>
      <c r="K145" s="187"/>
      <c r="L145" s="188"/>
      <c r="M145" s="189" t="s">
        <v>17</v>
      </c>
      <c r="N145" s="189" t="s">
        <v>62</v>
      </c>
      <c r="O145" s="190" t="s">
        <v>2557</v>
      </c>
      <c r="P145" s="35">
        <v>45877</v>
      </c>
      <c r="Q145" s="22"/>
    </row>
    <row r="146" spans="1:17" s="234" customFormat="1" ht="60">
      <c r="A146" s="27" t="s">
        <v>58</v>
      </c>
      <c r="B146" s="39">
        <v>8020</v>
      </c>
      <c r="C146" s="183" t="s">
        <v>33</v>
      </c>
      <c r="D146" s="184">
        <v>12772</v>
      </c>
      <c r="E146" s="26">
        <v>45870</v>
      </c>
      <c r="F146" s="26">
        <v>45900</v>
      </c>
      <c r="G146" s="22" t="s">
        <v>2559</v>
      </c>
      <c r="H146" s="34" t="s">
        <v>11</v>
      </c>
      <c r="I146" s="185">
        <v>0.01</v>
      </c>
      <c r="J146" s="186">
        <v>0.03</v>
      </c>
      <c r="K146" s="187"/>
      <c r="L146" s="188"/>
      <c r="M146" s="189" t="s">
        <v>141</v>
      </c>
      <c r="N146" s="189" t="s">
        <v>142</v>
      </c>
      <c r="O146" s="190" t="s">
        <v>2558</v>
      </c>
      <c r="P146" s="35">
        <v>45877</v>
      </c>
      <c r="Q146" s="22"/>
    </row>
    <row r="147" spans="1:17" s="234" customFormat="1" ht="60">
      <c r="A147" s="27" t="s">
        <v>58</v>
      </c>
      <c r="B147" s="39">
        <v>8021</v>
      </c>
      <c r="C147" s="183" t="s">
        <v>33</v>
      </c>
      <c r="D147" s="184">
        <v>6799</v>
      </c>
      <c r="E147" s="26">
        <v>45870</v>
      </c>
      <c r="F147" s="26">
        <v>45900</v>
      </c>
      <c r="G147" s="22" t="s">
        <v>2560</v>
      </c>
      <c r="H147" s="34" t="s">
        <v>11</v>
      </c>
      <c r="I147" s="185">
        <v>0.01</v>
      </c>
      <c r="J147" s="186">
        <v>2.5000000000000001E-3</v>
      </c>
      <c r="K147" s="187"/>
      <c r="L147" s="188"/>
      <c r="M147" s="189" t="s">
        <v>16</v>
      </c>
      <c r="N147" s="189" t="s">
        <v>109</v>
      </c>
      <c r="O147" s="190" t="s">
        <v>2335</v>
      </c>
      <c r="P147" s="35">
        <v>45877</v>
      </c>
      <c r="Q147" s="22"/>
    </row>
    <row r="148" spans="1:17" s="234" customFormat="1" ht="60">
      <c r="A148" s="27" t="s">
        <v>58</v>
      </c>
      <c r="B148" s="39">
        <v>8022</v>
      </c>
      <c r="C148" s="183" t="s">
        <v>33</v>
      </c>
      <c r="D148" s="184">
        <v>7166</v>
      </c>
      <c r="E148" s="26">
        <v>45870</v>
      </c>
      <c r="F148" s="26">
        <v>45900</v>
      </c>
      <c r="G148" s="22" t="s">
        <v>2562</v>
      </c>
      <c r="H148" s="34" t="s">
        <v>11</v>
      </c>
      <c r="I148" s="185">
        <v>1000</v>
      </c>
      <c r="J148" s="186">
        <v>1.4999999999999999E-2</v>
      </c>
      <c r="K148" s="187"/>
      <c r="L148" s="188"/>
      <c r="M148" s="189" t="s">
        <v>25</v>
      </c>
      <c r="N148" s="189" t="s">
        <v>171</v>
      </c>
      <c r="O148" s="190" t="s">
        <v>2561</v>
      </c>
      <c r="P148" s="35">
        <v>45877</v>
      </c>
      <c r="Q148" s="22"/>
    </row>
    <row r="149" spans="1:17" s="234" customFormat="1" ht="60">
      <c r="A149" s="27" t="s">
        <v>58</v>
      </c>
      <c r="B149" s="39">
        <v>8023</v>
      </c>
      <c r="C149" s="183" t="s">
        <v>33</v>
      </c>
      <c r="D149" s="184">
        <v>13782</v>
      </c>
      <c r="E149" s="26">
        <v>45870</v>
      </c>
      <c r="F149" s="26">
        <v>45900</v>
      </c>
      <c r="G149" s="22" t="s">
        <v>2816</v>
      </c>
      <c r="H149" s="34" t="s">
        <v>11</v>
      </c>
      <c r="I149" s="185">
        <v>10000</v>
      </c>
      <c r="J149" s="186">
        <v>1.6E-2</v>
      </c>
      <c r="K149" s="187"/>
      <c r="L149" s="188"/>
      <c r="M149" s="189" t="s">
        <v>168</v>
      </c>
      <c r="N149" s="189" t="s">
        <v>73</v>
      </c>
      <c r="O149" s="190" t="s">
        <v>2563</v>
      </c>
      <c r="P149" s="35">
        <v>45877</v>
      </c>
      <c r="Q149" s="22"/>
    </row>
    <row r="150" spans="1:17" s="234" customFormat="1" ht="60">
      <c r="A150" s="27" t="s">
        <v>58</v>
      </c>
      <c r="B150" s="39">
        <v>8024</v>
      </c>
      <c r="C150" s="183" t="s">
        <v>33</v>
      </c>
      <c r="D150" s="184">
        <v>15959</v>
      </c>
      <c r="E150" s="26">
        <v>45870</v>
      </c>
      <c r="F150" s="26">
        <v>45900</v>
      </c>
      <c r="G150" s="22" t="s">
        <v>2804</v>
      </c>
      <c r="H150" s="34" t="s">
        <v>11</v>
      </c>
      <c r="I150" s="185">
        <v>10000</v>
      </c>
      <c r="J150" s="186">
        <v>5.0000000000000001E-3</v>
      </c>
      <c r="K150" s="187"/>
      <c r="L150" s="188"/>
      <c r="M150" s="189" t="s">
        <v>168</v>
      </c>
      <c r="N150" s="189" t="s">
        <v>73</v>
      </c>
      <c r="O150" s="190" t="s">
        <v>2564</v>
      </c>
      <c r="P150" s="35">
        <v>45877</v>
      </c>
      <c r="Q150" s="22"/>
    </row>
    <row r="151" spans="1:17" s="234" customFormat="1" ht="45">
      <c r="A151" s="27" t="s">
        <v>58</v>
      </c>
      <c r="B151" s="39">
        <v>8025</v>
      </c>
      <c r="C151" s="183" t="s">
        <v>33</v>
      </c>
      <c r="D151" s="184">
        <v>12378</v>
      </c>
      <c r="E151" s="26">
        <v>45870</v>
      </c>
      <c r="F151" s="26">
        <v>45900</v>
      </c>
      <c r="G151" s="22" t="s">
        <v>2565</v>
      </c>
      <c r="H151" s="34" t="s">
        <v>11</v>
      </c>
      <c r="I151" s="185">
        <v>200000</v>
      </c>
      <c r="J151" s="186">
        <v>7.0000000000000001E-3</v>
      </c>
      <c r="K151" s="187"/>
      <c r="L151" s="188"/>
      <c r="M151" s="189" t="s">
        <v>32</v>
      </c>
      <c r="N151" s="189" t="s">
        <v>80</v>
      </c>
      <c r="O151" s="190" t="s">
        <v>2428</v>
      </c>
      <c r="P151" s="35">
        <v>45882</v>
      </c>
      <c r="Q151" s="22"/>
    </row>
    <row r="152" spans="1:17" s="234" customFormat="1" ht="60">
      <c r="A152" s="27" t="s">
        <v>59</v>
      </c>
      <c r="B152" s="39">
        <v>8027</v>
      </c>
      <c r="C152" s="183" t="s">
        <v>33</v>
      </c>
      <c r="D152" s="184">
        <v>14071</v>
      </c>
      <c r="E152" s="26">
        <v>45870</v>
      </c>
      <c r="F152" s="26">
        <v>45900</v>
      </c>
      <c r="G152" s="22" t="s">
        <v>2567</v>
      </c>
      <c r="H152" s="34" t="s">
        <v>11</v>
      </c>
      <c r="I152" s="185">
        <v>10000</v>
      </c>
      <c r="J152" s="186">
        <v>2E-3</v>
      </c>
      <c r="K152" s="187"/>
      <c r="L152" s="188"/>
      <c r="M152" s="189" t="s">
        <v>168</v>
      </c>
      <c r="N152" s="189" t="s">
        <v>73</v>
      </c>
      <c r="O152" s="190" t="s">
        <v>2566</v>
      </c>
      <c r="P152" s="35">
        <v>45877</v>
      </c>
      <c r="Q152" s="22"/>
    </row>
    <row r="153" spans="1:17" s="234" customFormat="1" ht="60">
      <c r="A153" s="27" t="s">
        <v>59</v>
      </c>
      <c r="B153" s="39">
        <v>8028</v>
      </c>
      <c r="C153" s="183" t="s">
        <v>33</v>
      </c>
      <c r="D153" s="184" t="s">
        <v>2723</v>
      </c>
      <c r="E153" s="26">
        <v>45870</v>
      </c>
      <c r="F153" s="26">
        <v>45900</v>
      </c>
      <c r="G153" s="22" t="s">
        <v>2805</v>
      </c>
      <c r="H153" s="34" t="s">
        <v>11</v>
      </c>
      <c r="I153" s="185">
        <v>400000</v>
      </c>
      <c r="J153" s="186">
        <v>1E-3</v>
      </c>
      <c r="K153" s="187"/>
      <c r="L153" s="188"/>
      <c r="M153" s="189" t="s">
        <v>32</v>
      </c>
      <c r="N153" s="189" t="s">
        <v>64</v>
      </c>
      <c r="O153" s="190" t="s">
        <v>2228</v>
      </c>
      <c r="P153" s="35">
        <v>45877</v>
      </c>
      <c r="Q153" s="22" t="s">
        <v>2755</v>
      </c>
    </row>
    <row r="154" spans="1:17" s="234" customFormat="1" ht="45">
      <c r="A154" s="27" t="s">
        <v>58</v>
      </c>
      <c r="B154" s="39">
        <v>8029</v>
      </c>
      <c r="C154" s="183" t="s">
        <v>33</v>
      </c>
      <c r="D154" s="184">
        <v>13389</v>
      </c>
      <c r="E154" s="26">
        <v>45870</v>
      </c>
      <c r="F154" s="26">
        <v>45900</v>
      </c>
      <c r="G154" s="22" t="s">
        <v>2841</v>
      </c>
      <c r="H154" s="34" t="s">
        <v>11</v>
      </c>
      <c r="I154" s="185">
        <v>0.01</v>
      </c>
      <c r="J154" s="186">
        <v>7.0000000000000001E-3</v>
      </c>
      <c r="K154" s="187"/>
      <c r="L154" s="188"/>
      <c r="M154" s="189" t="s">
        <v>168</v>
      </c>
      <c r="N154" s="189" t="s">
        <v>65</v>
      </c>
      <c r="O154" s="190" t="s">
        <v>2337</v>
      </c>
      <c r="P154" s="35">
        <v>45880</v>
      </c>
      <c r="Q154" s="22"/>
    </row>
    <row r="155" spans="1:17" s="234" customFormat="1" ht="60">
      <c r="A155" s="27" t="s">
        <v>58</v>
      </c>
      <c r="B155" s="39">
        <v>8030</v>
      </c>
      <c r="C155" s="183" t="s">
        <v>33</v>
      </c>
      <c r="D155" s="184">
        <v>8708</v>
      </c>
      <c r="E155" s="26">
        <v>45870</v>
      </c>
      <c r="F155" s="26">
        <v>45900</v>
      </c>
      <c r="G155" s="22" t="s">
        <v>2842</v>
      </c>
      <c r="H155" s="34" t="s">
        <v>11</v>
      </c>
      <c r="I155" s="185">
        <v>0.01</v>
      </c>
      <c r="J155" s="186">
        <v>2E-3</v>
      </c>
      <c r="K155" s="187"/>
      <c r="L155" s="188"/>
      <c r="M155" s="189" t="s">
        <v>32</v>
      </c>
      <c r="N155" s="189" t="s">
        <v>67</v>
      </c>
      <c r="O155" s="190" t="s">
        <v>2568</v>
      </c>
      <c r="P155" s="35">
        <v>45880</v>
      </c>
      <c r="Q155" s="22"/>
    </row>
    <row r="156" spans="1:17" s="234" customFormat="1" ht="45">
      <c r="A156" s="27" t="s">
        <v>58</v>
      </c>
      <c r="B156" s="39">
        <v>8031</v>
      </c>
      <c r="C156" s="183" t="s">
        <v>33</v>
      </c>
      <c r="D156" s="184">
        <v>9212</v>
      </c>
      <c r="E156" s="26">
        <v>45870</v>
      </c>
      <c r="F156" s="26">
        <v>45900</v>
      </c>
      <c r="G156" s="22" t="s">
        <v>2570</v>
      </c>
      <c r="H156" s="34" t="s">
        <v>11</v>
      </c>
      <c r="I156" s="185">
        <v>0.01</v>
      </c>
      <c r="J156" s="186">
        <v>7.0000000000000001E-3</v>
      </c>
      <c r="K156" s="187"/>
      <c r="L156" s="188"/>
      <c r="M156" s="189" t="s">
        <v>14</v>
      </c>
      <c r="N156" s="189" t="s">
        <v>68</v>
      </c>
      <c r="O156" s="190" t="s">
        <v>2569</v>
      </c>
      <c r="P156" s="35">
        <v>45880</v>
      </c>
      <c r="Q156" s="22"/>
    </row>
    <row r="157" spans="1:17" s="234" customFormat="1" ht="60">
      <c r="A157" s="27" t="s">
        <v>59</v>
      </c>
      <c r="B157" s="39">
        <v>8032</v>
      </c>
      <c r="C157" s="183" t="s">
        <v>33</v>
      </c>
      <c r="D157" s="184">
        <v>7756</v>
      </c>
      <c r="E157" s="26">
        <v>45870</v>
      </c>
      <c r="F157" s="26">
        <v>45900</v>
      </c>
      <c r="G157" s="22" t="s">
        <v>2572</v>
      </c>
      <c r="H157" s="34" t="s">
        <v>11</v>
      </c>
      <c r="I157" s="185">
        <v>0.01</v>
      </c>
      <c r="J157" s="186">
        <v>7.0000000000000001E-3</v>
      </c>
      <c r="K157" s="187"/>
      <c r="L157" s="188"/>
      <c r="M157" s="189" t="s">
        <v>95</v>
      </c>
      <c r="N157" s="189" t="s">
        <v>99</v>
      </c>
      <c r="O157" s="190" t="s">
        <v>2571</v>
      </c>
      <c r="P157" s="35">
        <v>45880</v>
      </c>
      <c r="Q157" s="22"/>
    </row>
    <row r="158" spans="1:17" s="234" customFormat="1" ht="75">
      <c r="A158" s="27" t="s">
        <v>59</v>
      </c>
      <c r="B158" s="201">
        <v>8043</v>
      </c>
      <c r="C158" s="183" t="s">
        <v>33</v>
      </c>
      <c r="D158" s="184" t="s">
        <v>376</v>
      </c>
      <c r="E158" s="26">
        <v>45870</v>
      </c>
      <c r="F158" s="26">
        <v>45900</v>
      </c>
      <c r="G158" s="22" t="s">
        <v>2578</v>
      </c>
      <c r="H158" s="34" t="s">
        <v>11</v>
      </c>
      <c r="I158" s="185">
        <v>0.01</v>
      </c>
      <c r="J158" s="186">
        <v>2E-3</v>
      </c>
      <c r="K158" s="187"/>
      <c r="L158" s="188"/>
      <c r="M158" s="189" t="s">
        <v>14</v>
      </c>
      <c r="N158" s="189" t="s">
        <v>68</v>
      </c>
      <c r="O158" s="190" t="s">
        <v>2577</v>
      </c>
      <c r="P158" s="35">
        <v>45875</v>
      </c>
      <c r="Q158" s="22"/>
    </row>
    <row r="159" spans="1:17" s="234" customFormat="1" ht="75">
      <c r="A159" s="27" t="s">
        <v>59</v>
      </c>
      <c r="B159" s="201">
        <v>8044</v>
      </c>
      <c r="C159" s="183" t="s">
        <v>33</v>
      </c>
      <c r="D159" s="184" t="s">
        <v>421</v>
      </c>
      <c r="E159" s="26">
        <v>45870</v>
      </c>
      <c r="F159" s="26">
        <v>45900</v>
      </c>
      <c r="G159" s="22" t="s">
        <v>2579</v>
      </c>
      <c r="H159" s="34" t="s">
        <v>11</v>
      </c>
      <c r="I159" s="185">
        <v>0.01</v>
      </c>
      <c r="J159" s="186">
        <v>2E-3</v>
      </c>
      <c r="K159" s="187"/>
      <c r="L159" s="188"/>
      <c r="M159" s="189" t="s">
        <v>14</v>
      </c>
      <c r="N159" s="189" t="s">
        <v>68</v>
      </c>
      <c r="O159" s="190" t="s">
        <v>2577</v>
      </c>
      <c r="P159" s="35">
        <v>45875</v>
      </c>
      <c r="Q159" s="22"/>
    </row>
    <row r="160" spans="1:17" s="234" customFormat="1" ht="75">
      <c r="A160" s="27" t="s">
        <v>59</v>
      </c>
      <c r="B160" s="201">
        <v>8045</v>
      </c>
      <c r="C160" s="183" t="s">
        <v>33</v>
      </c>
      <c r="D160" s="184" t="s">
        <v>421</v>
      </c>
      <c r="E160" s="26">
        <v>45870</v>
      </c>
      <c r="F160" s="26">
        <v>45900</v>
      </c>
      <c r="G160" s="22" t="s">
        <v>2789</v>
      </c>
      <c r="H160" s="34" t="s">
        <v>11</v>
      </c>
      <c r="I160" s="185">
        <v>0.01</v>
      </c>
      <c r="J160" s="186">
        <v>2E-3</v>
      </c>
      <c r="K160" s="187"/>
      <c r="L160" s="188"/>
      <c r="M160" s="189" t="s">
        <v>14</v>
      </c>
      <c r="N160" s="189" t="s">
        <v>68</v>
      </c>
      <c r="O160" s="190" t="s">
        <v>2577</v>
      </c>
      <c r="P160" s="35">
        <v>45875</v>
      </c>
      <c r="Q160" s="22"/>
    </row>
    <row r="161" spans="1:17" s="234" customFormat="1" ht="60">
      <c r="A161" s="27" t="s">
        <v>58</v>
      </c>
      <c r="B161" s="201">
        <v>8046</v>
      </c>
      <c r="C161" s="183" t="s">
        <v>33</v>
      </c>
      <c r="D161" s="184">
        <v>12302</v>
      </c>
      <c r="E161" s="26">
        <v>45870</v>
      </c>
      <c r="F161" s="26">
        <v>45900</v>
      </c>
      <c r="G161" s="22" t="s">
        <v>2404</v>
      </c>
      <c r="H161" s="34" t="s">
        <v>11</v>
      </c>
      <c r="I161" s="185">
        <v>300000</v>
      </c>
      <c r="J161" s="186">
        <v>3.0000000000000001E-3</v>
      </c>
      <c r="K161" s="187"/>
      <c r="L161" s="188"/>
      <c r="M161" s="189" t="s">
        <v>18</v>
      </c>
      <c r="N161" s="189" t="s">
        <v>83</v>
      </c>
      <c r="O161" s="190" t="s">
        <v>2580</v>
      </c>
      <c r="P161" s="35">
        <v>45880</v>
      </c>
      <c r="Q161" s="22"/>
    </row>
    <row r="162" spans="1:17" s="234" customFormat="1" ht="60">
      <c r="A162" s="27" t="s">
        <v>59</v>
      </c>
      <c r="B162" s="201">
        <v>8047</v>
      </c>
      <c r="C162" s="183" t="s">
        <v>33</v>
      </c>
      <c r="D162" s="184">
        <v>13053</v>
      </c>
      <c r="E162" s="26">
        <v>45870</v>
      </c>
      <c r="F162" s="26">
        <v>45876</v>
      </c>
      <c r="G162" s="22" t="s">
        <v>2806</v>
      </c>
      <c r="H162" s="34" t="s">
        <v>11</v>
      </c>
      <c r="I162" s="185">
        <v>1000</v>
      </c>
      <c r="J162" s="186">
        <v>1.7000000000000001E-2</v>
      </c>
      <c r="K162" s="187"/>
      <c r="L162" s="188"/>
      <c r="M162" s="189" t="s">
        <v>18</v>
      </c>
      <c r="N162" s="189" t="s">
        <v>2376</v>
      </c>
      <c r="O162" s="190" t="s">
        <v>2581</v>
      </c>
      <c r="P162" s="35">
        <v>45880</v>
      </c>
      <c r="Q162" s="22"/>
    </row>
    <row r="163" spans="1:17" s="234" customFormat="1" ht="45">
      <c r="A163" s="27" t="s">
        <v>59</v>
      </c>
      <c r="B163" s="201">
        <v>8048</v>
      </c>
      <c r="C163" s="183" t="s">
        <v>33</v>
      </c>
      <c r="D163" s="184">
        <v>14938</v>
      </c>
      <c r="E163" s="26">
        <v>45870</v>
      </c>
      <c r="F163" s="26">
        <v>45876</v>
      </c>
      <c r="G163" s="22" t="s">
        <v>2583</v>
      </c>
      <c r="H163" s="34" t="s">
        <v>11</v>
      </c>
      <c r="I163" s="185">
        <v>1000</v>
      </c>
      <c r="J163" s="186">
        <v>4.0000000000000001E-3</v>
      </c>
      <c r="K163" s="187"/>
      <c r="L163" s="188"/>
      <c r="M163" s="189" t="s">
        <v>18</v>
      </c>
      <c r="N163" s="189" t="s">
        <v>2376</v>
      </c>
      <c r="O163" s="190" t="s">
        <v>2582</v>
      </c>
      <c r="P163" s="35">
        <v>45880</v>
      </c>
      <c r="Q163" s="22"/>
    </row>
    <row r="164" spans="1:17" s="234" customFormat="1" ht="60">
      <c r="A164" s="27" t="s">
        <v>58</v>
      </c>
      <c r="B164" s="201">
        <v>8049</v>
      </c>
      <c r="C164" s="183" t="s">
        <v>33</v>
      </c>
      <c r="D164" s="184">
        <v>8819</v>
      </c>
      <c r="E164" s="26">
        <v>45870</v>
      </c>
      <c r="F164" s="26">
        <v>45900</v>
      </c>
      <c r="G164" s="22" t="s">
        <v>2389</v>
      </c>
      <c r="H164" s="34" t="s">
        <v>11</v>
      </c>
      <c r="I164" s="185">
        <v>50000</v>
      </c>
      <c r="J164" s="186">
        <v>3.0000000000000001E-3</v>
      </c>
      <c r="K164" s="187"/>
      <c r="L164" s="188"/>
      <c r="M164" s="189" t="s">
        <v>18</v>
      </c>
      <c r="N164" s="189" t="s">
        <v>74</v>
      </c>
      <c r="O164" s="190" t="s">
        <v>2584</v>
      </c>
      <c r="P164" s="35">
        <v>45880</v>
      </c>
      <c r="Q164" s="22"/>
    </row>
    <row r="165" spans="1:17" s="234" customFormat="1" ht="60">
      <c r="A165" s="27" t="s">
        <v>58</v>
      </c>
      <c r="B165" s="201">
        <v>8050</v>
      </c>
      <c r="C165" s="183" t="s">
        <v>33</v>
      </c>
      <c r="D165" s="184">
        <v>6245</v>
      </c>
      <c r="E165" s="26">
        <v>45870</v>
      </c>
      <c r="F165" s="26">
        <v>45900</v>
      </c>
      <c r="G165" s="22" t="s">
        <v>2389</v>
      </c>
      <c r="H165" s="34" t="s">
        <v>11</v>
      </c>
      <c r="I165" s="185">
        <v>50000</v>
      </c>
      <c r="J165" s="186">
        <v>3.0000000000000001E-3</v>
      </c>
      <c r="K165" s="187"/>
      <c r="L165" s="188"/>
      <c r="M165" s="189" t="s">
        <v>18</v>
      </c>
      <c r="N165" s="189" t="s">
        <v>74</v>
      </c>
      <c r="O165" s="190" t="s">
        <v>2584</v>
      </c>
      <c r="P165" s="35">
        <v>45880</v>
      </c>
      <c r="Q165" s="22"/>
    </row>
    <row r="166" spans="1:17" s="234" customFormat="1" ht="60">
      <c r="A166" s="27" t="s">
        <v>58</v>
      </c>
      <c r="B166" s="201">
        <v>8051</v>
      </c>
      <c r="C166" s="183" t="s">
        <v>33</v>
      </c>
      <c r="D166" s="184">
        <v>9286</v>
      </c>
      <c r="E166" s="26">
        <v>45870</v>
      </c>
      <c r="F166" s="26">
        <v>45900</v>
      </c>
      <c r="G166" s="22" t="s">
        <v>2389</v>
      </c>
      <c r="H166" s="34" t="s">
        <v>11</v>
      </c>
      <c r="I166" s="185">
        <v>30000</v>
      </c>
      <c r="J166" s="186">
        <v>2E-3</v>
      </c>
      <c r="K166" s="187"/>
      <c r="L166" s="188"/>
      <c r="M166" s="189" t="s">
        <v>18</v>
      </c>
      <c r="N166" s="189" t="s">
        <v>74</v>
      </c>
      <c r="O166" s="190" t="s">
        <v>2584</v>
      </c>
      <c r="P166" s="35">
        <v>45880</v>
      </c>
      <c r="Q166" s="22"/>
    </row>
    <row r="167" spans="1:17" s="234" customFormat="1" ht="60">
      <c r="A167" s="27" t="s">
        <v>59</v>
      </c>
      <c r="B167" s="201">
        <v>8052</v>
      </c>
      <c r="C167" s="183" t="s">
        <v>33</v>
      </c>
      <c r="D167" s="184">
        <v>13782</v>
      </c>
      <c r="E167" s="26">
        <v>45870</v>
      </c>
      <c r="F167" s="26">
        <v>45900</v>
      </c>
      <c r="G167" s="22" t="s">
        <v>2807</v>
      </c>
      <c r="H167" s="34" t="s">
        <v>11</v>
      </c>
      <c r="I167" s="185">
        <v>10000</v>
      </c>
      <c r="J167" s="186">
        <v>1.2E-2</v>
      </c>
      <c r="K167" s="187"/>
      <c r="L167" s="188"/>
      <c r="M167" s="189" t="s">
        <v>168</v>
      </c>
      <c r="N167" s="189" t="s">
        <v>73</v>
      </c>
      <c r="O167" s="190" t="s">
        <v>2585</v>
      </c>
      <c r="P167" s="35">
        <v>45880</v>
      </c>
      <c r="Q167" s="22"/>
    </row>
    <row r="168" spans="1:17" s="234" customFormat="1" ht="45">
      <c r="A168" s="27" t="s">
        <v>58</v>
      </c>
      <c r="B168" s="201">
        <v>8053</v>
      </c>
      <c r="C168" s="183" t="s">
        <v>33</v>
      </c>
      <c r="D168" s="184">
        <v>13782</v>
      </c>
      <c r="E168" s="26">
        <v>45870</v>
      </c>
      <c r="F168" s="26">
        <v>45900</v>
      </c>
      <c r="G168" s="22" t="s">
        <v>2398</v>
      </c>
      <c r="H168" s="34" t="s">
        <v>11</v>
      </c>
      <c r="I168" s="185">
        <v>10000</v>
      </c>
      <c r="J168" s="186">
        <v>0.04</v>
      </c>
      <c r="K168" s="187"/>
      <c r="L168" s="188"/>
      <c r="M168" s="189" t="s">
        <v>168</v>
      </c>
      <c r="N168" s="189" t="s">
        <v>73</v>
      </c>
      <c r="O168" s="190" t="s">
        <v>194</v>
      </c>
      <c r="P168" s="35">
        <v>45880</v>
      </c>
      <c r="Q168" s="22"/>
    </row>
    <row r="169" spans="1:17" s="234" customFormat="1" ht="60">
      <c r="A169" s="27" t="s">
        <v>59</v>
      </c>
      <c r="B169" s="201">
        <v>8054</v>
      </c>
      <c r="C169" s="183" t="s">
        <v>33</v>
      </c>
      <c r="D169" s="184">
        <v>13782</v>
      </c>
      <c r="E169" s="26">
        <v>45870</v>
      </c>
      <c r="F169" s="26">
        <v>45900</v>
      </c>
      <c r="G169" s="22" t="s">
        <v>2587</v>
      </c>
      <c r="H169" s="34" t="s">
        <v>11</v>
      </c>
      <c r="I169" s="185">
        <v>10000</v>
      </c>
      <c r="J169" s="186">
        <v>1.6E-2</v>
      </c>
      <c r="K169" s="187"/>
      <c r="L169" s="188"/>
      <c r="M169" s="189" t="s">
        <v>168</v>
      </c>
      <c r="N169" s="189" t="s">
        <v>73</v>
      </c>
      <c r="O169" s="190" t="s">
        <v>2586</v>
      </c>
      <c r="P169" s="35">
        <v>45880</v>
      </c>
      <c r="Q169" s="22"/>
    </row>
    <row r="170" spans="1:17" s="234" customFormat="1" ht="75">
      <c r="A170" s="27" t="s">
        <v>59</v>
      </c>
      <c r="B170" s="201">
        <v>8055</v>
      </c>
      <c r="C170" s="183" t="s">
        <v>33</v>
      </c>
      <c r="D170" s="184" t="s">
        <v>2247</v>
      </c>
      <c r="E170" s="26">
        <v>45870</v>
      </c>
      <c r="F170" s="26">
        <v>45900</v>
      </c>
      <c r="G170" s="22" t="s">
        <v>2767</v>
      </c>
      <c r="H170" s="34" t="s">
        <v>11</v>
      </c>
      <c r="I170" s="185">
        <v>0.01</v>
      </c>
      <c r="J170" s="186">
        <v>3.0000000000000001E-3</v>
      </c>
      <c r="K170" s="187"/>
      <c r="L170" s="188"/>
      <c r="M170" s="189" t="s">
        <v>27</v>
      </c>
      <c r="N170" s="189" t="s">
        <v>173</v>
      </c>
      <c r="O170" s="190" t="s">
        <v>2588</v>
      </c>
      <c r="P170" s="35">
        <v>45880</v>
      </c>
      <c r="Q170" s="22"/>
    </row>
    <row r="171" spans="1:17" s="234" customFormat="1" ht="75">
      <c r="A171" s="27" t="s">
        <v>58</v>
      </c>
      <c r="B171" s="201">
        <v>8056</v>
      </c>
      <c r="C171" s="183" t="s">
        <v>33</v>
      </c>
      <c r="D171" s="184">
        <v>5804</v>
      </c>
      <c r="E171" s="26">
        <v>45870</v>
      </c>
      <c r="F171" s="26">
        <v>45900</v>
      </c>
      <c r="G171" s="22" t="s">
        <v>2589</v>
      </c>
      <c r="H171" s="34" t="s">
        <v>11</v>
      </c>
      <c r="I171" s="185">
        <v>0.01</v>
      </c>
      <c r="J171" s="186">
        <v>5.0000000000000001E-3</v>
      </c>
      <c r="K171" s="187"/>
      <c r="L171" s="188"/>
      <c r="M171" s="189" t="s">
        <v>27</v>
      </c>
      <c r="N171" s="189" t="s">
        <v>173</v>
      </c>
      <c r="O171" s="190" t="s">
        <v>2588</v>
      </c>
      <c r="P171" s="35">
        <v>45880</v>
      </c>
      <c r="Q171" s="22"/>
    </row>
    <row r="172" spans="1:17" s="234" customFormat="1" ht="75">
      <c r="A172" s="27" t="s">
        <v>58</v>
      </c>
      <c r="B172" s="201">
        <v>8058</v>
      </c>
      <c r="C172" s="183" t="s">
        <v>33</v>
      </c>
      <c r="D172" s="184" t="s">
        <v>1103</v>
      </c>
      <c r="E172" s="26">
        <v>45870</v>
      </c>
      <c r="F172" s="26">
        <v>45900</v>
      </c>
      <c r="G172" s="22" t="s">
        <v>2414</v>
      </c>
      <c r="H172" s="34" t="s">
        <v>11</v>
      </c>
      <c r="I172" s="185">
        <v>0.01</v>
      </c>
      <c r="J172" s="186">
        <v>3.5000000000000003E-2</v>
      </c>
      <c r="K172" s="187"/>
      <c r="L172" s="188"/>
      <c r="M172" s="189" t="s">
        <v>27</v>
      </c>
      <c r="N172" s="189" t="s">
        <v>173</v>
      </c>
      <c r="O172" s="190" t="s">
        <v>2588</v>
      </c>
      <c r="P172" s="35">
        <v>45880</v>
      </c>
      <c r="Q172" s="22"/>
    </row>
    <row r="173" spans="1:17" s="234" customFormat="1" ht="75">
      <c r="A173" s="27" t="s">
        <v>58</v>
      </c>
      <c r="B173" s="201">
        <v>8059</v>
      </c>
      <c r="C173" s="183" t="s">
        <v>33</v>
      </c>
      <c r="D173" s="184" t="s">
        <v>1103</v>
      </c>
      <c r="E173" s="26">
        <v>45870</v>
      </c>
      <c r="F173" s="26">
        <v>45900</v>
      </c>
      <c r="G173" s="22" t="s">
        <v>2864</v>
      </c>
      <c r="H173" s="34" t="s">
        <v>11</v>
      </c>
      <c r="I173" s="185">
        <v>0.01</v>
      </c>
      <c r="J173" s="186">
        <v>0.01</v>
      </c>
      <c r="K173" s="187"/>
      <c r="L173" s="188"/>
      <c r="M173" s="189" t="s">
        <v>27</v>
      </c>
      <c r="N173" s="189" t="s">
        <v>173</v>
      </c>
      <c r="O173" s="190" t="s">
        <v>2588</v>
      </c>
      <c r="P173" s="35">
        <v>45880</v>
      </c>
      <c r="Q173" s="22"/>
    </row>
    <row r="174" spans="1:17" s="234" customFormat="1" ht="75">
      <c r="A174" s="27" t="s">
        <v>58</v>
      </c>
      <c r="B174" s="201">
        <v>8060</v>
      </c>
      <c r="C174" s="183" t="s">
        <v>33</v>
      </c>
      <c r="D174" s="184" t="s">
        <v>1103</v>
      </c>
      <c r="E174" s="26">
        <v>45870</v>
      </c>
      <c r="F174" s="26">
        <v>45900</v>
      </c>
      <c r="G174" s="22" t="s">
        <v>2865</v>
      </c>
      <c r="H174" s="34" t="s">
        <v>11</v>
      </c>
      <c r="I174" s="185">
        <v>0.01</v>
      </c>
      <c r="J174" s="186">
        <v>7.4999999999999997E-3</v>
      </c>
      <c r="K174" s="187"/>
      <c r="L174" s="188"/>
      <c r="M174" s="189" t="s">
        <v>27</v>
      </c>
      <c r="N174" s="189" t="s">
        <v>173</v>
      </c>
      <c r="O174" s="190" t="s">
        <v>2588</v>
      </c>
      <c r="P174" s="35">
        <v>45880</v>
      </c>
      <c r="Q174" s="22"/>
    </row>
    <row r="175" spans="1:17" s="234" customFormat="1" ht="75">
      <c r="A175" s="27" t="s">
        <v>59</v>
      </c>
      <c r="B175" s="201">
        <v>8061</v>
      </c>
      <c r="C175" s="183" t="s">
        <v>33</v>
      </c>
      <c r="D175" s="184" t="s">
        <v>2247</v>
      </c>
      <c r="E175" s="26">
        <v>45870</v>
      </c>
      <c r="F175" s="26">
        <v>45900</v>
      </c>
      <c r="G175" s="22" t="s">
        <v>2767</v>
      </c>
      <c r="H175" s="34" t="s">
        <v>11</v>
      </c>
      <c r="I175" s="185">
        <v>0.01</v>
      </c>
      <c r="J175" s="186">
        <v>3.0000000000000001E-3</v>
      </c>
      <c r="K175" s="187"/>
      <c r="L175" s="188"/>
      <c r="M175" s="189" t="s">
        <v>27</v>
      </c>
      <c r="N175" s="189" t="s">
        <v>173</v>
      </c>
      <c r="O175" s="190" t="s">
        <v>2588</v>
      </c>
      <c r="P175" s="35">
        <v>45880</v>
      </c>
      <c r="Q175" s="22"/>
    </row>
    <row r="176" spans="1:17" s="234" customFormat="1" ht="75">
      <c r="A176" s="27" t="s">
        <v>58</v>
      </c>
      <c r="B176" s="201">
        <v>8062</v>
      </c>
      <c r="C176" s="183" t="s">
        <v>33</v>
      </c>
      <c r="D176" s="184" t="s">
        <v>2247</v>
      </c>
      <c r="E176" s="26">
        <v>45870</v>
      </c>
      <c r="F176" s="26">
        <v>45900</v>
      </c>
      <c r="G176" s="22" t="s">
        <v>2590</v>
      </c>
      <c r="H176" s="34" t="s">
        <v>11</v>
      </c>
      <c r="I176" s="185">
        <v>0.01</v>
      </c>
      <c r="J176" s="186">
        <v>2E-3</v>
      </c>
      <c r="K176" s="187"/>
      <c r="L176" s="188"/>
      <c r="M176" s="189" t="s">
        <v>27</v>
      </c>
      <c r="N176" s="189" t="s">
        <v>173</v>
      </c>
      <c r="O176" s="190" t="s">
        <v>2588</v>
      </c>
      <c r="P176" s="35">
        <v>45880</v>
      </c>
      <c r="Q176" s="22"/>
    </row>
    <row r="177" spans="1:17" s="234" customFormat="1" ht="75">
      <c r="A177" s="27" t="s">
        <v>58</v>
      </c>
      <c r="B177" s="201">
        <v>8063</v>
      </c>
      <c r="C177" s="183" t="s">
        <v>33</v>
      </c>
      <c r="D177" s="184" t="s">
        <v>1103</v>
      </c>
      <c r="E177" s="26">
        <v>45870</v>
      </c>
      <c r="F177" s="26">
        <v>45900</v>
      </c>
      <c r="G177" s="22" t="s">
        <v>2843</v>
      </c>
      <c r="H177" s="34" t="s">
        <v>11</v>
      </c>
      <c r="I177" s="185">
        <v>0.01</v>
      </c>
      <c r="J177" s="186">
        <v>2E-3</v>
      </c>
      <c r="K177" s="187"/>
      <c r="L177" s="188"/>
      <c r="M177" s="189" t="s">
        <v>27</v>
      </c>
      <c r="N177" s="189" t="s">
        <v>173</v>
      </c>
      <c r="O177" s="190" t="s">
        <v>2588</v>
      </c>
      <c r="P177" s="35">
        <v>45880</v>
      </c>
      <c r="Q177" s="22"/>
    </row>
    <row r="178" spans="1:17" s="234" customFormat="1" ht="45">
      <c r="A178" s="27" t="s">
        <v>58</v>
      </c>
      <c r="B178" s="201">
        <v>8083</v>
      </c>
      <c r="C178" s="183" t="s">
        <v>33</v>
      </c>
      <c r="D178" s="184" t="s">
        <v>395</v>
      </c>
      <c r="E178" s="26">
        <v>45870</v>
      </c>
      <c r="F178" s="26">
        <v>45900</v>
      </c>
      <c r="G178" s="22" t="s">
        <v>2592</v>
      </c>
      <c r="H178" s="34" t="s">
        <v>11</v>
      </c>
      <c r="I178" s="185">
        <v>0.01</v>
      </c>
      <c r="J178" s="186">
        <v>2E-3</v>
      </c>
      <c r="K178" s="187"/>
      <c r="L178" s="188"/>
      <c r="M178" s="189" t="s">
        <v>30</v>
      </c>
      <c r="N178" s="189" t="s">
        <v>82</v>
      </c>
      <c r="O178" s="190" t="s">
        <v>2591</v>
      </c>
      <c r="P178" s="35">
        <v>45880</v>
      </c>
      <c r="Q178" s="22"/>
    </row>
    <row r="179" spans="1:17" s="234" customFormat="1" ht="45">
      <c r="A179" s="27" t="s">
        <v>58</v>
      </c>
      <c r="B179" s="201">
        <v>8082</v>
      </c>
      <c r="C179" s="183" t="s">
        <v>33</v>
      </c>
      <c r="D179" s="184" t="s">
        <v>395</v>
      </c>
      <c r="E179" s="26">
        <v>45870</v>
      </c>
      <c r="F179" s="26">
        <v>45900</v>
      </c>
      <c r="G179" s="22" t="s">
        <v>2593</v>
      </c>
      <c r="H179" s="34" t="s">
        <v>11</v>
      </c>
      <c r="I179" s="185">
        <v>0.01</v>
      </c>
      <c r="J179" s="186">
        <v>2E-3</v>
      </c>
      <c r="K179" s="187"/>
      <c r="L179" s="188"/>
      <c r="M179" s="189" t="s">
        <v>30</v>
      </c>
      <c r="N179" s="189" t="s">
        <v>82</v>
      </c>
      <c r="O179" s="190" t="s">
        <v>2591</v>
      </c>
      <c r="P179" s="35">
        <v>45880</v>
      </c>
      <c r="Q179" s="22"/>
    </row>
    <row r="180" spans="1:17" s="234" customFormat="1" ht="45">
      <c r="A180" s="27" t="s">
        <v>59</v>
      </c>
      <c r="B180" s="201">
        <v>8081</v>
      </c>
      <c r="C180" s="183" t="s">
        <v>33</v>
      </c>
      <c r="D180" s="184">
        <v>11208</v>
      </c>
      <c r="E180" s="26">
        <v>45870</v>
      </c>
      <c r="F180" s="26">
        <v>45900</v>
      </c>
      <c r="G180" s="22" t="s">
        <v>128</v>
      </c>
      <c r="H180" s="34" t="s">
        <v>11</v>
      </c>
      <c r="I180" s="185">
        <v>200</v>
      </c>
      <c r="J180" s="186">
        <v>2.5000000000000001E-3</v>
      </c>
      <c r="K180" s="187"/>
      <c r="L180" s="188"/>
      <c r="M180" s="189" t="s">
        <v>16</v>
      </c>
      <c r="N180" s="189" t="s">
        <v>109</v>
      </c>
      <c r="O180" s="190" t="s">
        <v>2594</v>
      </c>
      <c r="P180" s="35">
        <v>45880</v>
      </c>
      <c r="Q180" s="22"/>
    </row>
    <row r="181" spans="1:17" s="234" customFormat="1" ht="45">
      <c r="A181" s="27" t="s">
        <v>59</v>
      </c>
      <c r="B181" s="201">
        <v>8080</v>
      </c>
      <c r="C181" s="183" t="s">
        <v>33</v>
      </c>
      <c r="D181" s="184">
        <v>11208</v>
      </c>
      <c r="E181" s="26">
        <v>45870</v>
      </c>
      <c r="F181" s="26">
        <v>45900</v>
      </c>
      <c r="G181" s="22" t="s">
        <v>127</v>
      </c>
      <c r="H181" s="34" t="s">
        <v>11</v>
      </c>
      <c r="I181" s="185">
        <v>200</v>
      </c>
      <c r="J181" s="186">
        <v>2.5000000000000001E-3</v>
      </c>
      <c r="K181" s="187"/>
      <c r="L181" s="188"/>
      <c r="M181" s="189" t="s">
        <v>16</v>
      </c>
      <c r="N181" s="189" t="s">
        <v>109</v>
      </c>
      <c r="O181" s="190" t="s">
        <v>2594</v>
      </c>
      <c r="P181" s="35">
        <v>45880</v>
      </c>
      <c r="Q181" s="22"/>
    </row>
    <row r="182" spans="1:17" s="234" customFormat="1" ht="45">
      <c r="A182" s="27" t="s">
        <v>59</v>
      </c>
      <c r="B182" s="201">
        <v>8079</v>
      </c>
      <c r="C182" s="183" t="s">
        <v>33</v>
      </c>
      <c r="D182" s="184">
        <v>4735</v>
      </c>
      <c r="E182" s="26">
        <v>45870</v>
      </c>
      <c r="F182" s="26">
        <v>45900</v>
      </c>
      <c r="G182" s="22" t="s">
        <v>128</v>
      </c>
      <c r="H182" s="34" t="s">
        <v>11</v>
      </c>
      <c r="I182" s="185">
        <v>1000</v>
      </c>
      <c r="J182" s="186">
        <v>2.5000000000000001E-3</v>
      </c>
      <c r="K182" s="187"/>
      <c r="L182" s="188"/>
      <c r="M182" s="189" t="s">
        <v>16</v>
      </c>
      <c r="N182" s="189" t="s">
        <v>109</v>
      </c>
      <c r="O182" s="190" t="s">
        <v>2594</v>
      </c>
      <c r="P182" s="35">
        <v>45880</v>
      </c>
      <c r="Q182" s="22"/>
    </row>
    <row r="183" spans="1:17" s="234" customFormat="1" ht="45">
      <c r="A183" s="27" t="s">
        <v>59</v>
      </c>
      <c r="B183" s="201">
        <v>8078</v>
      </c>
      <c r="C183" s="183" t="s">
        <v>33</v>
      </c>
      <c r="D183" s="184">
        <v>4735</v>
      </c>
      <c r="E183" s="26">
        <v>45870</v>
      </c>
      <c r="F183" s="26">
        <v>45900</v>
      </c>
      <c r="G183" s="22" t="s">
        <v>127</v>
      </c>
      <c r="H183" s="34" t="s">
        <v>11</v>
      </c>
      <c r="I183" s="185">
        <v>1000</v>
      </c>
      <c r="J183" s="186">
        <v>2.5000000000000001E-3</v>
      </c>
      <c r="K183" s="187"/>
      <c r="L183" s="188"/>
      <c r="M183" s="189" t="s">
        <v>16</v>
      </c>
      <c r="N183" s="189" t="s">
        <v>109</v>
      </c>
      <c r="O183" s="190" t="s">
        <v>2594</v>
      </c>
      <c r="P183" s="35">
        <v>45880</v>
      </c>
      <c r="Q183" s="22"/>
    </row>
    <row r="184" spans="1:17" s="234" customFormat="1" ht="45">
      <c r="A184" s="27" t="s">
        <v>58</v>
      </c>
      <c r="B184" s="201">
        <v>8077</v>
      </c>
      <c r="C184" s="183" t="s">
        <v>33</v>
      </c>
      <c r="D184" s="184">
        <v>13428</v>
      </c>
      <c r="E184" s="26">
        <v>45870</v>
      </c>
      <c r="F184" s="26">
        <v>45900</v>
      </c>
      <c r="G184" s="22" t="s">
        <v>2404</v>
      </c>
      <c r="H184" s="34" t="s">
        <v>11</v>
      </c>
      <c r="I184" s="185">
        <v>50000</v>
      </c>
      <c r="J184" s="186">
        <v>3.0000000000000001E-3</v>
      </c>
      <c r="K184" s="187"/>
      <c r="L184" s="188"/>
      <c r="M184" s="189" t="s">
        <v>18</v>
      </c>
      <c r="N184" s="189" t="s">
        <v>83</v>
      </c>
      <c r="O184" s="190" t="s">
        <v>2595</v>
      </c>
      <c r="P184" s="35">
        <v>45880</v>
      </c>
      <c r="Q184" s="22"/>
    </row>
    <row r="185" spans="1:17" s="234" customFormat="1" ht="60">
      <c r="A185" s="27" t="s">
        <v>59</v>
      </c>
      <c r="B185" s="201">
        <v>8076</v>
      </c>
      <c r="C185" s="183" t="s">
        <v>33</v>
      </c>
      <c r="D185" s="184" t="s">
        <v>2325</v>
      </c>
      <c r="E185" s="26">
        <v>45870</v>
      </c>
      <c r="F185" s="26">
        <v>45899</v>
      </c>
      <c r="G185" s="22" t="s">
        <v>2774</v>
      </c>
      <c r="H185" s="34" t="s">
        <v>11</v>
      </c>
      <c r="I185" s="185">
        <v>0.01</v>
      </c>
      <c r="J185" s="186">
        <v>2.5000000000000001E-3</v>
      </c>
      <c r="K185" s="187"/>
      <c r="L185" s="188"/>
      <c r="M185" s="189" t="s">
        <v>32</v>
      </c>
      <c r="N185" s="189" t="s">
        <v>80</v>
      </c>
      <c r="O185" s="190" t="s">
        <v>2596</v>
      </c>
      <c r="P185" s="35">
        <v>45882</v>
      </c>
      <c r="Q185" s="22"/>
    </row>
    <row r="186" spans="1:17" s="234" customFormat="1" ht="60">
      <c r="A186" s="27" t="s">
        <v>59</v>
      </c>
      <c r="B186" s="201">
        <v>8075</v>
      </c>
      <c r="C186" s="183" t="s">
        <v>33</v>
      </c>
      <c r="D186" s="184" t="s">
        <v>2724</v>
      </c>
      <c r="E186" s="26">
        <v>45870</v>
      </c>
      <c r="F186" s="26">
        <v>45899</v>
      </c>
      <c r="G186" s="22" t="s">
        <v>107</v>
      </c>
      <c r="H186" s="34" t="s">
        <v>11</v>
      </c>
      <c r="I186" s="185">
        <v>0.01</v>
      </c>
      <c r="J186" s="186">
        <v>5.0000000000000001E-3</v>
      </c>
      <c r="K186" s="187"/>
      <c r="L186" s="188"/>
      <c r="M186" s="189" t="s">
        <v>32</v>
      </c>
      <c r="N186" s="189" t="s">
        <v>80</v>
      </c>
      <c r="O186" s="190" t="s">
        <v>1735</v>
      </c>
      <c r="P186" s="35">
        <v>45882</v>
      </c>
      <c r="Q186" s="22" t="s">
        <v>2761</v>
      </c>
    </row>
    <row r="187" spans="1:17" s="234" customFormat="1">
      <c r="A187" s="27" t="s">
        <v>59</v>
      </c>
      <c r="B187" s="201">
        <v>8074</v>
      </c>
      <c r="C187" s="183" t="s">
        <v>33</v>
      </c>
      <c r="D187" s="184">
        <v>17309</v>
      </c>
      <c r="E187" s="26">
        <v>45870</v>
      </c>
      <c r="F187" s="26">
        <v>45900</v>
      </c>
      <c r="G187" s="22" t="s">
        <v>107</v>
      </c>
      <c r="H187" s="34" t="s">
        <v>11</v>
      </c>
      <c r="I187" s="185">
        <v>10000</v>
      </c>
      <c r="J187" s="186">
        <v>7.4999999999999997E-3</v>
      </c>
      <c r="K187" s="187"/>
      <c r="L187" s="188"/>
      <c r="M187" s="189" t="s">
        <v>168</v>
      </c>
      <c r="N187" s="189" t="s">
        <v>73</v>
      </c>
      <c r="O187" s="190">
        <v>1752186</v>
      </c>
      <c r="P187" s="35">
        <v>45883</v>
      </c>
      <c r="Q187" s="22"/>
    </row>
    <row r="188" spans="1:17" s="234" customFormat="1" ht="30">
      <c r="A188" s="27" t="s">
        <v>59</v>
      </c>
      <c r="B188" s="201">
        <v>8073</v>
      </c>
      <c r="C188" s="183" t="s">
        <v>33</v>
      </c>
      <c r="D188" s="184">
        <v>18118</v>
      </c>
      <c r="E188" s="26">
        <v>45870</v>
      </c>
      <c r="F188" s="26">
        <v>45899</v>
      </c>
      <c r="G188" s="22" t="s">
        <v>2817</v>
      </c>
      <c r="H188" s="34" t="s">
        <v>11</v>
      </c>
      <c r="I188" s="185">
        <v>1000</v>
      </c>
      <c r="J188" s="186">
        <v>2E-3</v>
      </c>
      <c r="K188" s="187"/>
      <c r="L188" s="188"/>
      <c r="M188" s="189" t="s">
        <v>30</v>
      </c>
      <c r="N188" s="189" t="s">
        <v>87</v>
      </c>
      <c r="O188" s="190">
        <v>1751077</v>
      </c>
      <c r="P188" s="35">
        <v>45882</v>
      </c>
      <c r="Q188" s="22"/>
    </row>
    <row r="189" spans="1:17" s="234" customFormat="1" ht="30">
      <c r="A189" s="27" t="s">
        <v>59</v>
      </c>
      <c r="B189" s="201">
        <v>8072</v>
      </c>
      <c r="C189" s="183" t="s">
        <v>33</v>
      </c>
      <c r="D189" s="184" t="s">
        <v>2597</v>
      </c>
      <c r="E189" s="26">
        <v>45870</v>
      </c>
      <c r="F189" s="26">
        <v>45900</v>
      </c>
      <c r="G189" s="22" t="s">
        <v>107</v>
      </c>
      <c r="H189" s="34" t="s">
        <v>11</v>
      </c>
      <c r="I189" s="185">
        <v>0.01</v>
      </c>
      <c r="J189" s="224">
        <v>6.4999999999999997E-3</v>
      </c>
      <c r="K189" s="187"/>
      <c r="L189" s="188"/>
      <c r="M189" s="189" t="s">
        <v>20</v>
      </c>
      <c r="N189" s="189" t="s">
        <v>217</v>
      </c>
      <c r="O189" s="190">
        <v>1751028</v>
      </c>
      <c r="P189" s="35">
        <v>45882</v>
      </c>
      <c r="Q189" s="22" t="s">
        <v>2762</v>
      </c>
    </row>
    <row r="190" spans="1:17" s="234" customFormat="1" ht="30">
      <c r="A190" s="27" t="s">
        <v>59</v>
      </c>
      <c r="B190" s="201">
        <v>8071</v>
      </c>
      <c r="C190" s="183" t="s">
        <v>33</v>
      </c>
      <c r="D190" s="184">
        <v>13711</v>
      </c>
      <c r="E190" s="26">
        <v>45870</v>
      </c>
      <c r="F190" s="26">
        <v>45900</v>
      </c>
      <c r="G190" s="22" t="s">
        <v>107</v>
      </c>
      <c r="H190" s="34" t="s">
        <v>11</v>
      </c>
      <c r="I190" s="185">
        <v>0.01</v>
      </c>
      <c r="J190" s="186">
        <v>2.5000000000000001E-3</v>
      </c>
      <c r="K190" s="187"/>
      <c r="L190" s="188"/>
      <c r="M190" s="189" t="s">
        <v>15</v>
      </c>
      <c r="N190" s="189" t="s">
        <v>172</v>
      </c>
      <c r="O190" s="190">
        <v>1750605</v>
      </c>
      <c r="P190" s="35">
        <v>45882</v>
      </c>
      <c r="Q190" s="22"/>
    </row>
    <row r="191" spans="1:17" s="234" customFormat="1" ht="30">
      <c r="A191" s="27" t="s">
        <v>58</v>
      </c>
      <c r="B191" s="201">
        <v>8070</v>
      </c>
      <c r="C191" s="183" t="s">
        <v>33</v>
      </c>
      <c r="D191" s="184" t="s">
        <v>196</v>
      </c>
      <c r="E191" s="26">
        <v>45870</v>
      </c>
      <c r="F191" s="26">
        <v>45900</v>
      </c>
      <c r="G191" s="22" t="s">
        <v>2404</v>
      </c>
      <c r="H191" s="34" t="s">
        <v>11</v>
      </c>
      <c r="I191" s="185">
        <v>300000</v>
      </c>
      <c r="J191" s="186">
        <v>1.5E-3</v>
      </c>
      <c r="K191" s="187"/>
      <c r="L191" s="188"/>
      <c r="M191" s="189" t="s">
        <v>32</v>
      </c>
      <c r="N191" s="189" t="s">
        <v>80</v>
      </c>
      <c r="O191" s="190">
        <v>1750602</v>
      </c>
      <c r="P191" s="35">
        <v>45882</v>
      </c>
      <c r="Q191" s="22" t="s">
        <v>2756</v>
      </c>
    </row>
    <row r="192" spans="1:17" s="234" customFormat="1">
      <c r="A192" s="27" t="s">
        <v>58</v>
      </c>
      <c r="B192" s="201">
        <v>8069</v>
      </c>
      <c r="C192" s="183" t="s">
        <v>33</v>
      </c>
      <c r="D192" s="184">
        <v>6887</v>
      </c>
      <c r="E192" s="26">
        <v>45870</v>
      </c>
      <c r="F192" s="26">
        <v>45900</v>
      </c>
      <c r="G192" s="22" t="s">
        <v>2599</v>
      </c>
      <c r="H192" s="34" t="s">
        <v>11</v>
      </c>
      <c r="I192" s="185">
        <v>0.01</v>
      </c>
      <c r="J192" s="186">
        <v>5.0000000000000001E-3</v>
      </c>
      <c r="K192" s="187"/>
      <c r="L192" s="188"/>
      <c r="M192" s="189" t="s">
        <v>18</v>
      </c>
      <c r="N192" s="189" t="s">
        <v>83</v>
      </c>
      <c r="O192" s="190">
        <v>1750594</v>
      </c>
      <c r="P192" s="35">
        <v>45882</v>
      </c>
      <c r="Q192" s="22"/>
    </row>
    <row r="193" spans="1:17" s="234" customFormat="1" ht="45">
      <c r="A193" s="27" t="s">
        <v>59</v>
      </c>
      <c r="B193" s="201">
        <v>8068</v>
      </c>
      <c r="C193" s="183" t="s">
        <v>33</v>
      </c>
      <c r="D193" s="184">
        <v>15980</v>
      </c>
      <c r="E193" s="26">
        <v>45870</v>
      </c>
      <c r="F193" s="26">
        <v>45900</v>
      </c>
      <c r="G193" s="22" t="s">
        <v>2867</v>
      </c>
      <c r="H193" s="34" t="s">
        <v>11</v>
      </c>
      <c r="I193" s="185">
        <v>0.01</v>
      </c>
      <c r="J193" s="186" t="s">
        <v>2598</v>
      </c>
      <c r="K193" s="187"/>
      <c r="L193" s="188"/>
      <c r="M193" s="189" t="s">
        <v>168</v>
      </c>
      <c r="N193" s="189" t="s">
        <v>65</v>
      </c>
      <c r="O193" s="190">
        <v>1750551</v>
      </c>
      <c r="P193" s="35">
        <v>45882</v>
      </c>
      <c r="Q193" s="22"/>
    </row>
    <row r="194" spans="1:17" s="234" customFormat="1">
      <c r="A194" s="27" t="s">
        <v>59</v>
      </c>
      <c r="B194" s="201">
        <v>8067</v>
      </c>
      <c r="C194" s="183" t="s">
        <v>33</v>
      </c>
      <c r="D194" s="184">
        <v>15980</v>
      </c>
      <c r="E194" s="26">
        <v>45870</v>
      </c>
      <c r="F194" s="26">
        <v>45900</v>
      </c>
      <c r="G194" s="22" t="s">
        <v>107</v>
      </c>
      <c r="H194" s="34" t="s">
        <v>11</v>
      </c>
      <c r="I194" s="185">
        <v>0.01</v>
      </c>
      <c r="J194" s="186">
        <v>7.4999999999999997E-3</v>
      </c>
      <c r="K194" s="187"/>
      <c r="L194" s="188"/>
      <c r="M194" s="189" t="s">
        <v>168</v>
      </c>
      <c r="N194" s="189" t="s">
        <v>65</v>
      </c>
      <c r="O194" s="190">
        <v>1750533</v>
      </c>
      <c r="P194" s="35">
        <v>45882</v>
      </c>
      <c r="Q194" s="22"/>
    </row>
    <row r="195" spans="1:17" s="234" customFormat="1">
      <c r="A195" s="27" t="s">
        <v>59</v>
      </c>
      <c r="B195" s="201">
        <v>8066</v>
      </c>
      <c r="C195" s="183" t="s">
        <v>33</v>
      </c>
      <c r="D195" s="184">
        <v>17743</v>
      </c>
      <c r="E195" s="26">
        <v>45870</v>
      </c>
      <c r="F195" s="26">
        <v>45900</v>
      </c>
      <c r="G195" s="22" t="s">
        <v>107</v>
      </c>
      <c r="H195" s="34" t="s">
        <v>11</v>
      </c>
      <c r="I195" s="185">
        <v>0.01</v>
      </c>
      <c r="J195" s="186">
        <v>5.0000000000000001E-3</v>
      </c>
      <c r="K195" s="187"/>
      <c r="L195" s="188"/>
      <c r="M195" s="189" t="s">
        <v>168</v>
      </c>
      <c r="N195" s="189" t="s">
        <v>65</v>
      </c>
      <c r="O195" s="190">
        <v>1750519</v>
      </c>
      <c r="P195" s="35">
        <v>45882</v>
      </c>
      <c r="Q195" s="22"/>
    </row>
    <row r="196" spans="1:17" s="234" customFormat="1" ht="30">
      <c r="A196" s="27" t="s">
        <v>58</v>
      </c>
      <c r="B196" s="201">
        <v>8065</v>
      </c>
      <c r="C196" s="183" t="s">
        <v>33</v>
      </c>
      <c r="D196" s="184" t="s">
        <v>2725</v>
      </c>
      <c r="E196" s="26">
        <v>45870</v>
      </c>
      <c r="F196" s="26">
        <v>45900</v>
      </c>
      <c r="G196" s="22" t="s">
        <v>2404</v>
      </c>
      <c r="H196" s="34" t="s">
        <v>11</v>
      </c>
      <c r="I196" s="185">
        <v>0.01</v>
      </c>
      <c r="J196" s="186">
        <v>2.5000000000000001E-3</v>
      </c>
      <c r="K196" s="187"/>
      <c r="L196" s="188"/>
      <c r="M196" s="189" t="s">
        <v>32</v>
      </c>
      <c r="N196" s="189" t="s">
        <v>80</v>
      </c>
      <c r="O196" s="190">
        <v>1750471</v>
      </c>
      <c r="P196" s="35">
        <v>45882</v>
      </c>
      <c r="Q196" s="22" t="s">
        <v>2757</v>
      </c>
    </row>
    <row r="197" spans="1:17" s="234" customFormat="1">
      <c r="A197" s="27" t="s">
        <v>59</v>
      </c>
      <c r="B197" s="201">
        <v>8064</v>
      </c>
      <c r="C197" s="183" t="s">
        <v>33</v>
      </c>
      <c r="D197" s="184">
        <v>14993</v>
      </c>
      <c r="E197" s="26">
        <v>45870</v>
      </c>
      <c r="F197" s="26">
        <v>45900</v>
      </c>
      <c r="G197" s="22" t="s">
        <v>107</v>
      </c>
      <c r="H197" s="34" t="s">
        <v>11</v>
      </c>
      <c r="I197" s="185">
        <v>0.01</v>
      </c>
      <c r="J197" s="186">
        <v>7.4999999999999997E-3</v>
      </c>
      <c r="K197" s="187"/>
      <c r="L197" s="188"/>
      <c r="M197" s="189" t="s">
        <v>168</v>
      </c>
      <c r="N197" s="189" t="s">
        <v>65</v>
      </c>
      <c r="O197" s="190">
        <v>1750460</v>
      </c>
      <c r="P197" s="35">
        <v>45882</v>
      </c>
      <c r="Q197" s="22"/>
    </row>
    <row r="198" spans="1:17" s="234" customFormat="1" ht="60">
      <c r="A198" s="27" t="s">
        <v>59</v>
      </c>
      <c r="B198" s="201">
        <v>8084</v>
      </c>
      <c r="C198" s="183" t="s">
        <v>33</v>
      </c>
      <c r="D198" s="184">
        <v>8687</v>
      </c>
      <c r="E198" s="26">
        <v>45870</v>
      </c>
      <c r="F198" s="26">
        <v>45900</v>
      </c>
      <c r="G198" s="22" t="s">
        <v>128</v>
      </c>
      <c r="H198" s="34" t="s">
        <v>11</v>
      </c>
      <c r="I198" s="185">
        <v>0.01</v>
      </c>
      <c r="J198" s="186">
        <v>1E-3</v>
      </c>
      <c r="K198" s="187"/>
      <c r="L198" s="188"/>
      <c r="M198" s="189" t="s">
        <v>46</v>
      </c>
      <c r="N198" s="189" t="s">
        <v>77</v>
      </c>
      <c r="O198" s="190" t="s">
        <v>2600</v>
      </c>
      <c r="P198" s="35">
        <v>45880</v>
      </c>
      <c r="Q198" s="22"/>
    </row>
    <row r="199" spans="1:17" s="234" customFormat="1" ht="60">
      <c r="A199" s="27" t="s">
        <v>58</v>
      </c>
      <c r="B199" s="201">
        <v>8085</v>
      </c>
      <c r="C199" s="183" t="s">
        <v>33</v>
      </c>
      <c r="D199" s="184">
        <v>10461</v>
      </c>
      <c r="E199" s="26">
        <v>45870</v>
      </c>
      <c r="F199" s="26">
        <v>45900</v>
      </c>
      <c r="G199" s="22" t="s">
        <v>540</v>
      </c>
      <c r="H199" s="34" t="s">
        <v>11</v>
      </c>
      <c r="I199" s="185">
        <v>0.01</v>
      </c>
      <c r="J199" s="186">
        <v>0.01</v>
      </c>
      <c r="K199" s="187"/>
      <c r="L199" s="188"/>
      <c r="M199" s="189" t="s">
        <v>46</v>
      </c>
      <c r="N199" s="189" t="s">
        <v>77</v>
      </c>
      <c r="O199" s="190" t="s">
        <v>2600</v>
      </c>
      <c r="P199" s="35">
        <v>45880</v>
      </c>
      <c r="Q199" s="22"/>
    </row>
    <row r="200" spans="1:17" s="234" customFormat="1" ht="60">
      <c r="A200" s="27" t="s">
        <v>58</v>
      </c>
      <c r="B200" s="201">
        <v>8086</v>
      </c>
      <c r="C200" s="183" t="s">
        <v>33</v>
      </c>
      <c r="D200" s="184">
        <v>12385</v>
      </c>
      <c r="E200" s="26">
        <v>45870</v>
      </c>
      <c r="F200" s="26">
        <v>45900</v>
      </c>
      <c r="G200" s="22" t="s">
        <v>540</v>
      </c>
      <c r="H200" s="34" t="s">
        <v>11</v>
      </c>
      <c r="I200" s="185">
        <v>0.01</v>
      </c>
      <c r="J200" s="186">
        <v>0.01</v>
      </c>
      <c r="K200" s="187"/>
      <c r="L200" s="188"/>
      <c r="M200" s="189" t="s">
        <v>46</v>
      </c>
      <c r="N200" s="189" t="s">
        <v>77</v>
      </c>
      <c r="O200" s="190" t="s">
        <v>2600</v>
      </c>
      <c r="P200" s="35">
        <v>45880</v>
      </c>
      <c r="Q200" s="22"/>
    </row>
    <row r="201" spans="1:17" s="234" customFormat="1" ht="60">
      <c r="A201" s="27" t="s">
        <v>59</v>
      </c>
      <c r="B201" s="201">
        <v>8087</v>
      </c>
      <c r="C201" s="183" t="s">
        <v>33</v>
      </c>
      <c r="D201" s="184">
        <v>12385</v>
      </c>
      <c r="E201" s="26">
        <v>45870</v>
      </c>
      <c r="F201" s="26">
        <v>45900</v>
      </c>
      <c r="G201" s="22" t="s">
        <v>128</v>
      </c>
      <c r="H201" s="34" t="s">
        <v>11</v>
      </c>
      <c r="I201" s="185">
        <v>0.01</v>
      </c>
      <c r="J201" s="186">
        <v>5.0000000000000001E-3</v>
      </c>
      <c r="K201" s="187"/>
      <c r="L201" s="188"/>
      <c r="M201" s="189" t="s">
        <v>46</v>
      </c>
      <c r="N201" s="189" t="s">
        <v>77</v>
      </c>
      <c r="O201" s="190" t="s">
        <v>2600</v>
      </c>
      <c r="P201" s="35">
        <v>45880</v>
      </c>
      <c r="Q201" s="22"/>
    </row>
    <row r="202" spans="1:17" s="234" customFormat="1" ht="60">
      <c r="A202" s="27" t="s">
        <v>58</v>
      </c>
      <c r="B202" s="201">
        <v>8088</v>
      </c>
      <c r="C202" s="183" t="s">
        <v>33</v>
      </c>
      <c r="D202" s="184">
        <v>15503</v>
      </c>
      <c r="E202" s="26">
        <v>45870</v>
      </c>
      <c r="F202" s="26">
        <v>45900</v>
      </c>
      <c r="G202" s="22" t="s">
        <v>2620</v>
      </c>
      <c r="H202" s="34" t="s">
        <v>11</v>
      </c>
      <c r="I202" s="185">
        <v>0.01</v>
      </c>
      <c r="J202" s="186">
        <v>7.4999999999999997E-3</v>
      </c>
      <c r="K202" s="187"/>
      <c r="L202" s="188"/>
      <c r="M202" s="189" t="s">
        <v>32</v>
      </c>
      <c r="N202" s="189" t="s">
        <v>67</v>
      </c>
      <c r="O202" s="190" t="s">
        <v>2302</v>
      </c>
      <c r="P202" s="35">
        <v>45883</v>
      </c>
      <c r="Q202" s="22"/>
    </row>
    <row r="203" spans="1:17" s="234" customFormat="1" ht="45">
      <c r="A203" s="27" t="s">
        <v>58</v>
      </c>
      <c r="B203" s="201">
        <v>8089</v>
      </c>
      <c r="C203" s="183" t="s">
        <v>33</v>
      </c>
      <c r="D203" s="184">
        <v>2838</v>
      </c>
      <c r="E203" s="26">
        <v>45870</v>
      </c>
      <c r="F203" s="26">
        <v>45900</v>
      </c>
      <c r="G203" s="22" t="s">
        <v>2775</v>
      </c>
      <c r="H203" s="34" t="s">
        <v>11</v>
      </c>
      <c r="I203" s="185">
        <v>0.01</v>
      </c>
      <c r="J203" s="186">
        <v>0.01</v>
      </c>
      <c r="K203" s="187"/>
      <c r="L203" s="188"/>
      <c r="M203" s="189" t="s">
        <v>29</v>
      </c>
      <c r="N203" s="189" t="s">
        <v>61</v>
      </c>
      <c r="O203" s="190" t="s">
        <v>1969</v>
      </c>
      <c r="P203" s="35">
        <v>45884</v>
      </c>
      <c r="Q203" s="22"/>
    </row>
    <row r="204" spans="1:17" s="234" customFormat="1" ht="45">
      <c r="A204" s="27" t="s">
        <v>58</v>
      </c>
      <c r="B204" s="27">
        <v>8090</v>
      </c>
      <c r="C204" s="183" t="s">
        <v>33</v>
      </c>
      <c r="D204" s="184">
        <v>16303</v>
      </c>
      <c r="E204" s="26">
        <v>45883</v>
      </c>
      <c r="F204" s="26">
        <v>45900</v>
      </c>
      <c r="G204" s="22" t="s">
        <v>2602</v>
      </c>
      <c r="H204" s="34" t="s">
        <v>11</v>
      </c>
      <c r="I204" s="185">
        <v>1000</v>
      </c>
      <c r="J204" s="186">
        <v>3.5000000000000003E-2</v>
      </c>
      <c r="K204" s="187"/>
      <c r="L204" s="188"/>
      <c r="M204" s="189" t="s">
        <v>16</v>
      </c>
      <c r="N204" s="189" t="s">
        <v>78</v>
      </c>
      <c r="O204" s="190" t="s">
        <v>2601</v>
      </c>
      <c r="P204" s="35">
        <v>45884</v>
      </c>
      <c r="Q204" s="202"/>
    </row>
    <row r="205" spans="1:17" s="234" customFormat="1" ht="45">
      <c r="A205" s="27" t="s">
        <v>58</v>
      </c>
      <c r="B205" s="201">
        <v>8091</v>
      </c>
      <c r="C205" s="183" t="s">
        <v>33</v>
      </c>
      <c r="D205" s="184">
        <v>2838</v>
      </c>
      <c r="E205" s="26">
        <v>45870</v>
      </c>
      <c r="F205" s="26">
        <v>45900</v>
      </c>
      <c r="G205" s="22" t="s">
        <v>2775</v>
      </c>
      <c r="H205" s="34" t="s">
        <v>11</v>
      </c>
      <c r="I205" s="185">
        <v>0.01</v>
      </c>
      <c r="J205" s="186">
        <v>0.01</v>
      </c>
      <c r="K205" s="187"/>
      <c r="L205" s="188"/>
      <c r="M205" s="189" t="s">
        <v>29</v>
      </c>
      <c r="N205" s="189" t="s">
        <v>61</v>
      </c>
      <c r="O205" s="190" t="s">
        <v>1969</v>
      </c>
      <c r="P205" s="35">
        <v>45884</v>
      </c>
      <c r="Q205" s="22"/>
    </row>
    <row r="206" spans="1:17" s="234" customFormat="1" ht="45">
      <c r="A206" s="27" t="s">
        <v>59</v>
      </c>
      <c r="B206" s="201">
        <v>8092</v>
      </c>
      <c r="C206" s="183" t="s">
        <v>33</v>
      </c>
      <c r="D206" s="184">
        <v>4097</v>
      </c>
      <c r="E206" s="26">
        <v>45870</v>
      </c>
      <c r="F206" s="26">
        <v>45900</v>
      </c>
      <c r="G206" s="22" t="s">
        <v>2114</v>
      </c>
      <c r="H206" s="34" t="s">
        <v>11</v>
      </c>
      <c r="I206" s="185">
        <v>0.01</v>
      </c>
      <c r="J206" s="186">
        <v>5.0000000000000001E-3</v>
      </c>
      <c r="K206" s="187"/>
      <c r="L206" s="188"/>
      <c r="M206" s="189" t="s">
        <v>95</v>
      </c>
      <c r="N206" s="189" t="s">
        <v>99</v>
      </c>
      <c r="O206" s="190" t="s">
        <v>2603</v>
      </c>
      <c r="P206" s="35">
        <v>45884</v>
      </c>
      <c r="Q206" s="22"/>
    </row>
    <row r="207" spans="1:17" s="234" customFormat="1" ht="60">
      <c r="A207" s="27" t="s">
        <v>58</v>
      </c>
      <c r="B207" s="201">
        <v>8093</v>
      </c>
      <c r="C207" s="183" t="s">
        <v>33</v>
      </c>
      <c r="D207" s="184">
        <v>6142</v>
      </c>
      <c r="E207" s="26">
        <v>45870</v>
      </c>
      <c r="F207" s="26">
        <v>45883</v>
      </c>
      <c r="G207" s="22" t="s">
        <v>2548</v>
      </c>
      <c r="H207" s="34" t="s">
        <v>11</v>
      </c>
      <c r="I207" s="185">
        <v>0.01</v>
      </c>
      <c r="J207" s="186">
        <v>7.0000000000000001E-3</v>
      </c>
      <c r="K207" s="187"/>
      <c r="L207" s="188"/>
      <c r="M207" s="189" t="s">
        <v>32</v>
      </c>
      <c r="N207" s="189" t="s">
        <v>64</v>
      </c>
      <c r="O207" s="190" t="s">
        <v>2604</v>
      </c>
      <c r="P207" s="35">
        <v>45884</v>
      </c>
      <c r="Q207" s="22"/>
    </row>
    <row r="208" spans="1:17" s="234" customFormat="1" ht="60">
      <c r="A208" s="27" t="s">
        <v>58</v>
      </c>
      <c r="B208" s="201">
        <v>8094</v>
      </c>
      <c r="C208" s="183" t="s">
        <v>33</v>
      </c>
      <c r="D208" s="184">
        <v>6142</v>
      </c>
      <c r="E208" s="26">
        <v>45884</v>
      </c>
      <c r="F208" s="26">
        <v>45900</v>
      </c>
      <c r="G208" s="22" t="s">
        <v>2548</v>
      </c>
      <c r="H208" s="34" t="s">
        <v>11</v>
      </c>
      <c r="I208" s="185">
        <v>0.01</v>
      </c>
      <c r="J208" s="186">
        <v>1.2E-2</v>
      </c>
      <c r="K208" s="187"/>
      <c r="L208" s="188"/>
      <c r="M208" s="189" t="s">
        <v>32</v>
      </c>
      <c r="N208" s="189" t="s">
        <v>64</v>
      </c>
      <c r="O208" s="190" t="s">
        <v>2604</v>
      </c>
      <c r="P208" s="35">
        <v>45884</v>
      </c>
      <c r="Q208" s="22"/>
    </row>
    <row r="209" spans="1:17" s="234" customFormat="1" ht="60">
      <c r="A209" s="27" t="s">
        <v>59</v>
      </c>
      <c r="B209" s="201">
        <v>8095</v>
      </c>
      <c r="C209" s="183" t="s">
        <v>33</v>
      </c>
      <c r="D209" s="184">
        <v>14496</v>
      </c>
      <c r="E209" s="26">
        <v>45870</v>
      </c>
      <c r="F209" s="26">
        <v>45900</v>
      </c>
      <c r="G209" s="22" t="s">
        <v>107</v>
      </c>
      <c r="H209" s="34" t="s">
        <v>11</v>
      </c>
      <c r="I209" s="185">
        <v>0.01</v>
      </c>
      <c r="J209" s="186">
        <v>5.0000000000000001E-3</v>
      </c>
      <c r="K209" s="187"/>
      <c r="L209" s="188"/>
      <c r="M209" s="189" t="s">
        <v>22</v>
      </c>
      <c r="N209" s="189" t="s">
        <v>84</v>
      </c>
      <c r="O209" s="190" t="s">
        <v>2605</v>
      </c>
      <c r="P209" s="35">
        <v>45884</v>
      </c>
      <c r="Q209" s="22"/>
    </row>
    <row r="210" spans="1:17" s="234" customFormat="1" ht="60">
      <c r="A210" s="27" t="s">
        <v>59</v>
      </c>
      <c r="B210" s="201">
        <v>8096</v>
      </c>
      <c r="C210" s="183" t="s">
        <v>33</v>
      </c>
      <c r="D210" s="184">
        <v>17540</v>
      </c>
      <c r="E210" s="26">
        <v>45870</v>
      </c>
      <c r="F210" s="26">
        <v>45900</v>
      </c>
      <c r="G210" s="22" t="s">
        <v>107</v>
      </c>
      <c r="H210" s="34" t="s">
        <v>11</v>
      </c>
      <c r="I210" s="185">
        <v>0.01</v>
      </c>
      <c r="J210" s="186">
        <v>5.0000000000000001E-3</v>
      </c>
      <c r="K210" s="187"/>
      <c r="L210" s="188"/>
      <c r="M210" s="189" t="s">
        <v>22</v>
      </c>
      <c r="N210" s="189" t="s">
        <v>84</v>
      </c>
      <c r="O210" s="190" t="s">
        <v>2605</v>
      </c>
      <c r="P210" s="35">
        <v>45884</v>
      </c>
      <c r="Q210" s="22"/>
    </row>
    <row r="211" spans="1:17" s="234" customFormat="1" ht="60">
      <c r="A211" s="27" t="s">
        <v>58</v>
      </c>
      <c r="B211" s="201">
        <v>8097</v>
      </c>
      <c r="C211" s="183" t="s">
        <v>33</v>
      </c>
      <c r="D211" s="184">
        <v>17965</v>
      </c>
      <c r="E211" s="26">
        <v>45884</v>
      </c>
      <c r="F211" s="26">
        <v>45900</v>
      </c>
      <c r="G211" s="22" t="s">
        <v>2607</v>
      </c>
      <c r="H211" s="34" t="s">
        <v>11</v>
      </c>
      <c r="I211" s="185">
        <v>160000</v>
      </c>
      <c r="J211" s="186">
        <v>2E-3</v>
      </c>
      <c r="K211" s="187"/>
      <c r="L211" s="188"/>
      <c r="M211" s="189" t="s">
        <v>12</v>
      </c>
      <c r="N211" s="189" t="s">
        <v>114</v>
      </c>
      <c r="O211" s="190" t="s">
        <v>2606</v>
      </c>
      <c r="P211" s="35">
        <v>45887</v>
      </c>
      <c r="Q211" s="22"/>
    </row>
    <row r="212" spans="1:17" s="234" customFormat="1" ht="75">
      <c r="A212" s="27" t="s">
        <v>58</v>
      </c>
      <c r="B212" s="201">
        <v>8098</v>
      </c>
      <c r="C212" s="183" t="s">
        <v>33</v>
      </c>
      <c r="D212" s="184">
        <v>12524</v>
      </c>
      <c r="E212" s="26">
        <v>45882</v>
      </c>
      <c r="F212" s="26">
        <v>45900</v>
      </c>
      <c r="G212" s="22" t="s">
        <v>2548</v>
      </c>
      <c r="H212" s="34" t="s">
        <v>11</v>
      </c>
      <c r="I212" s="185">
        <v>0.01</v>
      </c>
      <c r="J212" s="186">
        <v>5.0000000000000001E-3</v>
      </c>
      <c r="K212" s="187"/>
      <c r="L212" s="188"/>
      <c r="M212" s="189" t="s">
        <v>30</v>
      </c>
      <c r="N212" s="189" t="s">
        <v>82</v>
      </c>
      <c r="O212" s="190" t="s">
        <v>2608</v>
      </c>
      <c r="P212" s="35">
        <v>45887</v>
      </c>
      <c r="Q212" s="22"/>
    </row>
    <row r="213" spans="1:17" s="234" customFormat="1" ht="75">
      <c r="A213" s="27" t="s">
        <v>58</v>
      </c>
      <c r="B213" s="201">
        <v>8099</v>
      </c>
      <c r="C213" s="183" t="s">
        <v>33</v>
      </c>
      <c r="D213" s="184">
        <v>6092</v>
      </c>
      <c r="E213" s="26">
        <v>45882</v>
      </c>
      <c r="F213" s="26">
        <v>45900</v>
      </c>
      <c r="G213" s="22" t="s">
        <v>2548</v>
      </c>
      <c r="H213" s="34" t="s">
        <v>11</v>
      </c>
      <c r="I213" s="185">
        <v>0.01</v>
      </c>
      <c r="J213" s="186">
        <v>5.0000000000000001E-3</v>
      </c>
      <c r="K213" s="187"/>
      <c r="L213" s="188"/>
      <c r="M213" s="189" t="s">
        <v>30</v>
      </c>
      <c r="N213" s="189" t="s">
        <v>82</v>
      </c>
      <c r="O213" s="190" t="s">
        <v>2608</v>
      </c>
      <c r="P213" s="35">
        <v>45887</v>
      </c>
      <c r="Q213" s="22"/>
    </row>
    <row r="214" spans="1:17" s="234" customFormat="1" ht="75">
      <c r="A214" s="27" t="s">
        <v>58</v>
      </c>
      <c r="B214" s="201">
        <v>8100</v>
      </c>
      <c r="C214" s="183" t="s">
        <v>33</v>
      </c>
      <c r="D214" s="184" t="s">
        <v>2609</v>
      </c>
      <c r="E214" s="26">
        <v>45882</v>
      </c>
      <c r="F214" s="26">
        <v>45900</v>
      </c>
      <c r="G214" s="22" t="s">
        <v>2548</v>
      </c>
      <c r="H214" s="34" t="s">
        <v>11</v>
      </c>
      <c r="I214" s="185">
        <v>0.01</v>
      </c>
      <c r="J214" s="186">
        <v>0.01</v>
      </c>
      <c r="K214" s="187"/>
      <c r="L214" s="188"/>
      <c r="M214" s="189" t="s">
        <v>30</v>
      </c>
      <c r="N214" s="189" t="s">
        <v>87</v>
      </c>
      <c r="O214" s="190" t="s">
        <v>2608</v>
      </c>
      <c r="P214" s="35">
        <v>45887</v>
      </c>
      <c r="Q214" s="22"/>
    </row>
    <row r="215" spans="1:17" s="234" customFormat="1" ht="75">
      <c r="A215" s="27" t="s">
        <v>58</v>
      </c>
      <c r="B215" s="201">
        <v>8101</v>
      </c>
      <c r="C215" s="183" t="s">
        <v>33</v>
      </c>
      <c r="D215" s="184" t="s">
        <v>2610</v>
      </c>
      <c r="E215" s="26">
        <v>45882</v>
      </c>
      <c r="F215" s="26">
        <v>45900</v>
      </c>
      <c r="G215" s="22" t="s">
        <v>2548</v>
      </c>
      <c r="H215" s="34" t="s">
        <v>11</v>
      </c>
      <c r="I215" s="185">
        <v>0.01</v>
      </c>
      <c r="J215" s="186">
        <v>0.01</v>
      </c>
      <c r="K215" s="187"/>
      <c r="L215" s="188"/>
      <c r="M215" s="189" t="s">
        <v>30</v>
      </c>
      <c r="N215" s="189" t="s">
        <v>87</v>
      </c>
      <c r="O215" s="190" t="s">
        <v>2608</v>
      </c>
      <c r="P215" s="35">
        <v>45887</v>
      </c>
      <c r="Q215" s="22"/>
    </row>
    <row r="216" spans="1:17" s="234" customFormat="1" ht="45">
      <c r="A216" s="27" t="s">
        <v>58</v>
      </c>
      <c r="B216" s="201">
        <v>8102</v>
      </c>
      <c r="C216" s="183" t="s">
        <v>33</v>
      </c>
      <c r="D216" s="184" t="s">
        <v>2726</v>
      </c>
      <c r="E216" s="26">
        <v>45870</v>
      </c>
      <c r="F216" s="26">
        <v>45900</v>
      </c>
      <c r="G216" s="22" t="s">
        <v>2611</v>
      </c>
      <c r="H216" s="34" t="s">
        <v>11</v>
      </c>
      <c r="I216" s="185">
        <v>500000</v>
      </c>
      <c r="J216" s="186">
        <v>1E-3</v>
      </c>
      <c r="K216" s="187"/>
      <c r="L216" s="188"/>
      <c r="M216" s="189" t="s">
        <v>17</v>
      </c>
      <c r="N216" s="189" t="s">
        <v>220</v>
      </c>
      <c r="O216" s="190" t="s">
        <v>949</v>
      </c>
      <c r="P216" s="35">
        <v>45887</v>
      </c>
      <c r="Q216" s="22" t="s">
        <v>2758</v>
      </c>
    </row>
    <row r="217" spans="1:17" s="234" customFormat="1" ht="45">
      <c r="A217" s="27" t="s">
        <v>59</v>
      </c>
      <c r="B217" s="201">
        <v>8103</v>
      </c>
      <c r="C217" s="183" t="s">
        <v>33</v>
      </c>
      <c r="D217" s="184" t="s">
        <v>163</v>
      </c>
      <c r="E217" s="26">
        <v>45870</v>
      </c>
      <c r="F217" s="26">
        <v>45900</v>
      </c>
      <c r="G217" s="22" t="s">
        <v>2844</v>
      </c>
      <c r="H217" s="34" t="s">
        <v>11</v>
      </c>
      <c r="I217" s="185">
        <v>300000</v>
      </c>
      <c r="J217" s="186">
        <v>1E-3</v>
      </c>
      <c r="K217" s="187"/>
      <c r="L217" s="188"/>
      <c r="M217" s="189" t="s">
        <v>17</v>
      </c>
      <c r="N217" s="189" t="s">
        <v>220</v>
      </c>
      <c r="O217" s="190" t="s">
        <v>1303</v>
      </c>
      <c r="P217" s="35">
        <v>45887</v>
      </c>
      <c r="Q217" s="22" t="s">
        <v>2759</v>
      </c>
    </row>
    <row r="218" spans="1:17" s="234" customFormat="1" ht="45">
      <c r="A218" s="27" t="s">
        <v>59</v>
      </c>
      <c r="B218" s="201">
        <v>8103</v>
      </c>
      <c r="C218" s="183" t="s">
        <v>33</v>
      </c>
      <c r="D218" s="184" t="s">
        <v>163</v>
      </c>
      <c r="E218" s="26">
        <v>45870</v>
      </c>
      <c r="F218" s="26">
        <v>45900</v>
      </c>
      <c r="G218" s="22" t="s">
        <v>2844</v>
      </c>
      <c r="H218" s="34" t="s">
        <v>11</v>
      </c>
      <c r="I218" s="185">
        <v>500000</v>
      </c>
      <c r="J218" s="186">
        <v>2E-3</v>
      </c>
      <c r="K218" s="187"/>
      <c r="L218" s="188"/>
      <c r="M218" s="189" t="s">
        <v>17</v>
      </c>
      <c r="N218" s="189" t="s">
        <v>220</v>
      </c>
      <c r="O218" s="190" t="s">
        <v>1303</v>
      </c>
      <c r="P218" s="35">
        <v>45887</v>
      </c>
      <c r="Q218" s="22" t="s">
        <v>2759</v>
      </c>
    </row>
    <row r="219" spans="1:17" s="234" customFormat="1" ht="60">
      <c r="A219" s="27" t="s">
        <v>59</v>
      </c>
      <c r="B219" s="201">
        <v>8104</v>
      </c>
      <c r="C219" s="183" t="s">
        <v>33</v>
      </c>
      <c r="D219" s="184">
        <v>1452</v>
      </c>
      <c r="E219" s="26">
        <v>45870</v>
      </c>
      <c r="F219" s="26">
        <v>45900</v>
      </c>
      <c r="G219" s="22" t="s">
        <v>2845</v>
      </c>
      <c r="H219" s="34" t="s">
        <v>11</v>
      </c>
      <c r="I219" s="185">
        <v>300000</v>
      </c>
      <c r="J219" s="186">
        <v>1E-3</v>
      </c>
      <c r="K219" s="187"/>
      <c r="L219" s="188"/>
      <c r="M219" s="189" t="s">
        <v>17</v>
      </c>
      <c r="N219" s="189" t="s">
        <v>220</v>
      </c>
      <c r="O219" s="190" t="s">
        <v>2341</v>
      </c>
      <c r="P219" s="35">
        <v>45887</v>
      </c>
      <c r="Q219" s="22"/>
    </row>
    <row r="220" spans="1:17" s="234" customFormat="1" ht="60">
      <c r="A220" s="27" t="s">
        <v>58</v>
      </c>
      <c r="B220" s="201">
        <v>8105</v>
      </c>
      <c r="C220" s="183" t="s">
        <v>33</v>
      </c>
      <c r="D220" s="184">
        <v>11293</v>
      </c>
      <c r="E220" s="26">
        <v>45870</v>
      </c>
      <c r="F220" s="26">
        <v>45900</v>
      </c>
      <c r="G220" s="22" t="s">
        <v>2613</v>
      </c>
      <c r="H220" s="34" t="s">
        <v>11</v>
      </c>
      <c r="I220" s="185">
        <v>0.01</v>
      </c>
      <c r="J220" s="186">
        <v>0.01</v>
      </c>
      <c r="K220" s="187"/>
      <c r="L220" s="188"/>
      <c r="M220" s="189" t="s">
        <v>21</v>
      </c>
      <c r="N220" s="189" t="s">
        <v>66</v>
      </c>
      <c r="O220" s="190" t="s">
        <v>2612</v>
      </c>
      <c r="P220" s="35">
        <v>45887</v>
      </c>
      <c r="Q220" s="22"/>
    </row>
    <row r="221" spans="1:17" s="234" customFormat="1" ht="60">
      <c r="A221" s="27" t="s">
        <v>58</v>
      </c>
      <c r="B221" s="201">
        <v>8106</v>
      </c>
      <c r="C221" s="183" t="s">
        <v>33</v>
      </c>
      <c r="D221" s="184">
        <v>13061</v>
      </c>
      <c r="E221" s="26">
        <v>45870</v>
      </c>
      <c r="F221" s="26">
        <v>45900</v>
      </c>
      <c r="G221" s="22" t="s">
        <v>2788</v>
      </c>
      <c r="H221" s="34" t="s">
        <v>11</v>
      </c>
      <c r="I221" s="185">
        <v>0.01</v>
      </c>
      <c r="J221" s="186">
        <v>7.0000000000000001E-3</v>
      </c>
      <c r="K221" s="187"/>
      <c r="L221" s="188"/>
      <c r="M221" s="189" t="s">
        <v>29</v>
      </c>
      <c r="N221" s="189" t="s">
        <v>61</v>
      </c>
      <c r="O221" s="190" t="s">
        <v>2614</v>
      </c>
      <c r="P221" s="35">
        <v>45887</v>
      </c>
      <c r="Q221" s="22"/>
    </row>
    <row r="222" spans="1:17" s="234" customFormat="1" ht="60">
      <c r="A222" s="27" t="s">
        <v>59</v>
      </c>
      <c r="B222" s="201">
        <v>8107</v>
      </c>
      <c r="C222" s="183" t="s">
        <v>33</v>
      </c>
      <c r="D222" s="184">
        <v>1532</v>
      </c>
      <c r="E222" s="26">
        <v>45870</v>
      </c>
      <c r="F222" s="26">
        <v>45900</v>
      </c>
      <c r="G222" s="22" t="s">
        <v>107</v>
      </c>
      <c r="H222" s="34" t="s">
        <v>11</v>
      </c>
      <c r="I222" s="185">
        <v>0.01</v>
      </c>
      <c r="J222" s="186">
        <v>5.0000000000000001E-3</v>
      </c>
      <c r="K222" s="187"/>
      <c r="L222" s="188"/>
      <c r="M222" s="189" t="s">
        <v>29</v>
      </c>
      <c r="N222" s="189" t="s">
        <v>61</v>
      </c>
      <c r="O222" s="190" t="s">
        <v>2055</v>
      </c>
      <c r="P222" s="35">
        <v>45887</v>
      </c>
      <c r="Q222" s="22"/>
    </row>
    <row r="223" spans="1:17" s="234" customFormat="1" ht="60">
      <c r="A223" s="27" t="s">
        <v>58</v>
      </c>
      <c r="B223" s="201">
        <v>8108</v>
      </c>
      <c r="C223" s="183" t="s">
        <v>33</v>
      </c>
      <c r="D223" s="184">
        <v>16457</v>
      </c>
      <c r="E223" s="26">
        <v>45870</v>
      </c>
      <c r="F223" s="26">
        <v>45900</v>
      </c>
      <c r="G223" s="22" t="s">
        <v>2818</v>
      </c>
      <c r="H223" s="34" t="s">
        <v>11</v>
      </c>
      <c r="I223" s="185">
        <v>150000</v>
      </c>
      <c r="J223" s="186">
        <v>2.5000000000000001E-3</v>
      </c>
      <c r="K223" s="187"/>
      <c r="L223" s="188"/>
      <c r="M223" s="189" t="s">
        <v>39</v>
      </c>
      <c r="N223" s="189" t="s">
        <v>219</v>
      </c>
      <c r="O223" s="190" t="s">
        <v>2615</v>
      </c>
      <c r="P223" s="35">
        <v>45887</v>
      </c>
      <c r="Q223" s="22"/>
    </row>
    <row r="224" spans="1:17" s="234" customFormat="1" ht="75">
      <c r="A224" s="27" t="s">
        <v>58</v>
      </c>
      <c r="B224" s="201">
        <v>8109</v>
      </c>
      <c r="C224" s="183" t="s">
        <v>33</v>
      </c>
      <c r="D224" s="184">
        <v>16886</v>
      </c>
      <c r="E224" s="26">
        <v>45870</v>
      </c>
      <c r="F224" s="26">
        <v>45900</v>
      </c>
      <c r="G224" s="22" t="s">
        <v>2617</v>
      </c>
      <c r="H224" s="34" t="s">
        <v>11</v>
      </c>
      <c r="I224" s="185">
        <v>0.01</v>
      </c>
      <c r="J224" s="186">
        <v>5.0000000000000001E-3</v>
      </c>
      <c r="K224" s="187"/>
      <c r="L224" s="188"/>
      <c r="M224" s="189" t="s">
        <v>13</v>
      </c>
      <c r="N224" s="189" t="s">
        <v>2377</v>
      </c>
      <c r="O224" s="190" t="s">
        <v>2616</v>
      </c>
      <c r="P224" s="35">
        <v>45887</v>
      </c>
      <c r="Q224" s="22"/>
    </row>
    <row r="225" spans="1:17" s="234" customFormat="1" ht="75">
      <c r="A225" s="27" t="s">
        <v>59</v>
      </c>
      <c r="B225" s="201">
        <v>8110</v>
      </c>
      <c r="C225" s="183" t="s">
        <v>33</v>
      </c>
      <c r="D225" s="184">
        <v>16955</v>
      </c>
      <c r="E225" s="26">
        <v>45870</v>
      </c>
      <c r="F225" s="26">
        <v>45900</v>
      </c>
      <c r="G225" s="22" t="s">
        <v>127</v>
      </c>
      <c r="H225" s="34" t="s">
        <v>11</v>
      </c>
      <c r="I225" s="185">
        <v>0.01</v>
      </c>
      <c r="J225" s="186">
        <v>6.0000000000000001E-3</v>
      </c>
      <c r="K225" s="187"/>
      <c r="L225" s="188"/>
      <c r="M225" s="189" t="s">
        <v>13</v>
      </c>
      <c r="N225" s="189" t="s">
        <v>2377</v>
      </c>
      <c r="O225" s="190" t="s">
        <v>2616</v>
      </c>
      <c r="P225" s="35">
        <v>45887</v>
      </c>
      <c r="Q225" s="22"/>
    </row>
    <row r="226" spans="1:17" s="234" customFormat="1" ht="60">
      <c r="A226" s="27" t="s">
        <v>58</v>
      </c>
      <c r="B226" s="201">
        <v>8111</v>
      </c>
      <c r="C226" s="183" t="s">
        <v>33</v>
      </c>
      <c r="D226" s="184">
        <v>15169</v>
      </c>
      <c r="E226" s="26">
        <v>45883</v>
      </c>
      <c r="F226" s="26">
        <v>45900</v>
      </c>
      <c r="G226" s="22" t="s">
        <v>2619</v>
      </c>
      <c r="H226" s="34" t="s">
        <v>11</v>
      </c>
      <c r="I226" s="185">
        <v>1000</v>
      </c>
      <c r="J226" s="186">
        <v>7.0000000000000001E-3</v>
      </c>
      <c r="K226" s="187"/>
      <c r="L226" s="188"/>
      <c r="M226" s="189" t="s">
        <v>16</v>
      </c>
      <c r="N226" s="189" t="s">
        <v>78</v>
      </c>
      <c r="O226" s="190" t="s">
        <v>2618</v>
      </c>
      <c r="P226" s="35">
        <v>45887</v>
      </c>
      <c r="Q226" s="22"/>
    </row>
    <row r="227" spans="1:17" s="234" customFormat="1">
      <c r="A227" s="27" t="s">
        <v>58</v>
      </c>
      <c r="B227" s="39">
        <v>8113</v>
      </c>
      <c r="C227" s="183" t="s">
        <v>33</v>
      </c>
      <c r="D227" s="184">
        <v>13131</v>
      </c>
      <c r="E227" s="26">
        <v>45870</v>
      </c>
      <c r="F227" s="26">
        <v>45900</v>
      </c>
      <c r="G227" s="252" t="s">
        <v>2776</v>
      </c>
      <c r="H227" s="34" t="s">
        <v>11</v>
      </c>
      <c r="I227" s="185">
        <v>1000</v>
      </c>
      <c r="J227" s="186">
        <v>3.0000000000000001E-3</v>
      </c>
      <c r="K227" s="187"/>
      <c r="L227" s="188"/>
      <c r="M227" s="189" t="s">
        <v>18</v>
      </c>
      <c r="N227" s="189" t="s">
        <v>74</v>
      </c>
      <c r="O227" s="190">
        <v>1753806</v>
      </c>
      <c r="P227" s="35">
        <v>45887</v>
      </c>
      <c r="Q227" s="22"/>
    </row>
    <row r="228" spans="1:17" s="234" customFormat="1">
      <c r="A228" s="27" t="s">
        <v>59</v>
      </c>
      <c r="B228" s="39">
        <v>8114</v>
      </c>
      <c r="C228" s="183" t="s">
        <v>33</v>
      </c>
      <c r="D228" s="184">
        <v>17277</v>
      </c>
      <c r="E228" s="26">
        <v>45870</v>
      </c>
      <c r="F228" s="26">
        <v>45900</v>
      </c>
      <c r="G228" s="22" t="s">
        <v>107</v>
      </c>
      <c r="H228" s="34" t="s">
        <v>11</v>
      </c>
      <c r="I228" s="185">
        <v>0.01</v>
      </c>
      <c r="J228" s="186">
        <v>7.4999999999999997E-3</v>
      </c>
      <c r="K228" s="187"/>
      <c r="L228" s="188"/>
      <c r="M228" s="189" t="s">
        <v>53</v>
      </c>
      <c r="N228" s="189" t="s">
        <v>1122</v>
      </c>
      <c r="O228" s="190">
        <v>1753781</v>
      </c>
      <c r="P228" s="35">
        <v>45887</v>
      </c>
      <c r="Q228" s="22"/>
    </row>
    <row r="229" spans="1:17" s="234" customFormat="1">
      <c r="A229" s="27" t="s">
        <v>59</v>
      </c>
      <c r="B229" s="39">
        <v>8115</v>
      </c>
      <c r="C229" s="183" t="s">
        <v>33</v>
      </c>
      <c r="D229" s="184">
        <v>15643</v>
      </c>
      <c r="E229" s="26">
        <v>45870</v>
      </c>
      <c r="F229" s="26">
        <v>45900</v>
      </c>
      <c r="G229" s="22" t="s">
        <v>107</v>
      </c>
      <c r="H229" s="34" t="s">
        <v>11</v>
      </c>
      <c r="I229" s="185">
        <v>150000</v>
      </c>
      <c r="J229" s="186">
        <v>5.0000000000000001E-3</v>
      </c>
      <c r="K229" s="187"/>
      <c r="L229" s="188"/>
      <c r="M229" s="189" t="s">
        <v>22</v>
      </c>
      <c r="N229" s="189" t="s">
        <v>84</v>
      </c>
      <c r="O229" s="190">
        <v>1753651</v>
      </c>
      <c r="P229" s="35">
        <v>45887</v>
      </c>
      <c r="Q229" s="22"/>
    </row>
    <row r="230" spans="1:17" s="234" customFormat="1">
      <c r="A230" s="27" t="s">
        <v>58</v>
      </c>
      <c r="B230" s="39">
        <v>8116</v>
      </c>
      <c r="C230" s="183" t="s">
        <v>33</v>
      </c>
      <c r="D230" s="184">
        <v>14641</v>
      </c>
      <c r="E230" s="26">
        <v>45870</v>
      </c>
      <c r="F230" s="26">
        <v>45900</v>
      </c>
      <c r="G230" s="239" t="s">
        <v>2621</v>
      </c>
      <c r="H230" s="34" t="s">
        <v>11</v>
      </c>
      <c r="I230" s="185">
        <v>1000</v>
      </c>
      <c r="J230" s="186">
        <v>2E-3</v>
      </c>
      <c r="K230" s="187"/>
      <c r="L230" s="188"/>
      <c r="M230" s="189" t="s">
        <v>22</v>
      </c>
      <c r="N230" s="189" t="s">
        <v>81</v>
      </c>
      <c r="O230" s="190">
        <v>1753580</v>
      </c>
      <c r="P230" s="35">
        <v>45887</v>
      </c>
      <c r="Q230" s="22"/>
    </row>
    <row r="231" spans="1:17" s="234" customFormat="1" ht="30">
      <c r="A231" s="27" t="s">
        <v>58</v>
      </c>
      <c r="B231" s="39">
        <v>8117</v>
      </c>
      <c r="C231" s="183" t="s">
        <v>33</v>
      </c>
      <c r="D231" s="184">
        <v>6905</v>
      </c>
      <c r="E231" s="26">
        <v>45870</v>
      </c>
      <c r="F231" s="26">
        <v>45900</v>
      </c>
      <c r="G231" s="252" t="s">
        <v>2622</v>
      </c>
      <c r="H231" s="34" t="s">
        <v>11</v>
      </c>
      <c r="I231" s="185">
        <v>0.01</v>
      </c>
      <c r="J231" s="186">
        <v>1.23E-2</v>
      </c>
      <c r="K231" s="187"/>
      <c r="L231" s="188"/>
      <c r="M231" s="189" t="s">
        <v>17</v>
      </c>
      <c r="N231" s="189" t="s">
        <v>220</v>
      </c>
      <c r="O231" s="190">
        <v>1753518</v>
      </c>
      <c r="P231" s="35">
        <v>45887</v>
      </c>
      <c r="Q231" s="22"/>
    </row>
    <row r="232" spans="1:17" s="234" customFormat="1" ht="30">
      <c r="A232" s="27" t="s">
        <v>59</v>
      </c>
      <c r="B232" s="39">
        <v>8118</v>
      </c>
      <c r="C232" s="183" t="s">
        <v>33</v>
      </c>
      <c r="D232" s="184">
        <v>13440</v>
      </c>
      <c r="E232" s="26">
        <v>45870</v>
      </c>
      <c r="F232" s="26">
        <v>45900</v>
      </c>
      <c r="G232" s="22" t="s">
        <v>107</v>
      </c>
      <c r="H232" s="34" t="s">
        <v>11</v>
      </c>
      <c r="I232" s="185">
        <v>0.01</v>
      </c>
      <c r="J232" s="186">
        <v>7.4999999999999997E-3</v>
      </c>
      <c r="K232" s="187"/>
      <c r="L232" s="188"/>
      <c r="M232" s="189" t="s">
        <v>95</v>
      </c>
      <c r="N232" s="189" t="s">
        <v>96</v>
      </c>
      <c r="O232" s="190">
        <v>1753496</v>
      </c>
      <c r="P232" s="35">
        <v>45887</v>
      </c>
      <c r="Q232" s="22"/>
    </row>
    <row r="233" spans="1:17" s="234" customFormat="1" ht="30">
      <c r="A233" s="27" t="s">
        <v>58</v>
      </c>
      <c r="B233" s="39">
        <v>8119</v>
      </c>
      <c r="C233" s="183" t="s">
        <v>33</v>
      </c>
      <c r="D233" s="184">
        <v>15216</v>
      </c>
      <c r="E233" s="26">
        <v>45870</v>
      </c>
      <c r="F233" s="26">
        <v>45900</v>
      </c>
      <c r="G233" s="252" t="s">
        <v>620</v>
      </c>
      <c r="H233" s="34" t="s">
        <v>11</v>
      </c>
      <c r="I233" s="185">
        <v>0.01</v>
      </c>
      <c r="J233" s="186">
        <v>1.4999999999999999E-2</v>
      </c>
      <c r="K233" s="187"/>
      <c r="L233" s="188"/>
      <c r="M233" s="189" t="s">
        <v>29</v>
      </c>
      <c r="N233" s="189" t="s">
        <v>61</v>
      </c>
      <c r="O233" s="190">
        <v>1753481</v>
      </c>
      <c r="P233" s="35">
        <v>45887</v>
      </c>
      <c r="Q233" s="22"/>
    </row>
    <row r="234" spans="1:17" s="234" customFormat="1" ht="30">
      <c r="A234" s="27" t="s">
        <v>58</v>
      </c>
      <c r="B234" s="39">
        <v>8120</v>
      </c>
      <c r="C234" s="183" t="s">
        <v>33</v>
      </c>
      <c r="D234" s="184">
        <v>14011</v>
      </c>
      <c r="E234" s="26">
        <v>45870</v>
      </c>
      <c r="F234" s="26">
        <v>45900</v>
      </c>
      <c r="G234" s="22" t="s">
        <v>1350</v>
      </c>
      <c r="H234" s="34" t="s">
        <v>11</v>
      </c>
      <c r="I234" s="185">
        <v>450000</v>
      </c>
      <c r="J234" s="186">
        <v>5.0000000000000001E-3</v>
      </c>
      <c r="K234" s="187"/>
      <c r="L234" s="188"/>
      <c r="M234" s="189" t="s">
        <v>95</v>
      </c>
      <c r="N234" s="189" t="s">
        <v>96</v>
      </c>
      <c r="O234" s="190">
        <v>1753475</v>
      </c>
      <c r="P234" s="35">
        <v>45887</v>
      </c>
      <c r="Q234" s="22"/>
    </row>
    <row r="235" spans="1:17" s="234" customFormat="1" ht="30">
      <c r="A235" s="27" t="s">
        <v>59</v>
      </c>
      <c r="B235" s="39">
        <v>8121</v>
      </c>
      <c r="C235" s="183" t="s">
        <v>33</v>
      </c>
      <c r="D235" s="184">
        <v>14011</v>
      </c>
      <c r="E235" s="26">
        <v>45870</v>
      </c>
      <c r="F235" s="26">
        <v>45900</v>
      </c>
      <c r="G235" s="22" t="s">
        <v>107</v>
      </c>
      <c r="H235" s="34" t="s">
        <v>11</v>
      </c>
      <c r="I235" s="185">
        <v>0.01</v>
      </c>
      <c r="J235" s="186">
        <v>5.0000000000000001E-3</v>
      </c>
      <c r="K235" s="187"/>
      <c r="L235" s="188"/>
      <c r="M235" s="189" t="s">
        <v>95</v>
      </c>
      <c r="N235" s="189" t="s">
        <v>96</v>
      </c>
      <c r="O235" s="190">
        <v>1753469</v>
      </c>
      <c r="P235" s="35">
        <v>45887</v>
      </c>
      <c r="Q235" s="22"/>
    </row>
    <row r="236" spans="1:17" s="234" customFormat="1" ht="30">
      <c r="A236" s="27" t="s">
        <v>59</v>
      </c>
      <c r="B236" s="39">
        <v>8122</v>
      </c>
      <c r="C236" s="183" t="s">
        <v>33</v>
      </c>
      <c r="D236" s="184">
        <v>16578</v>
      </c>
      <c r="E236" s="26">
        <v>45870</v>
      </c>
      <c r="F236" s="26">
        <v>45900</v>
      </c>
      <c r="G236" s="22" t="s">
        <v>107</v>
      </c>
      <c r="H236" s="34" t="s">
        <v>11</v>
      </c>
      <c r="I236" s="185">
        <v>0.01</v>
      </c>
      <c r="J236" s="186">
        <v>3.0000000000000001E-3</v>
      </c>
      <c r="K236" s="187"/>
      <c r="L236" s="188"/>
      <c r="M236" s="189" t="s">
        <v>95</v>
      </c>
      <c r="N236" s="189" t="s">
        <v>96</v>
      </c>
      <c r="O236" s="190">
        <v>1753463</v>
      </c>
      <c r="P236" s="35">
        <v>45887</v>
      </c>
      <c r="Q236" s="22"/>
    </row>
    <row r="237" spans="1:17" s="234" customFormat="1" ht="30">
      <c r="A237" s="27" t="s">
        <v>59</v>
      </c>
      <c r="B237" s="39">
        <v>8123</v>
      </c>
      <c r="C237" s="183" t="s">
        <v>33</v>
      </c>
      <c r="D237" s="184">
        <v>15421</v>
      </c>
      <c r="E237" s="26">
        <v>45870</v>
      </c>
      <c r="F237" s="26">
        <v>45900</v>
      </c>
      <c r="G237" s="22" t="s">
        <v>107</v>
      </c>
      <c r="H237" s="34" t="s">
        <v>11</v>
      </c>
      <c r="I237" s="185">
        <v>0.01</v>
      </c>
      <c r="J237" s="186">
        <v>3.0000000000000001E-3</v>
      </c>
      <c r="K237" s="187"/>
      <c r="L237" s="188"/>
      <c r="M237" s="189" t="s">
        <v>95</v>
      </c>
      <c r="N237" s="189" t="s">
        <v>96</v>
      </c>
      <c r="O237" s="190">
        <v>1753456</v>
      </c>
      <c r="P237" s="35">
        <v>45887</v>
      </c>
      <c r="Q237" s="22"/>
    </row>
    <row r="238" spans="1:17" s="234" customFormat="1" ht="30">
      <c r="A238" s="27" t="s">
        <v>59</v>
      </c>
      <c r="B238" s="39">
        <v>8124</v>
      </c>
      <c r="C238" s="183" t="s">
        <v>33</v>
      </c>
      <c r="D238" s="184">
        <v>13932</v>
      </c>
      <c r="E238" s="26">
        <v>45870</v>
      </c>
      <c r="F238" s="26">
        <v>45900</v>
      </c>
      <c r="G238" s="22" t="s">
        <v>107</v>
      </c>
      <c r="H238" s="34" t="s">
        <v>11</v>
      </c>
      <c r="I238" s="185">
        <v>0.01</v>
      </c>
      <c r="J238" s="186">
        <v>3.0000000000000001E-3</v>
      </c>
      <c r="K238" s="187"/>
      <c r="L238" s="188"/>
      <c r="M238" s="189" t="s">
        <v>95</v>
      </c>
      <c r="N238" s="189" t="s">
        <v>96</v>
      </c>
      <c r="O238" s="190">
        <v>1753445</v>
      </c>
      <c r="P238" s="35">
        <v>45887</v>
      </c>
      <c r="Q238" s="22"/>
    </row>
    <row r="239" spans="1:17" s="234" customFormat="1" ht="30">
      <c r="A239" s="27" t="s">
        <v>59</v>
      </c>
      <c r="B239" s="39">
        <v>8125</v>
      </c>
      <c r="C239" s="183" t="s">
        <v>33</v>
      </c>
      <c r="D239" s="184">
        <v>15564</v>
      </c>
      <c r="E239" s="26">
        <v>45870</v>
      </c>
      <c r="F239" s="26">
        <v>45900</v>
      </c>
      <c r="G239" s="22" t="s">
        <v>107</v>
      </c>
      <c r="H239" s="34" t="s">
        <v>11</v>
      </c>
      <c r="I239" s="185">
        <v>0.01</v>
      </c>
      <c r="J239" s="186">
        <v>3.0000000000000001E-3</v>
      </c>
      <c r="K239" s="187"/>
      <c r="L239" s="188"/>
      <c r="M239" s="189" t="s">
        <v>95</v>
      </c>
      <c r="N239" s="189" t="s">
        <v>96</v>
      </c>
      <c r="O239" s="190">
        <v>1753439</v>
      </c>
      <c r="P239" s="35">
        <v>45887</v>
      </c>
      <c r="Q239" s="22"/>
    </row>
    <row r="240" spans="1:17" s="234" customFormat="1" ht="30">
      <c r="A240" s="27" t="s">
        <v>59</v>
      </c>
      <c r="B240" s="39">
        <v>8126</v>
      </c>
      <c r="C240" s="183" t="s">
        <v>33</v>
      </c>
      <c r="D240" s="184">
        <v>13053</v>
      </c>
      <c r="E240" s="26">
        <v>45879</v>
      </c>
      <c r="F240" s="26">
        <v>45900</v>
      </c>
      <c r="G240" s="22" t="s">
        <v>2869</v>
      </c>
      <c r="H240" s="34" t="s">
        <v>11</v>
      </c>
      <c r="I240" s="227">
        <v>1000</v>
      </c>
      <c r="J240" s="186">
        <v>1.7000000000000001E-2</v>
      </c>
      <c r="K240" s="187"/>
      <c r="L240" s="188"/>
      <c r="M240" s="189" t="s">
        <v>18</v>
      </c>
      <c r="N240" s="189" t="s">
        <v>2376</v>
      </c>
      <c r="O240" s="190">
        <v>1753436</v>
      </c>
      <c r="P240" s="35">
        <v>45887</v>
      </c>
      <c r="Q240" s="22"/>
    </row>
    <row r="241" spans="1:17" s="234" customFormat="1">
      <c r="A241" s="27" t="s">
        <v>58</v>
      </c>
      <c r="B241" s="39">
        <v>8127</v>
      </c>
      <c r="C241" s="183" t="s">
        <v>33</v>
      </c>
      <c r="D241" s="184">
        <v>16105</v>
      </c>
      <c r="E241" s="26">
        <v>45870</v>
      </c>
      <c r="F241" s="26">
        <v>45900</v>
      </c>
      <c r="G241" s="239" t="s">
        <v>2846</v>
      </c>
      <c r="H241" s="34" t="s">
        <v>11</v>
      </c>
      <c r="I241" s="185">
        <v>0.01</v>
      </c>
      <c r="J241" s="186">
        <v>1.4999999999999999E-2</v>
      </c>
      <c r="K241" s="187"/>
      <c r="L241" s="188"/>
      <c r="M241" s="189" t="s">
        <v>32</v>
      </c>
      <c r="N241" s="189" t="s">
        <v>67</v>
      </c>
      <c r="O241" s="190">
        <v>1753191</v>
      </c>
      <c r="P241" s="35">
        <v>45887</v>
      </c>
      <c r="Q241" s="22"/>
    </row>
    <row r="242" spans="1:17" s="234" customFormat="1" ht="30">
      <c r="A242" s="27" t="s">
        <v>59</v>
      </c>
      <c r="B242" s="39">
        <v>8128</v>
      </c>
      <c r="C242" s="183" t="s">
        <v>33</v>
      </c>
      <c r="D242" s="184">
        <v>16105</v>
      </c>
      <c r="E242" s="26">
        <v>45870</v>
      </c>
      <c r="F242" s="26">
        <v>45900</v>
      </c>
      <c r="G242" s="239" t="s">
        <v>2819</v>
      </c>
      <c r="H242" s="34" t="s">
        <v>11</v>
      </c>
      <c r="I242" s="185">
        <v>0.01</v>
      </c>
      <c r="J242" s="240">
        <v>0.02</v>
      </c>
      <c r="K242" s="187"/>
      <c r="L242" s="188"/>
      <c r="M242" s="189" t="s">
        <v>32</v>
      </c>
      <c r="N242" s="189" t="s">
        <v>67</v>
      </c>
      <c r="O242" s="190">
        <v>1753191</v>
      </c>
      <c r="P242" s="35">
        <v>45887</v>
      </c>
      <c r="Q242" s="22"/>
    </row>
    <row r="243" spans="1:17" s="234" customFormat="1" ht="30">
      <c r="A243" s="27" t="s">
        <v>59</v>
      </c>
      <c r="B243" s="39">
        <v>8129</v>
      </c>
      <c r="C243" s="183" t="s">
        <v>33</v>
      </c>
      <c r="D243" s="184">
        <v>11820</v>
      </c>
      <c r="E243" s="26">
        <v>45870</v>
      </c>
      <c r="F243" s="26">
        <v>45900</v>
      </c>
      <c r="G243" s="254" t="s">
        <v>2623</v>
      </c>
      <c r="H243" s="34" t="s">
        <v>11</v>
      </c>
      <c r="I243" s="185">
        <v>0.01</v>
      </c>
      <c r="J243" s="186">
        <v>1.4999999999999999E-2</v>
      </c>
      <c r="K243" s="187"/>
      <c r="L243" s="188"/>
      <c r="M243" s="189" t="s">
        <v>19</v>
      </c>
      <c r="N243" s="189" t="s">
        <v>61</v>
      </c>
      <c r="O243" s="190">
        <v>1753187</v>
      </c>
      <c r="P243" s="35">
        <v>45887</v>
      </c>
      <c r="Q243" s="22"/>
    </row>
    <row r="244" spans="1:17" s="234" customFormat="1" ht="30">
      <c r="A244" s="27" t="s">
        <v>59</v>
      </c>
      <c r="B244" s="39">
        <v>8130</v>
      </c>
      <c r="C244" s="183" t="s">
        <v>33</v>
      </c>
      <c r="D244" s="184">
        <v>11820</v>
      </c>
      <c r="E244" s="26">
        <v>45870</v>
      </c>
      <c r="F244" s="26">
        <v>45900</v>
      </c>
      <c r="G244" s="250" t="s">
        <v>2624</v>
      </c>
      <c r="H244" s="34" t="s">
        <v>11</v>
      </c>
      <c r="I244" s="185">
        <v>0.01</v>
      </c>
      <c r="J244" s="241">
        <v>5.0000000000000001E-3</v>
      </c>
      <c r="K244" s="187"/>
      <c r="L244" s="188"/>
      <c r="M244" s="189" t="s">
        <v>19</v>
      </c>
      <c r="N244" s="189" t="s">
        <v>61</v>
      </c>
      <c r="O244" s="190">
        <v>1753187</v>
      </c>
      <c r="P244" s="35">
        <v>45887</v>
      </c>
      <c r="Q244" s="22"/>
    </row>
    <row r="245" spans="1:17" s="234" customFormat="1" ht="30">
      <c r="A245" s="27" t="s">
        <v>59</v>
      </c>
      <c r="B245" s="39">
        <v>8131</v>
      </c>
      <c r="C245" s="183" t="s">
        <v>33</v>
      </c>
      <c r="D245" s="184">
        <v>11820</v>
      </c>
      <c r="E245" s="26">
        <v>45870</v>
      </c>
      <c r="F245" s="26">
        <v>45900</v>
      </c>
      <c r="G245" s="254" t="s">
        <v>2625</v>
      </c>
      <c r="H245" s="34" t="s">
        <v>11</v>
      </c>
      <c r="I245" s="185">
        <v>0.01</v>
      </c>
      <c r="J245" s="241">
        <v>2E-3</v>
      </c>
      <c r="K245" s="187"/>
      <c r="L245" s="188"/>
      <c r="M245" s="189" t="s">
        <v>19</v>
      </c>
      <c r="N245" s="189" t="s">
        <v>61</v>
      </c>
      <c r="O245" s="190">
        <v>1753187</v>
      </c>
      <c r="P245" s="35">
        <v>45887</v>
      </c>
      <c r="Q245" s="22"/>
    </row>
    <row r="246" spans="1:17" s="234" customFormat="1">
      <c r="A246" s="27" t="s">
        <v>58</v>
      </c>
      <c r="B246" s="39">
        <v>8132</v>
      </c>
      <c r="C246" s="183" t="s">
        <v>33</v>
      </c>
      <c r="D246" s="184">
        <v>14105</v>
      </c>
      <c r="E246" s="26">
        <v>45870</v>
      </c>
      <c r="F246" s="26">
        <v>45900</v>
      </c>
      <c r="G246" s="22" t="s">
        <v>2516</v>
      </c>
      <c r="H246" s="34" t="s">
        <v>11</v>
      </c>
      <c r="I246" s="185">
        <v>0.01</v>
      </c>
      <c r="J246" s="186">
        <v>2E-3</v>
      </c>
      <c r="K246" s="187"/>
      <c r="L246" s="188"/>
      <c r="M246" s="189" t="s">
        <v>32</v>
      </c>
      <c r="N246" s="189" t="s">
        <v>67</v>
      </c>
      <c r="O246" s="190">
        <v>1753149</v>
      </c>
      <c r="P246" s="35">
        <v>45887</v>
      </c>
      <c r="Q246" s="22"/>
    </row>
    <row r="247" spans="1:17" s="234" customFormat="1" ht="30">
      <c r="A247" s="27" t="s">
        <v>59</v>
      </c>
      <c r="B247" s="39">
        <v>8133</v>
      </c>
      <c r="C247" s="183" t="s">
        <v>33</v>
      </c>
      <c r="D247" s="184">
        <v>14105</v>
      </c>
      <c r="E247" s="26">
        <v>45870</v>
      </c>
      <c r="F247" s="26">
        <v>45900</v>
      </c>
      <c r="G247" s="255" t="s">
        <v>2819</v>
      </c>
      <c r="H247" s="34" t="s">
        <v>11</v>
      </c>
      <c r="I247" s="185">
        <v>0.01</v>
      </c>
      <c r="J247" s="186">
        <v>0.02</v>
      </c>
      <c r="K247" s="187"/>
      <c r="L247" s="188"/>
      <c r="M247" s="189" t="s">
        <v>32</v>
      </c>
      <c r="N247" s="189" t="s">
        <v>67</v>
      </c>
      <c r="O247" s="190">
        <v>1753149</v>
      </c>
      <c r="P247" s="35">
        <v>45887</v>
      </c>
      <c r="Q247" s="22"/>
    </row>
    <row r="248" spans="1:17" s="234" customFormat="1">
      <c r="A248" s="27" t="s">
        <v>59</v>
      </c>
      <c r="B248" s="39">
        <v>8134</v>
      </c>
      <c r="C248" s="183" t="s">
        <v>33</v>
      </c>
      <c r="D248" s="184">
        <v>13368</v>
      </c>
      <c r="E248" s="26">
        <v>45870</v>
      </c>
      <c r="F248" s="26">
        <v>45900</v>
      </c>
      <c r="G248" s="22" t="s">
        <v>107</v>
      </c>
      <c r="H248" s="34" t="s">
        <v>11</v>
      </c>
      <c r="I248" s="185">
        <v>0.01</v>
      </c>
      <c r="J248" s="186">
        <v>5.0000000000000001E-3</v>
      </c>
      <c r="K248" s="203"/>
      <c r="L248" s="188"/>
      <c r="M248" s="189" t="s">
        <v>32</v>
      </c>
      <c r="N248" s="189" t="s">
        <v>67</v>
      </c>
      <c r="O248" s="190">
        <v>1753143</v>
      </c>
      <c r="P248" s="35">
        <v>45887</v>
      </c>
      <c r="Q248" s="22"/>
    </row>
    <row r="249" spans="1:17" s="234" customFormat="1" ht="30">
      <c r="A249" s="27" t="s">
        <v>59</v>
      </c>
      <c r="B249" s="39">
        <v>8135</v>
      </c>
      <c r="C249" s="183" t="s">
        <v>33</v>
      </c>
      <c r="D249" s="184">
        <v>13368</v>
      </c>
      <c r="E249" s="26">
        <v>45870</v>
      </c>
      <c r="F249" s="26">
        <v>45900</v>
      </c>
      <c r="G249" s="236" t="s">
        <v>2700</v>
      </c>
      <c r="H249" s="34" t="s">
        <v>11</v>
      </c>
      <c r="I249" s="185">
        <v>0.01</v>
      </c>
      <c r="J249" s="186">
        <v>1.4999999999999999E-2</v>
      </c>
      <c r="K249" s="203"/>
      <c r="L249" s="188"/>
      <c r="M249" s="189" t="s">
        <v>32</v>
      </c>
      <c r="N249" s="189" t="s">
        <v>67</v>
      </c>
      <c r="O249" s="190">
        <v>1753143</v>
      </c>
      <c r="P249" s="35">
        <v>45887</v>
      </c>
      <c r="Q249" s="22"/>
    </row>
    <row r="250" spans="1:17" s="234" customFormat="1" ht="45">
      <c r="A250" s="27" t="s">
        <v>58</v>
      </c>
      <c r="B250" s="39">
        <v>8136</v>
      </c>
      <c r="C250" s="183" t="s">
        <v>33</v>
      </c>
      <c r="D250" s="184">
        <v>13368</v>
      </c>
      <c r="E250" s="26">
        <v>45870</v>
      </c>
      <c r="F250" s="26">
        <v>45900</v>
      </c>
      <c r="G250" s="242" t="s">
        <v>2790</v>
      </c>
      <c r="H250" s="34" t="s">
        <v>11</v>
      </c>
      <c r="I250" s="185">
        <v>0.01</v>
      </c>
      <c r="J250" s="186">
        <v>5.0000000000000001E-3</v>
      </c>
      <c r="K250" s="203"/>
      <c r="L250" s="188"/>
      <c r="M250" s="189" t="s">
        <v>32</v>
      </c>
      <c r="N250" s="189" t="s">
        <v>67</v>
      </c>
      <c r="O250" s="190">
        <v>1753143</v>
      </c>
      <c r="P250" s="35">
        <v>45887</v>
      </c>
      <c r="Q250" s="22"/>
    </row>
    <row r="251" spans="1:17" s="234" customFormat="1">
      <c r="A251" s="27" t="s">
        <v>58</v>
      </c>
      <c r="B251" s="39">
        <v>8137</v>
      </c>
      <c r="C251" s="183" t="s">
        <v>33</v>
      </c>
      <c r="D251" s="184">
        <v>13368</v>
      </c>
      <c r="E251" s="26">
        <v>45870</v>
      </c>
      <c r="F251" s="26">
        <v>45900</v>
      </c>
      <c r="G251" s="22" t="s">
        <v>2777</v>
      </c>
      <c r="H251" s="34" t="s">
        <v>11</v>
      </c>
      <c r="I251" s="185">
        <v>0.01</v>
      </c>
      <c r="J251" s="186">
        <v>1.4999999999999999E-2</v>
      </c>
      <c r="K251" s="187"/>
      <c r="L251" s="188"/>
      <c r="M251" s="189" t="s">
        <v>32</v>
      </c>
      <c r="N251" s="189" t="s">
        <v>67</v>
      </c>
      <c r="O251" s="190">
        <v>1753143</v>
      </c>
      <c r="P251" s="35">
        <v>45887</v>
      </c>
      <c r="Q251" s="22"/>
    </row>
    <row r="252" spans="1:17" s="234" customFormat="1">
      <c r="A252" s="27" t="s">
        <v>58</v>
      </c>
      <c r="B252" s="39">
        <v>8138</v>
      </c>
      <c r="C252" s="183" t="s">
        <v>33</v>
      </c>
      <c r="D252" s="184">
        <v>16872</v>
      </c>
      <c r="E252" s="26">
        <v>45870</v>
      </c>
      <c r="F252" s="26">
        <v>45899</v>
      </c>
      <c r="G252" s="22" t="s">
        <v>2778</v>
      </c>
      <c r="H252" s="34" t="s">
        <v>11</v>
      </c>
      <c r="I252" s="185">
        <v>0.01</v>
      </c>
      <c r="J252" s="186">
        <v>3.0000000000000001E-3</v>
      </c>
      <c r="K252" s="187"/>
      <c r="L252" s="188"/>
      <c r="M252" s="189" t="s">
        <v>32</v>
      </c>
      <c r="N252" s="189" t="s">
        <v>80</v>
      </c>
      <c r="O252" s="190">
        <v>1753133</v>
      </c>
      <c r="P252" s="35">
        <v>45887</v>
      </c>
      <c r="Q252" s="22"/>
    </row>
    <row r="253" spans="1:17" s="234" customFormat="1" ht="75">
      <c r="A253" s="27" t="s">
        <v>58</v>
      </c>
      <c r="B253" s="39">
        <v>8149</v>
      </c>
      <c r="C253" s="183" t="s">
        <v>33</v>
      </c>
      <c r="D253" s="184" t="s">
        <v>395</v>
      </c>
      <c r="E253" s="26">
        <v>45870</v>
      </c>
      <c r="F253" s="26">
        <v>45883</v>
      </c>
      <c r="G253" s="255" t="s">
        <v>2548</v>
      </c>
      <c r="H253" s="34" t="s">
        <v>11</v>
      </c>
      <c r="I253" s="185">
        <v>0.01</v>
      </c>
      <c r="J253" s="186">
        <v>1.4999999999999999E-2</v>
      </c>
      <c r="K253" s="203"/>
      <c r="L253" s="188"/>
      <c r="M253" s="189" t="s">
        <v>30</v>
      </c>
      <c r="N253" s="189" t="s">
        <v>82</v>
      </c>
      <c r="O253" s="190" t="s">
        <v>2573</v>
      </c>
      <c r="P253" s="35">
        <v>45887</v>
      </c>
      <c r="Q253" s="22"/>
    </row>
    <row r="254" spans="1:17" s="234" customFormat="1" ht="75">
      <c r="A254" s="27" t="s">
        <v>58</v>
      </c>
      <c r="B254" s="39">
        <v>8150</v>
      </c>
      <c r="C254" s="183" t="s">
        <v>33</v>
      </c>
      <c r="D254" s="184" t="s">
        <v>395</v>
      </c>
      <c r="E254" s="26">
        <v>45884</v>
      </c>
      <c r="F254" s="26">
        <v>45900</v>
      </c>
      <c r="G254" s="255" t="s">
        <v>2548</v>
      </c>
      <c r="H254" s="34" t="s">
        <v>11</v>
      </c>
      <c r="I254" s="185">
        <v>0.01</v>
      </c>
      <c r="J254" s="186">
        <v>1.7999999999999999E-2</v>
      </c>
      <c r="K254" s="203"/>
      <c r="L254" s="188"/>
      <c r="M254" s="189" t="s">
        <v>30</v>
      </c>
      <c r="N254" s="189" t="s">
        <v>82</v>
      </c>
      <c r="O254" s="190" t="s">
        <v>2573</v>
      </c>
      <c r="P254" s="35">
        <v>45887</v>
      </c>
      <c r="Q254" s="22"/>
    </row>
    <row r="255" spans="1:17" s="234" customFormat="1" ht="75">
      <c r="A255" s="27" t="s">
        <v>58</v>
      </c>
      <c r="B255" s="39">
        <v>8151</v>
      </c>
      <c r="C255" s="183" t="s">
        <v>33</v>
      </c>
      <c r="D255" s="184" t="s">
        <v>2350</v>
      </c>
      <c r="E255" s="26">
        <v>45870</v>
      </c>
      <c r="F255" s="26">
        <v>45883</v>
      </c>
      <c r="G255" s="255" t="s">
        <v>2548</v>
      </c>
      <c r="H255" s="34" t="s">
        <v>11</v>
      </c>
      <c r="I255" s="185">
        <v>0.01</v>
      </c>
      <c r="J255" s="186">
        <v>0.01</v>
      </c>
      <c r="K255" s="203"/>
      <c r="L255" s="188"/>
      <c r="M255" s="189" t="s">
        <v>27</v>
      </c>
      <c r="N255" s="189" t="s">
        <v>69</v>
      </c>
      <c r="O255" s="190" t="s">
        <v>2573</v>
      </c>
      <c r="P255" s="35">
        <v>45887</v>
      </c>
      <c r="Q255" s="22"/>
    </row>
    <row r="256" spans="1:17" s="234" customFormat="1" ht="75">
      <c r="A256" s="27" t="s">
        <v>58</v>
      </c>
      <c r="B256" s="39">
        <v>8152</v>
      </c>
      <c r="C256" s="183" t="s">
        <v>33</v>
      </c>
      <c r="D256" s="184" t="s">
        <v>2350</v>
      </c>
      <c r="E256" s="26">
        <v>45884</v>
      </c>
      <c r="F256" s="26">
        <v>45900</v>
      </c>
      <c r="G256" s="255" t="s">
        <v>2548</v>
      </c>
      <c r="H256" s="34" t="s">
        <v>11</v>
      </c>
      <c r="I256" s="185">
        <v>0.01</v>
      </c>
      <c r="J256" s="186">
        <v>1.2999999999999999E-2</v>
      </c>
      <c r="K256" s="203"/>
      <c r="L256" s="188"/>
      <c r="M256" s="189" t="s">
        <v>27</v>
      </c>
      <c r="N256" s="189" t="s">
        <v>69</v>
      </c>
      <c r="O256" s="190" t="s">
        <v>2573</v>
      </c>
      <c r="P256" s="35">
        <v>45887</v>
      </c>
      <c r="Q256" s="22"/>
    </row>
    <row r="257" spans="1:17" s="234" customFormat="1" ht="60">
      <c r="A257" s="27" t="s">
        <v>58</v>
      </c>
      <c r="B257" s="39">
        <v>8154</v>
      </c>
      <c r="C257" s="183" t="s">
        <v>33</v>
      </c>
      <c r="D257" s="184">
        <v>8856</v>
      </c>
      <c r="E257" s="26">
        <v>45870</v>
      </c>
      <c r="F257" s="26">
        <v>45900</v>
      </c>
      <c r="G257" s="255" t="s">
        <v>2779</v>
      </c>
      <c r="H257" s="34" t="s">
        <v>11</v>
      </c>
      <c r="I257" s="185">
        <v>200000</v>
      </c>
      <c r="J257" s="186">
        <v>5.0000000000000001E-3</v>
      </c>
      <c r="K257" s="203"/>
      <c r="L257" s="188"/>
      <c r="M257" s="189" t="s">
        <v>17</v>
      </c>
      <c r="N257" s="189" t="s">
        <v>94</v>
      </c>
      <c r="O257" s="190" t="s">
        <v>2626</v>
      </c>
      <c r="P257" s="35">
        <v>45882</v>
      </c>
      <c r="Q257" s="22"/>
    </row>
    <row r="258" spans="1:17" s="234" customFormat="1" ht="45">
      <c r="A258" s="27" t="s">
        <v>58</v>
      </c>
      <c r="B258" s="39">
        <v>8155</v>
      </c>
      <c r="C258" s="183" t="s">
        <v>33</v>
      </c>
      <c r="D258" s="184">
        <v>14206</v>
      </c>
      <c r="E258" s="26">
        <v>45870</v>
      </c>
      <c r="F258" s="26">
        <v>45900</v>
      </c>
      <c r="G258" s="255" t="s">
        <v>2628</v>
      </c>
      <c r="H258" s="34" t="s">
        <v>11</v>
      </c>
      <c r="I258" s="185">
        <v>200000</v>
      </c>
      <c r="J258" s="225">
        <v>250</v>
      </c>
      <c r="K258" s="203"/>
      <c r="L258" s="188"/>
      <c r="M258" s="189" t="s">
        <v>46</v>
      </c>
      <c r="N258" s="189" t="s">
        <v>70</v>
      </c>
      <c r="O258" s="190" t="s">
        <v>2627</v>
      </c>
      <c r="P258" s="35">
        <v>45882</v>
      </c>
      <c r="Q258" s="22"/>
    </row>
    <row r="259" spans="1:17" s="234" customFormat="1" ht="45">
      <c r="A259" s="27" t="s">
        <v>58</v>
      </c>
      <c r="B259" s="39">
        <v>8155</v>
      </c>
      <c r="C259" s="183" t="s">
        <v>33</v>
      </c>
      <c r="D259" s="184">
        <v>14206</v>
      </c>
      <c r="E259" s="26">
        <v>45870</v>
      </c>
      <c r="F259" s="26">
        <v>45900</v>
      </c>
      <c r="G259" s="255" t="s">
        <v>2628</v>
      </c>
      <c r="H259" s="34" t="s">
        <v>11</v>
      </c>
      <c r="I259" s="185">
        <v>400000</v>
      </c>
      <c r="J259" s="225">
        <v>500</v>
      </c>
      <c r="K259" s="203"/>
      <c r="L259" s="188"/>
      <c r="M259" s="189" t="s">
        <v>46</v>
      </c>
      <c r="N259" s="189" t="s">
        <v>70</v>
      </c>
      <c r="O259" s="190" t="s">
        <v>2627</v>
      </c>
      <c r="P259" s="35">
        <v>45882</v>
      </c>
      <c r="Q259" s="22"/>
    </row>
    <row r="260" spans="1:17" s="234" customFormat="1" ht="60">
      <c r="A260" s="27" t="s">
        <v>58</v>
      </c>
      <c r="B260" s="39">
        <v>8156</v>
      </c>
      <c r="C260" s="183" t="s">
        <v>33</v>
      </c>
      <c r="D260" s="184">
        <v>6109</v>
      </c>
      <c r="E260" s="26">
        <v>45870</v>
      </c>
      <c r="F260" s="26">
        <v>45900</v>
      </c>
      <c r="G260" s="255" t="s">
        <v>2793</v>
      </c>
      <c r="H260" s="34" t="s">
        <v>11</v>
      </c>
      <c r="I260" s="185">
        <v>0.01</v>
      </c>
      <c r="J260" s="186">
        <v>5.0000000000000001E-3</v>
      </c>
      <c r="K260" s="203"/>
      <c r="L260" s="188"/>
      <c r="M260" s="189" t="s">
        <v>30</v>
      </c>
      <c r="N260" s="189" t="s">
        <v>82</v>
      </c>
      <c r="O260" s="190" t="s">
        <v>2629</v>
      </c>
      <c r="P260" s="35">
        <v>45882</v>
      </c>
      <c r="Q260" s="22"/>
    </row>
    <row r="261" spans="1:17" s="234" customFormat="1" ht="60">
      <c r="A261" s="27" t="s">
        <v>59</v>
      </c>
      <c r="B261" s="39">
        <v>8157</v>
      </c>
      <c r="C261" s="183" t="s">
        <v>33</v>
      </c>
      <c r="D261" s="184" t="s">
        <v>2350</v>
      </c>
      <c r="E261" s="26">
        <v>45870</v>
      </c>
      <c r="F261" s="26">
        <v>45896</v>
      </c>
      <c r="G261" s="255" t="s">
        <v>2631</v>
      </c>
      <c r="H261" s="34" t="s">
        <v>11</v>
      </c>
      <c r="I261" s="185">
        <v>1000</v>
      </c>
      <c r="J261" s="186">
        <v>2.5999999999999999E-3</v>
      </c>
      <c r="K261" s="203"/>
      <c r="L261" s="188"/>
      <c r="M261" s="189" t="s">
        <v>27</v>
      </c>
      <c r="N261" s="189" t="s">
        <v>69</v>
      </c>
      <c r="O261" s="190" t="s">
        <v>2630</v>
      </c>
      <c r="P261" s="35">
        <v>45882</v>
      </c>
      <c r="Q261" s="22"/>
    </row>
    <row r="262" spans="1:17" s="234" customFormat="1" ht="60">
      <c r="A262" s="27" t="s">
        <v>59</v>
      </c>
      <c r="B262" s="39">
        <v>8158</v>
      </c>
      <c r="C262" s="183" t="s">
        <v>33</v>
      </c>
      <c r="D262" s="184" t="s">
        <v>2350</v>
      </c>
      <c r="E262" s="26">
        <v>45870</v>
      </c>
      <c r="F262" s="26">
        <v>45896</v>
      </c>
      <c r="G262" s="255" t="s">
        <v>2632</v>
      </c>
      <c r="H262" s="34" t="s">
        <v>11</v>
      </c>
      <c r="I262" s="185">
        <v>1000</v>
      </c>
      <c r="J262" s="186">
        <v>2.0999999999999999E-3</v>
      </c>
      <c r="K262" s="203"/>
      <c r="L262" s="188"/>
      <c r="M262" s="189" t="s">
        <v>27</v>
      </c>
      <c r="N262" s="189" t="s">
        <v>69</v>
      </c>
      <c r="O262" s="190" t="s">
        <v>2630</v>
      </c>
      <c r="P262" s="35">
        <v>45882</v>
      </c>
      <c r="Q262" s="22"/>
    </row>
    <row r="263" spans="1:17" s="234" customFormat="1" ht="60">
      <c r="A263" s="27" t="s">
        <v>58</v>
      </c>
      <c r="B263" s="39">
        <v>8159</v>
      </c>
      <c r="C263" s="183" t="s">
        <v>33</v>
      </c>
      <c r="D263" s="184">
        <v>6832</v>
      </c>
      <c r="E263" s="26">
        <v>45870</v>
      </c>
      <c r="F263" s="26">
        <v>45900</v>
      </c>
      <c r="G263" s="255" t="s">
        <v>2634</v>
      </c>
      <c r="H263" s="34" t="s">
        <v>11</v>
      </c>
      <c r="I263" s="185">
        <v>60000</v>
      </c>
      <c r="J263" s="186">
        <v>3.5000000000000001E-3</v>
      </c>
      <c r="K263" s="203"/>
      <c r="L263" s="188"/>
      <c r="M263" s="189" t="s">
        <v>18</v>
      </c>
      <c r="N263" s="189" t="s">
        <v>74</v>
      </c>
      <c r="O263" s="190" t="s">
        <v>2633</v>
      </c>
      <c r="P263" s="35">
        <v>45882</v>
      </c>
      <c r="Q263" s="22"/>
    </row>
    <row r="264" spans="1:17" s="234" customFormat="1" ht="30">
      <c r="A264" s="27" t="s">
        <v>58</v>
      </c>
      <c r="B264" s="39">
        <v>8165</v>
      </c>
      <c r="C264" s="183" t="s">
        <v>33</v>
      </c>
      <c r="D264" s="184" t="s">
        <v>2636</v>
      </c>
      <c r="E264" s="26">
        <v>45870</v>
      </c>
      <c r="F264" s="26">
        <v>45883</v>
      </c>
      <c r="G264" s="255" t="s">
        <v>2548</v>
      </c>
      <c r="H264" s="34" t="s">
        <v>11</v>
      </c>
      <c r="I264" s="185">
        <v>0.01</v>
      </c>
      <c r="J264" s="186">
        <v>7.0000000000000001E-3</v>
      </c>
      <c r="K264" s="203"/>
      <c r="L264" s="188"/>
      <c r="M264" s="189" t="s">
        <v>30</v>
      </c>
      <c r="N264" s="189" t="s">
        <v>82</v>
      </c>
      <c r="O264" s="190" t="s">
        <v>2635</v>
      </c>
      <c r="P264" s="35">
        <v>45887</v>
      </c>
      <c r="Q264" s="22"/>
    </row>
    <row r="265" spans="1:17" s="234" customFormat="1" ht="30">
      <c r="A265" s="27" t="s">
        <v>58</v>
      </c>
      <c r="B265" s="39">
        <v>8166</v>
      </c>
      <c r="C265" s="183" t="s">
        <v>33</v>
      </c>
      <c r="D265" s="184" t="s">
        <v>2636</v>
      </c>
      <c r="E265" s="26">
        <v>45884</v>
      </c>
      <c r="F265" s="26">
        <v>45900</v>
      </c>
      <c r="G265" s="255" t="s">
        <v>2548</v>
      </c>
      <c r="H265" s="34" t="s">
        <v>11</v>
      </c>
      <c r="I265" s="185">
        <v>0.01</v>
      </c>
      <c r="J265" s="186">
        <v>0.01</v>
      </c>
      <c r="K265" s="203"/>
      <c r="L265" s="188"/>
      <c r="M265" s="189" t="s">
        <v>30</v>
      </c>
      <c r="N265" s="189" t="s">
        <v>82</v>
      </c>
      <c r="O265" s="190" t="s">
        <v>2635</v>
      </c>
      <c r="P265" s="35">
        <v>45887</v>
      </c>
      <c r="Q265" s="22"/>
    </row>
    <row r="266" spans="1:17" s="234" customFormat="1" ht="30">
      <c r="A266" s="27" t="s">
        <v>58</v>
      </c>
      <c r="B266" s="39">
        <v>8167</v>
      </c>
      <c r="C266" s="183" t="s">
        <v>33</v>
      </c>
      <c r="D266" s="184" t="s">
        <v>2637</v>
      </c>
      <c r="E266" s="26">
        <v>45870</v>
      </c>
      <c r="F266" s="26">
        <v>45883</v>
      </c>
      <c r="G266" s="255" t="s">
        <v>2548</v>
      </c>
      <c r="H266" s="34" t="s">
        <v>11</v>
      </c>
      <c r="I266" s="185">
        <v>0.01</v>
      </c>
      <c r="J266" s="186">
        <v>1.4999999999999999E-2</v>
      </c>
      <c r="K266" s="203"/>
      <c r="L266" s="188"/>
      <c r="M266" s="189" t="s">
        <v>30</v>
      </c>
      <c r="N266" s="189" t="s">
        <v>82</v>
      </c>
      <c r="O266" s="190" t="s">
        <v>2635</v>
      </c>
      <c r="P266" s="35">
        <v>45887</v>
      </c>
      <c r="Q266" s="22"/>
    </row>
    <row r="267" spans="1:17" s="234" customFormat="1" ht="30">
      <c r="A267" s="27" t="s">
        <v>58</v>
      </c>
      <c r="B267" s="39">
        <v>8168</v>
      </c>
      <c r="C267" s="183" t="s">
        <v>33</v>
      </c>
      <c r="D267" s="184" t="s">
        <v>2637</v>
      </c>
      <c r="E267" s="26">
        <v>45884</v>
      </c>
      <c r="F267" s="26">
        <v>45900</v>
      </c>
      <c r="G267" s="255" t="s">
        <v>2548</v>
      </c>
      <c r="H267" s="34" t="s">
        <v>11</v>
      </c>
      <c r="I267" s="185">
        <v>0.01</v>
      </c>
      <c r="J267" s="186">
        <v>1.7999999999999999E-2</v>
      </c>
      <c r="K267" s="203"/>
      <c r="L267" s="188"/>
      <c r="M267" s="189" t="s">
        <v>30</v>
      </c>
      <c r="N267" s="189" t="s">
        <v>82</v>
      </c>
      <c r="O267" s="190" t="s">
        <v>2635</v>
      </c>
      <c r="P267" s="35">
        <v>45887</v>
      </c>
      <c r="Q267" s="22"/>
    </row>
    <row r="268" spans="1:17" s="234" customFormat="1" ht="45">
      <c r="A268" s="27" t="s">
        <v>58</v>
      </c>
      <c r="B268" s="39">
        <v>8169</v>
      </c>
      <c r="C268" s="183" t="s">
        <v>33</v>
      </c>
      <c r="D268" s="184" t="s">
        <v>2638</v>
      </c>
      <c r="E268" s="26">
        <v>45870</v>
      </c>
      <c r="F268" s="26">
        <v>45883</v>
      </c>
      <c r="G268" s="255" t="s">
        <v>2639</v>
      </c>
      <c r="H268" s="34" t="s">
        <v>11</v>
      </c>
      <c r="I268" s="185">
        <v>0.01</v>
      </c>
      <c r="J268" s="186" t="s">
        <v>2741</v>
      </c>
      <c r="K268" s="203"/>
      <c r="L268" s="188"/>
      <c r="M268" s="189" t="s">
        <v>30</v>
      </c>
      <c r="N268" s="189" t="s">
        <v>82</v>
      </c>
      <c r="O268" s="190" t="s">
        <v>2635</v>
      </c>
      <c r="P268" s="35">
        <v>45887</v>
      </c>
      <c r="Q268" s="22"/>
    </row>
    <row r="269" spans="1:17" s="234" customFormat="1" ht="30">
      <c r="A269" s="27" t="s">
        <v>58</v>
      </c>
      <c r="B269" s="39">
        <v>8170</v>
      </c>
      <c r="C269" s="183" t="s">
        <v>33</v>
      </c>
      <c r="D269" s="184" t="s">
        <v>2638</v>
      </c>
      <c r="E269" s="26">
        <v>45884</v>
      </c>
      <c r="F269" s="26">
        <v>45900</v>
      </c>
      <c r="G269" s="255" t="s">
        <v>2548</v>
      </c>
      <c r="H269" s="34" t="s">
        <v>11</v>
      </c>
      <c r="I269" s="185">
        <v>0.01</v>
      </c>
      <c r="J269" s="186">
        <v>3.0000000000000001E-3</v>
      </c>
      <c r="K269" s="203"/>
      <c r="L269" s="188"/>
      <c r="M269" s="189" t="s">
        <v>30</v>
      </c>
      <c r="N269" s="189" t="s">
        <v>82</v>
      </c>
      <c r="O269" s="190" t="s">
        <v>2635</v>
      </c>
      <c r="P269" s="35">
        <v>45887</v>
      </c>
      <c r="Q269" s="22"/>
    </row>
    <row r="270" spans="1:17" s="234" customFormat="1" ht="30">
      <c r="A270" s="27" t="s">
        <v>58</v>
      </c>
      <c r="B270" s="39">
        <v>8171</v>
      </c>
      <c r="C270" s="183" t="s">
        <v>33</v>
      </c>
      <c r="D270" s="184">
        <v>6230</v>
      </c>
      <c r="E270" s="26">
        <v>45870</v>
      </c>
      <c r="F270" s="26">
        <v>45883</v>
      </c>
      <c r="G270" s="255" t="s">
        <v>2548</v>
      </c>
      <c r="H270" s="34" t="s">
        <v>11</v>
      </c>
      <c r="I270" s="185">
        <v>0.01</v>
      </c>
      <c r="J270" s="186">
        <v>5.0000000000000001E-3</v>
      </c>
      <c r="K270" s="203"/>
      <c r="L270" s="188"/>
      <c r="M270" s="189" t="s">
        <v>30</v>
      </c>
      <c r="N270" s="189" t="s">
        <v>82</v>
      </c>
      <c r="O270" s="190" t="s">
        <v>2635</v>
      </c>
      <c r="P270" s="35">
        <v>45887</v>
      </c>
      <c r="Q270" s="22"/>
    </row>
    <row r="271" spans="1:17" s="234" customFormat="1" ht="30">
      <c r="A271" s="27" t="s">
        <v>58</v>
      </c>
      <c r="B271" s="39">
        <v>8172</v>
      </c>
      <c r="C271" s="183" t="s">
        <v>33</v>
      </c>
      <c r="D271" s="184">
        <v>6230</v>
      </c>
      <c r="E271" s="26">
        <v>45884</v>
      </c>
      <c r="F271" s="26">
        <v>45900</v>
      </c>
      <c r="G271" s="255" t="s">
        <v>2548</v>
      </c>
      <c r="H271" s="34" t="s">
        <v>11</v>
      </c>
      <c r="I271" s="185">
        <v>0.01</v>
      </c>
      <c r="J271" s="186">
        <v>0.01</v>
      </c>
      <c r="K271" s="203"/>
      <c r="L271" s="188"/>
      <c r="M271" s="189" t="s">
        <v>30</v>
      </c>
      <c r="N271" s="189" t="s">
        <v>82</v>
      </c>
      <c r="O271" s="190" t="s">
        <v>2635</v>
      </c>
      <c r="P271" s="35">
        <v>45887</v>
      </c>
      <c r="Q271" s="22"/>
    </row>
    <row r="272" spans="1:17" s="234" customFormat="1" ht="30">
      <c r="A272" s="27" t="s">
        <v>58</v>
      </c>
      <c r="B272" s="39">
        <v>8173</v>
      </c>
      <c r="C272" s="183" t="s">
        <v>33</v>
      </c>
      <c r="D272" s="184">
        <v>7274</v>
      </c>
      <c r="E272" s="26">
        <v>45870</v>
      </c>
      <c r="F272" s="26">
        <v>45883</v>
      </c>
      <c r="G272" s="255" t="s">
        <v>2548</v>
      </c>
      <c r="H272" s="34" t="s">
        <v>11</v>
      </c>
      <c r="I272" s="185">
        <v>0.01</v>
      </c>
      <c r="J272" s="186">
        <v>1.4999999999999999E-2</v>
      </c>
      <c r="K272" s="203"/>
      <c r="L272" s="188"/>
      <c r="M272" s="189" t="s">
        <v>30</v>
      </c>
      <c r="N272" s="189" t="s">
        <v>82</v>
      </c>
      <c r="O272" s="190" t="s">
        <v>2635</v>
      </c>
      <c r="P272" s="35">
        <v>45887</v>
      </c>
      <c r="Q272" s="22"/>
    </row>
    <row r="273" spans="1:17" s="234" customFormat="1" ht="30">
      <c r="A273" s="27" t="s">
        <v>58</v>
      </c>
      <c r="B273" s="39">
        <v>8174</v>
      </c>
      <c r="C273" s="183" t="s">
        <v>33</v>
      </c>
      <c r="D273" s="184">
        <v>7274</v>
      </c>
      <c r="E273" s="26">
        <v>45884</v>
      </c>
      <c r="F273" s="26">
        <v>45900</v>
      </c>
      <c r="G273" s="255" t="s">
        <v>2548</v>
      </c>
      <c r="H273" s="34" t="s">
        <v>11</v>
      </c>
      <c r="I273" s="185">
        <v>0.01</v>
      </c>
      <c r="J273" s="186">
        <v>1.7999999999999999E-2</v>
      </c>
      <c r="K273" s="203"/>
      <c r="L273" s="188"/>
      <c r="M273" s="189" t="s">
        <v>30</v>
      </c>
      <c r="N273" s="189" t="s">
        <v>82</v>
      </c>
      <c r="O273" s="190" t="s">
        <v>2635</v>
      </c>
      <c r="P273" s="35">
        <v>45887</v>
      </c>
      <c r="Q273" s="22"/>
    </row>
    <row r="274" spans="1:17" s="234" customFormat="1" ht="45">
      <c r="A274" s="27" t="s">
        <v>58</v>
      </c>
      <c r="B274" s="39">
        <v>8175</v>
      </c>
      <c r="C274" s="183" t="s">
        <v>33</v>
      </c>
      <c r="D274" s="184">
        <v>2619</v>
      </c>
      <c r="E274" s="26">
        <v>45870</v>
      </c>
      <c r="F274" s="26">
        <v>45899</v>
      </c>
      <c r="G274" s="255" t="s">
        <v>2640</v>
      </c>
      <c r="H274" s="34" t="s">
        <v>11</v>
      </c>
      <c r="I274" s="185">
        <v>0.01</v>
      </c>
      <c r="J274" s="186">
        <v>0.01</v>
      </c>
      <c r="K274" s="203"/>
      <c r="L274" s="188"/>
      <c r="M274" s="189" t="s">
        <v>32</v>
      </c>
      <c r="N274" s="189" t="s">
        <v>80</v>
      </c>
      <c r="O274" s="190" t="s">
        <v>2071</v>
      </c>
      <c r="P274" s="35">
        <v>45883</v>
      </c>
      <c r="Q274" s="22"/>
    </row>
    <row r="275" spans="1:17" s="234" customFormat="1" ht="60">
      <c r="A275" s="27" t="s">
        <v>58</v>
      </c>
      <c r="B275" s="39">
        <v>8176</v>
      </c>
      <c r="C275" s="183" t="s">
        <v>33</v>
      </c>
      <c r="D275" s="184">
        <v>15001</v>
      </c>
      <c r="E275" s="26">
        <v>45870</v>
      </c>
      <c r="F275" s="26">
        <v>45900</v>
      </c>
      <c r="G275" s="28" t="s">
        <v>2780</v>
      </c>
      <c r="H275" s="34" t="s">
        <v>11</v>
      </c>
      <c r="I275" s="185">
        <v>10000</v>
      </c>
      <c r="J275" s="186">
        <v>1.4E-3</v>
      </c>
      <c r="K275" s="237"/>
      <c r="L275" s="188"/>
      <c r="M275" s="189" t="s">
        <v>17</v>
      </c>
      <c r="N275" s="189" t="s">
        <v>94</v>
      </c>
      <c r="O275" s="190" t="s">
        <v>2641</v>
      </c>
      <c r="P275" s="35">
        <v>45882</v>
      </c>
      <c r="Q275" s="22"/>
    </row>
    <row r="276" spans="1:17" s="234" customFormat="1" ht="75">
      <c r="A276" s="27" t="s">
        <v>58</v>
      </c>
      <c r="B276" s="39">
        <v>8178</v>
      </c>
      <c r="C276" s="183" t="s">
        <v>33</v>
      </c>
      <c r="D276" s="184">
        <v>8856</v>
      </c>
      <c r="E276" s="26">
        <v>45870</v>
      </c>
      <c r="F276" s="26">
        <v>45899</v>
      </c>
      <c r="G276" s="28" t="s">
        <v>2779</v>
      </c>
      <c r="H276" s="34" t="s">
        <v>11</v>
      </c>
      <c r="I276" s="185">
        <v>200000</v>
      </c>
      <c r="J276" s="186">
        <v>5.0000000000000001E-3</v>
      </c>
      <c r="K276" s="237"/>
      <c r="L276" s="188"/>
      <c r="M276" s="189" t="s">
        <v>17</v>
      </c>
      <c r="N276" s="189" t="s">
        <v>94</v>
      </c>
      <c r="O276" s="190" t="s">
        <v>2642</v>
      </c>
      <c r="P276" s="35">
        <v>45882</v>
      </c>
      <c r="Q276" s="22"/>
    </row>
    <row r="277" spans="1:17" s="234" customFormat="1" ht="75">
      <c r="A277" s="27" t="s">
        <v>58</v>
      </c>
      <c r="B277" s="39">
        <v>8179</v>
      </c>
      <c r="C277" s="183" t="s">
        <v>33</v>
      </c>
      <c r="D277" s="184">
        <v>8856</v>
      </c>
      <c r="E277" s="26">
        <v>45870</v>
      </c>
      <c r="F277" s="26">
        <v>45899</v>
      </c>
      <c r="G277" s="28" t="s">
        <v>2779</v>
      </c>
      <c r="H277" s="34" t="s">
        <v>11</v>
      </c>
      <c r="I277" s="185">
        <v>200000</v>
      </c>
      <c r="J277" s="186">
        <v>5.0000000000000001E-3</v>
      </c>
      <c r="K277" s="237"/>
      <c r="L277" s="188"/>
      <c r="M277" s="189" t="s">
        <v>17</v>
      </c>
      <c r="N277" s="189" t="s">
        <v>94</v>
      </c>
      <c r="O277" s="190" t="s">
        <v>2642</v>
      </c>
      <c r="P277" s="35">
        <v>45882</v>
      </c>
      <c r="Q277" s="22"/>
    </row>
    <row r="278" spans="1:17" s="234" customFormat="1" ht="75">
      <c r="A278" s="27" t="s">
        <v>58</v>
      </c>
      <c r="B278" s="39">
        <v>8180</v>
      </c>
      <c r="C278" s="183" t="s">
        <v>33</v>
      </c>
      <c r="D278" s="184">
        <v>8856</v>
      </c>
      <c r="E278" s="26">
        <v>45870</v>
      </c>
      <c r="F278" s="26">
        <v>45899</v>
      </c>
      <c r="G278" s="28" t="s">
        <v>2779</v>
      </c>
      <c r="H278" s="34" t="s">
        <v>11</v>
      </c>
      <c r="I278" s="185">
        <v>200000</v>
      </c>
      <c r="J278" s="186">
        <v>5.0000000000000001E-3</v>
      </c>
      <c r="K278" s="237"/>
      <c r="L278" s="188"/>
      <c r="M278" s="189" t="s">
        <v>17</v>
      </c>
      <c r="N278" s="189" t="s">
        <v>94</v>
      </c>
      <c r="O278" s="190" t="s">
        <v>2642</v>
      </c>
      <c r="P278" s="35">
        <v>45882</v>
      </c>
      <c r="Q278" s="22"/>
    </row>
    <row r="279" spans="1:17" s="234" customFormat="1" ht="75">
      <c r="A279" s="27" t="s">
        <v>59</v>
      </c>
      <c r="B279" s="39">
        <v>8181</v>
      </c>
      <c r="C279" s="183" t="s">
        <v>33</v>
      </c>
      <c r="D279" s="184">
        <v>13899</v>
      </c>
      <c r="E279" s="26">
        <v>45870</v>
      </c>
      <c r="F279" s="26">
        <v>45900</v>
      </c>
      <c r="G279" s="22" t="s">
        <v>990</v>
      </c>
      <c r="H279" s="34" t="s">
        <v>11</v>
      </c>
      <c r="I279" s="185">
        <v>30000</v>
      </c>
      <c r="J279" s="186">
        <v>2E-3</v>
      </c>
      <c r="K279" s="203"/>
      <c r="L279" s="188"/>
      <c r="M279" s="189" t="s">
        <v>34</v>
      </c>
      <c r="N279" s="189" t="s">
        <v>151</v>
      </c>
      <c r="O279" s="190" t="s">
        <v>2643</v>
      </c>
      <c r="P279" s="35">
        <v>45882</v>
      </c>
      <c r="Q279" s="22"/>
    </row>
    <row r="280" spans="1:17" s="234" customFormat="1" ht="75">
      <c r="A280" s="27" t="s">
        <v>59</v>
      </c>
      <c r="B280" s="39">
        <v>8182</v>
      </c>
      <c r="C280" s="183" t="s">
        <v>33</v>
      </c>
      <c r="D280" s="184">
        <v>13864</v>
      </c>
      <c r="E280" s="26">
        <v>45870</v>
      </c>
      <c r="F280" s="26">
        <v>45900</v>
      </c>
      <c r="G280" s="22" t="s">
        <v>990</v>
      </c>
      <c r="H280" s="34" t="s">
        <v>11</v>
      </c>
      <c r="I280" s="185">
        <v>30000</v>
      </c>
      <c r="J280" s="186">
        <v>2E-3</v>
      </c>
      <c r="K280" s="203"/>
      <c r="L280" s="188"/>
      <c r="M280" s="189" t="s">
        <v>34</v>
      </c>
      <c r="N280" s="189" t="s">
        <v>151</v>
      </c>
      <c r="O280" s="190" t="s">
        <v>2643</v>
      </c>
      <c r="P280" s="35">
        <v>45882</v>
      </c>
      <c r="Q280" s="22"/>
    </row>
    <row r="281" spans="1:17" s="234" customFormat="1" ht="45">
      <c r="A281" s="204" t="s">
        <v>59</v>
      </c>
      <c r="B281" s="222">
        <v>8183</v>
      </c>
      <c r="C281" s="183" t="s">
        <v>33</v>
      </c>
      <c r="D281" s="205">
        <v>9566</v>
      </c>
      <c r="E281" s="206">
        <v>45870</v>
      </c>
      <c r="F281" s="206">
        <v>45900</v>
      </c>
      <c r="G281" s="256" t="s">
        <v>2696</v>
      </c>
      <c r="H281" s="207" t="s">
        <v>11</v>
      </c>
      <c r="I281" s="185">
        <v>0.01</v>
      </c>
      <c r="J281" s="208">
        <v>2E-3</v>
      </c>
      <c r="K281" s="243">
        <f t="shared" ref="K281:K290" si="0">J281*I281</f>
        <v>2.0000000000000002E-5</v>
      </c>
      <c r="L281" s="209" t="s">
        <v>14</v>
      </c>
      <c r="M281" s="189" t="s">
        <v>14</v>
      </c>
      <c r="N281" s="189" t="s">
        <v>71</v>
      </c>
      <c r="O281" s="210" t="s">
        <v>2644</v>
      </c>
      <c r="P281" s="211">
        <v>45888</v>
      </c>
      <c r="Q281" s="212"/>
    </row>
    <row r="282" spans="1:17" s="234" customFormat="1" ht="45">
      <c r="A282" s="27" t="s">
        <v>58</v>
      </c>
      <c r="B282" s="39">
        <v>8184</v>
      </c>
      <c r="C282" s="183" t="s">
        <v>33</v>
      </c>
      <c r="D282" s="184">
        <v>13611</v>
      </c>
      <c r="E282" s="26">
        <v>45870</v>
      </c>
      <c r="F282" s="26">
        <v>45900</v>
      </c>
      <c r="G282" s="255" t="s">
        <v>2645</v>
      </c>
      <c r="H282" s="34" t="s">
        <v>11</v>
      </c>
      <c r="I282" s="185">
        <v>0.01</v>
      </c>
      <c r="J282" s="186">
        <v>2E-3</v>
      </c>
      <c r="K282" s="203">
        <f t="shared" si="0"/>
        <v>2.0000000000000002E-5</v>
      </c>
      <c r="L282" s="188" t="s">
        <v>14</v>
      </c>
      <c r="M282" s="189" t="s">
        <v>14</v>
      </c>
      <c r="N282" s="189" t="s">
        <v>68</v>
      </c>
      <c r="O282" s="190" t="s">
        <v>2644</v>
      </c>
      <c r="P282" s="35">
        <v>45888</v>
      </c>
      <c r="Q282" s="22"/>
    </row>
    <row r="283" spans="1:17" s="234" customFormat="1" ht="45">
      <c r="A283" s="27" t="s">
        <v>58</v>
      </c>
      <c r="B283" s="39">
        <v>8185</v>
      </c>
      <c r="C283" s="183" t="s">
        <v>33</v>
      </c>
      <c r="D283" s="184">
        <v>8571</v>
      </c>
      <c r="E283" s="26">
        <v>45870</v>
      </c>
      <c r="F283" s="26">
        <v>45900</v>
      </c>
      <c r="G283" s="255" t="s">
        <v>2645</v>
      </c>
      <c r="H283" s="34" t="s">
        <v>11</v>
      </c>
      <c r="I283" s="185">
        <v>0.01</v>
      </c>
      <c r="J283" s="186">
        <v>2E-3</v>
      </c>
      <c r="K283" s="203">
        <f t="shared" si="0"/>
        <v>2.0000000000000002E-5</v>
      </c>
      <c r="L283" s="188" t="s">
        <v>14</v>
      </c>
      <c r="M283" s="189" t="s">
        <v>14</v>
      </c>
      <c r="N283" s="189" t="s">
        <v>71</v>
      </c>
      <c r="O283" s="190" t="s">
        <v>2644</v>
      </c>
      <c r="P283" s="35">
        <v>45888</v>
      </c>
      <c r="Q283" s="22"/>
    </row>
    <row r="284" spans="1:17" s="234" customFormat="1" ht="45">
      <c r="A284" s="27" t="s">
        <v>58</v>
      </c>
      <c r="B284" s="39">
        <v>8186</v>
      </c>
      <c r="C284" s="183" t="s">
        <v>33</v>
      </c>
      <c r="D284" s="184">
        <v>17188</v>
      </c>
      <c r="E284" s="26">
        <v>45870</v>
      </c>
      <c r="F284" s="26">
        <v>45900</v>
      </c>
      <c r="G284" s="255" t="s">
        <v>2645</v>
      </c>
      <c r="H284" s="34" t="s">
        <v>11</v>
      </c>
      <c r="I284" s="185">
        <v>0.01</v>
      </c>
      <c r="J284" s="186">
        <v>2E-3</v>
      </c>
      <c r="K284" s="203">
        <f t="shared" si="0"/>
        <v>2.0000000000000002E-5</v>
      </c>
      <c r="L284" s="188" t="s">
        <v>14</v>
      </c>
      <c r="M284" s="189" t="s">
        <v>14</v>
      </c>
      <c r="N284" s="189" t="s">
        <v>71</v>
      </c>
      <c r="O284" s="190" t="s">
        <v>2644</v>
      </c>
      <c r="P284" s="35">
        <v>45888</v>
      </c>
      <c r="Q284" s="22"/>
    </row>
    <row r="285" spans="1:17" s="234" customFormat="1" ht="45">
      <c r="A285" s="27" t="s">
        <v>58</v>
      </c>
      <c r="B285" s="39">
        <v>8187</v>
      </c>
      <c r="C285" s="183" t="s">
        <v>33</v>
      </c>
      <c r="D285" s="184">
        <v>15096</v>
      </c>
      <c r="E285" s="26">
        <v>45870</v>
      </c>
      <c r="F285" s="26">
        <v>45900</v>
      </c>
      <c r="G285" s="255" t="s">
        <v>2645</v>
      </c>
      <c r="H285" s="34" t="s">
        <v>11</v>
      </c>
      <c r="I285" s="185">
        <v>0.01</v>
      </c>
      <c r="J285" s="186">
        <v>2E-3</v>
      </c>
      <c r="K285" s="203">
        <f t="shared" si="0"/>
        <v>2.0000000000000002E-5</v>
      </c>
      <c r="L285" s="188" t="s">
        <v>14</v>
      </c>
      <c r="M285" s="189" t="s">
        <v>49</v>
      </c>
      <c r="N285" s="189" t="s">
        <v>79</v>
      </c>
      <c r="O285" s="190" t="s">
        <v>2644</v>
      </c>
      <c r="P285" s="35">
        <v>45888</v>
      </c>
      <c r="Q285" s="22"/>
    </row>
    <row r="286" spans="1:17" s="234" customFormat="1" ht="45">
      <c r="A286" s="27" t="s">
        <v>58</v>
      </c>
      <c r="B286" s="39">
        <v>8188</v>
      </c>
      <c r="C286" s="183" t="s">
        <v>33</v>
      </c>
      <c r="D286" s="184">
        <v>14750</v>
      </c>
      <c r="E286" s="26">
        <v>45870</v>
      </c>
      <c r="F286" s="26">
        <v>45900</v>
      </c>
      <c r="G286" s="255" t="s">
        <v>2645</v>
      </c>
      <c r="H286" s="34" t="s">
        <v>11</v>
      </c>
      <c r="I286" s="185">
        <v>0.01</v>
      </c>
      <c r="J286" s="186">
        <v>2E-3</v>
      </c>
      <c r="K286" s="203">
        <f t="shared" si="0"/>
        <v>2.0000000000000002E-5</v>
      </c>
      <c r="L286" s="188" t="s">
        <v>14</v>
      </c>
      <c r="M286" s="189" t="s">
        <v>49</v>
      </c>
      <c r="N286" s="189" t="s">
        <v>79</v>
      </c>
      <c r="O286" s="190" t="s">
        <v>2644</v>
      </c>
      <c r="P286" s="35">
        <v>45888</v>
      </c>
      <c r="Q286" s="22"/>
    </row>
    <row r="287" spans="1:17" s="234" customFormat="1" ht="45">
      <c r="A287" s="27" t="s">
        <v>58</v>
      </c>
      <c r="B287" s="39">
        <v>8189</v>
      </c>
      <c r="C287" s="183" t="s">
        <v>33</v>
      </c>
      <c r="D287" s="184">
        <v>15330</v>
      </c>
      <c r="E287" s="26">
        <v>45870</v>
      </c>
      <c r="F287" s="26">
        <v>45900</v>
      </c>
      <c r="G287" s="255" t="s">
        <v>2645</v>
      </c>
      <c r="H287" s="34" t="s">
        <v>11</v>
      </c>
      <c r="I287" s="185">
        <v>0.01</v>
      </c>
      <c r="J287" s="186">
        <v>2E-3</v>
      </c>
      <c r="K287" s="203">
        <f t="shared" si="0"/>
        <v>2.0000000000000002E-5</v>
      </c>
      <c r="L287" s="188" t="s">
        <v>14</v>
      </c>
      <c r="M287" s="189" t="s">
        <v>49</v>
      </c>
      <c r="N287" s="189" t="s">
        <v>79</v>
      </c>
      <c r="O287" s="190" t="s">
        <v>2644</v>
      </c>
      <c r="P287" s="35">
        <v>45888</v>
      </c>
      <c r="Q287" s="22"/>
    </row>
    <row r="288" spans="1:17" s="234" customFormat="1" ht="45">
      <c r="A288" s="27" t="s">
        <v>58</v>
      </c>
      <c r="B288" s="39">
        <v>8190</v>
      </c>
      <c r="C288" s="183" t="s">
        <v>33</v>
      </c>
      <c r="D288" s="184">
        <v>14961</v>
      </c>
      <c r="E288" s="26">
        <v>45870</v>
      </c>
      <c r="F288" s="26">
        <v>45900</v>
      </c>
      <c r="G288" s="255" t="s">
        <v>2645</v>
      </c>
      <c r="H288" s="34" t="s">
        <v>11</v>
      </c>
      <c r="I288" s="185">
        <v>0.01</v>
      </c>
      <c r="J288" s="186">
        <v>2E-3</v>
      </c>
      <c r="K288" s="203">
        <f t="shared" si="0"/>
        <v>2.0000000000000002E-5</v>
      </c>
      <c r="L288" s="188" t="s">
        <v>14</v>
      </c>
      <c r="M288" s="189" t="s">
        <v>49</v>
      </c>
      <c r="N288" s="189" t="s">
        <v>79</v>
      </c>
      <c r="O288" s="190" t="s">
        <v>2644</v>
      </c>
      <c r="P288" s="35">
        <v>45888</v>
      </c>
      <c r="Q288" s="22"/>
    </row>
    <row r="289" spans="1:17" s="234" customFormat="1" ht="45">
      <c r="A289" s="27" t="s">
        <v>58</v>
      </c>
      <c r="B289" s="39">
        <v>8191</v>
      </c>
      <c r="C289" s="183" t="s">
        <v>33</v>
      </c>
      <c r="D289" s="184">
        <v>10461</v>
      </c>
      <c r="E289" s="26">
        <v>45870</v>
      </c>
      <c r="F289" s="26">
        <v>45900</v>
      </c>
      <c r="G289" s="255" t="s">
        <v>2645</v>
      </c>
      <c r="H289" s="34" t="s">
        <v>11</v>
      </c>
      <c r="I289" s="185">
        <v>0.01</v>
      </c>
      <c r="J289" s="186">
        <v>2E-3</v>
      </c>
      <c r="K289" s="203">
        <f t="shared" si="0"/>
        <v>2.0000000000000002E-5</v>
      </c>
      <c r="L289" s="188" t="s">
        <v>14</v>
      </c>
      <c r="M289" s="189" t="s">
        <v>46</v>
      </c>
      <c r="N289" s="189" t="s">
        <v>77</v>
      </c>
      <c r="O289" s="190" t="s">
        <v>2644</v>
      </c>
      <c r="P289" s="35">
        <v>45888</v>
      </c>
      <c r="Q289" s="22"/>
    </row>
    <row r="290" spans="1:17" s="234" customFormat="1" ht="45">
      <c r="A290" s="27" t="s">
        <v>58</v>
      </c>
      <c r="B290" s="39">
        <v>8192</v>
      </c>
      <c r="C290" s="183" t="s">
        <v>33</v>
      </c>
      <c r="D290" s="184">
        <v>13249</v>
      </c>
      <c r="E290" s="26">
        <v>45870</v>
      </c>
      <c r="F290" s="26">
        <v>45900</v>
      </c>
      <c r="G290" s="255" t="s">
        <v>2645</v>
      </c>
      <c r="H290" s="34" t="s">
        <v>11</v>
      </c>
      <c r="I290" s="185">
        <v>0.01</v>
      </c>
      <c r="J290" s="186">
        <v>2E-3</v>
      </c>
      <c r="K290" s="203">
        <f t="shared" si="0"/>
        <v>2.0000000000000002E-5</v>
      </c>
      <c r="L290" s="188" t="s">
        <v>14</v>
      </c>
      <c r="M290" s="189" t="s">
        <v>14</v>
      </c>
      <c r="N290" s="189" t="s">
        <v>71</v>
      </c>
      <c r="O290" s="190" t="s">
        <v>2644</v>
      </c>
      <c r="P290" s="35">
        <v>45888</v>
      </c>
      <c r="Q290" s="22"/>
    </row>
    <row r="291" spans="1:17" s="234" customFormat="1" ht="45">
      <c r="A291" s="27" t="s">
        <v>58</v>
      </c>
      <c r="B291" s="39">
        <v>8193</v>
      </c>
      <c r="C291" s="183" t="s">
        <v>33</v>
      </c>
      <c r="D291" s="184">
        <v>15313</v>
      </c>
      <c r="E291" s="26">
        <v>45870</v>
      </c>
      <c r="F291" s="26">
        <v>45900</v>
      </c>
      <c r="G291" s="255" t="s">
        <v>2645</v>
      </c>
      <c r="H291" s="34" t="s">
        <v>11</v>
      </c>
      <c r="I291" s="185">
        <v>0.01</v>
      </c>
      <c r="J291" s="186">
        <v>2E-3</v>
      </c>
      <c r="K291" s="203"/>
      <c r="L291" s="188"/>
      <c r="M291" s="189" t="s">
        <v>49</v>
      </c>
      <c r="N291" s="189" t="s">
        <v>79</v>
      </c>
      <c r="O291" s="190" t="s">
        <v>2644</v>
      </c>
      <c r="P291" s="35">
        <v>45888</v>
      </c>
      <c r="Q291" s="22"/>
    </row>
    <row r="292" spans="1:17" s="234" customFormat="1">
      <c r="A292" s="27" t="s">
        <v>59</v>
      </c>
      <c r="B292" s="39">
        <v>8194</v>
      </c>
      <c r="C292" s="183" t="s">
        <v>33</v>
      </c>
      <c r="D292" s="184">
        <v>11994</v>
      </c>
      <c r="E292" s="26">
        <v>45870</v>
      </c>
      <c r="F292" s="26">
        <v>45900</v>
      </c>
      <c r="G292" s="255" t="s">
        <v>107</v>
      </c>
      <c r="H292" s="34" t="s">
        <v>11</v>
      </c>
      <c r="I292" s="185">
        <v>1000</v>
      </c>
      <c r="J292" s="186">
        <v>7.4999999999999997E-3</v>
      </c>
      <c r="K292" s="203"/>
      <c r="L292" s="188"/>
      <c r="M292" s="189" t="s">
        <v>30</v>
      </c>
      <c r="N292" s="189" t="s">
        <v>87</v>
      </c>
      <c r="O292" s="190" t="s">
        <v>2658</v>
      </c>
      <c r="P292" s="35">
        <v>45882</v>
      </c>
      <c r="Q292" s="22"/>
    </row>
    <row r="293" spans="1:17" s="234" customFormat="1">
      <c r="A293" s="27" t="s">
        <v>58</v>
      </c>
      <c r="B293" s="39">
        <v>8223</v>
      </c>
      <c r="C293" s="183" t="s">
        <v>33</v>
      </c>
      <c r="D293" s="184">
        <v>11994</v>
      </c>
      <c r="E293" s="26">
        <v>45870</v>
      </c>
      <c r="F293" s="26">
        <v>45900</v>
      </c>
      <c r="G293" s="255" t="s">
        <v>2646</v>
      </c>
      <c r="H293" s="34" t="s">
        <v>11</v>
      </c>
      <c r="I293" s="185">
        <v>1000</v>
      </c>
      <c r="J293" s="186">
        <v>2E-3</v>
      </c>
      <c r="K293" s="203"/>
      <c r="L293" s="188"/>
      <c r="M293" s="189" t="s">
        <v>30</v>
      </c>
      <c r="N293" s="189" t="s">
        <v>87</v>
      </c>
      <c r="O293" s="190" t="s">
        <v>2658</v>
      </c>
      <c r="P293" s="35">
        <v>45882</v>
      </c>
      <c r="Q293" s="22"/>
    </row>
    <row r="294" spans="1:17" s="234" customFormat="1">
      <c r="A294" s="27" t="s">
        <v>59</v>
      </c>
      <c r="B294" s="39">
        <v>8224</v>
      </c>
      <c r="C294" s="183" t="s">
        <v>33</v>
      </c>
      <c r="D294" s="184">
        <v>11994</v>
      </c>
      <c r="E294" s="26">
        <v>45870</v>
      </c>
      <c r="F294" s="26">
        <v>45900</v>
      </c>
      <c r="G294" s="255" t="s">
        <v>2647</v>
      </c>
      <c r="H294" s="34" t="s">
        <v>11</v>
      </c>
      <c r="I294" s="185">
        <v>1000</v>
      </c>
      <c r="J294" s="186">
        <v>5.0000000000000001E-4</v>
      </c>
      <c r="K294" s="203"/>
      <c r="L294" s="188"/>
      <c r="M294" s="189" t="s">
        <v>30</v>
      </c>
      <c r="N294" s="189" t="s">
        <v>87</v>
      </c>
      <c r="O294" s="190" t="s">
        <v>2658</v>
      </c>
      <c r="P294" s="35">
        <v>45882</v>
      </c>
      <c r="Q294" s="22"/>
    </row>
    <row r="295" spans="1:17" s="234" customFormat="1">
      <c r="A295" s="27" t="s">
        <v>58</v>
      </c>
      <c r="B295" s="39">
        <v>8225</v>
      </c>
      <c r="C295" s="183" t="s">
        <v>33</v>
      </c>
      <c r="D295" s="184">
        <v>13749</v>
      </c>
      <c r="E295" s="26">
        <v>45870</v>
      </c>
      <c r="F295" s="26">
        <v>45900</v>
      </c>
      <c r="G295" s="255" t="s">
        <v>620</v>
      </c>
      <c r="H295" s="34" t="s">
        <v>11</v>
      </c>
      <c r="I295" s="185">
        <v>1000</v>
      </c>
      <c r="J295" s="186">
        <v>1.4999999999999999E-2</v>
      </c>
      <c r="K295" s="203"/>
      <c r="L295" s="188"/>
      <c r="M295" s="189" t="s">
        <v>53</v>
      </c>
      <c r="N295" s="189" t="s">
        <v>216</v>
      </c>
      <c r="O295" s="190" t="s">
        <v>2658</v>
      </c>
      <c r="P295" s="35">
        <v>45882</v>
      </c>
      <c r="Q295" s="22"/>
    </row>
    <row r="296" spans="1:17" s="234" customFormat="1">
      <c r="A296" s="27" t="s">
        <v>58</v>
      </c>
      <c r="B296" s="39">
        <v>8226</v>
      </c>
      <c r="C296" s="183" t="s">
        <v>33</v>
      </c>
      <c r="D296" s="184">
        <v>14554</v>
      </c>
      <c r="E296" s="26">
        <v>45870</v>
      </c>
      <c r="F296" s="26">
        <v>45900</v>
      </c>
      <c r="G296" s="255" t="s">
        <v>620</v>
      </c>
      <c r="H296" s="34" t="s">
        <v>11</v>
      </c>
      <c r="I296" s="185">
        <v>1000</v>
      </c>
      <c r="J296" s="186">
        <v>1.4999999999999999E-2</v>
      </c>
      <c r="K296" s="203"/>
      <c r="L296" s="188"/>
      <c r="M296" s="189" t="s">
        <v>25</v>
      </c>
      <c r="N296" s="189" t="s">
        <v>88</v>
      </c>
      <c r="O296" s="190" t="s">
        <v>2658</v>
      </c>
      <c r="P296" s="35">
        <v>45882</v>
      </c>
      <c r="Q296" s="22"/>
    </row>
    <row r="297" spans="1:17" s="234" customFormat="1" ht="30">
      <c r="A297" s="27" t="s">
        <v>58</v>
      </c>
      <c r="B297" s="39">
        <v>8227</v>
      </c>
      <c r="C297" s="183" t="s">
        <v>33</v>
      </c>
      <c r="D297" s="184">
        <v>16532</v>
      </c>
      <c r="E297" s="26">
        <v>45870</v>
      </c>
      <c r="F297" s="26">
        <v>45900</v>
      </c>
      <c r="G297" s="255" t="s">
        <v>2808</v>
      </c>
      <c r="H297" s="34" t="s">
        <v>11</v>
      </c>
      <c r="I297" s="185">
        <v>1000</v>
      </c>
      <c r="J297" s="186">
        <v>0.03</v>
      </c>
      <c r="K297" s="203"/>
      <c r="L297" s="188"/>
      <c r="M297" s="189" t="s">
        <v>30</v>
      </c>
      <c r="N297" s="189" t="s">
        <v>82</v>
      </c>
      <c r="O297" s="190" t="s">
        <v>2658</v>
      </c>
      <c r="P297" s="35">
        <v>45882</v>
      </c>
      <c r="Q297" s="22"/>
    </row>
    <row r="298" spans="1:17" s="234" customFormat="1">
      <c r="A298" s="27" t="s">
        <v>59</v>
      </c>
      <c r="B298" s="39">
        <v>8195</v>
      </c>
      <c r="C298" s="183" t="s">
        <v>33</v>
      </c>
      <c r="D298" s="184">
        <v>16291</v>
      </c>
      <c r="E298" s="26">
        <v>45870</v>
      </c>
      <c r="F298" s="26">
        <v>45900</v>
      </c>
      <c r="G298" s="255" t="s">
        <v>107</v>
      </c>
      <c r="H298" s="34" t="s">
        <v>11</v>
      </c>
      <c r="I298" s="185">
        <v>1000</v>
      </c>
      <c r="J298" s="186">
        <v>5.0000000000000001E-3</v>
      </c>
      <c r="K298" s="203"/>
      <c r="L298" s="188"/>
      <c r="M298" s="189" t="s">
        <v>25</v>
      </c>
      <c r="N298" s="189" t="s">
        <v>171</v>
      </c>
      <c r="O298" s="190" t="s">
        <v>2658</v>
      </c>
      <c r="P298" s="35">
        <v>45882</v>
      </c>
      <c r="Q298" s="22"/>
    </row>
    <row r="299" spans="1:17" s="234" customFormat="1">
      <c r="A299" s="27" t="s">
        <v>58</v>
      </c>
      <c r="B299" s="39">
        <v>8228</v>
      </c>
      <c r="C299" s="183" t="s">
        <v>33</v>
      </c>
      <c r="D299" s="184">
        <v>16291</v>
      </c>
      <c r="E299" s="26">
        <v>45870</v>
      </c>
      <c r="F299" s="26">
        <v>45900</v>
      </c>
      <c r="G299" s="255" t="s">
        <v>2648</v>
      </c>
      <c r="H299" s="34" t="s">
        <v>11</v>
      </c>
      <c r="I299" s="185">
        <v>1000</v>
      </c>
      <c r="J299" s="186">
        <v>2E-3</v>
      </c>
      <c r="K299" s="203"/>
      <c r="L299" s="188"/>
      <c r="M299" s="189" t="s">
        <v>25</v>
      </c>
      <c r="N299" s="189" t="s">
        <v>171</v>
      </c>
      <c r="O299" s="190" t="s">
        <v>2658</v>
      </c>
      <c r="P299" s="35">
        <v>45882</v>
      </c>
      <c r="Q299" s="22"/>
    </row>
    <row r="300" spans="1:17" s="234" customFormat="1" ht="30">
      <c r="A300" s="213" t="s">
        <v>58</v>
      </c>
      <c r="B300" s="223">
        <v>8253</v>
      </c>
      <c r="C300" s="183" t="s">
        <v>33</v>
      </c>
      <c r="D300" s="214">
        <v>16291</v>
      </c>
      <c r="E300" s="215">
        <v>45870</v>
      </c>
      <c r="F300" s="215">
        <v>45900</v>
      </c>
      <c r="G300" s="257" t="s">
        <v>2649</v>
      </c>
      <c r="H300" s="34" t="s">
        <v>11</v>
      </c>
      <c r="I300" s="216">
        <v>1000</v>
      </c>
      <c r="J300" s="217">
        <v>0.01</v>
      </c>
      <c r="K300" s="244"/>
      <c r="L300" s="218"/>
      <c r="M300" s="189" t="s">
        <v>25</v>
      </c>
      <c r="N300" s="189" t="s">
        <v>171</v>
      </c>
      <c r="O300" s="219" t="s">
        <v>2658</v>
      </c>
      <c r="P300" s="220">
        <v>45882</v>
      </c>
      <c r="Q300" s="221"/>
    </row>
    <row r="301" spans="1:17" s="234" customFormat="1">
      <c r="A301" s="27" t="s">
        <v>59</v>
      </c>
      <c r="B301" s="39">
        <v>8196</v>
      </c>
      <c r="C301" s="183" t="s">
        <v>33</v>
      </c>
      <c r="D301" s="184">
        <v>13220</v>
      </c>
      <c r="E301" s="26">
        <v>45870</v>
      </c>
      <c r="F301" s="26">
        <v>45900</v>
      </c>
      <c r="G301" s="255" t="s">
        <v>107</v>
      </c>
      <c r="H301" s="34" t="s">
        <v>11</v>
      </c>
      <c r="I301" s="185">
        <v>1000</v>
      </c>
      <c r="J301" s="186">
        <v>7.4999999999999997E-3</v>
      </c>
      <c r="K301" s="203"/>
      <c r="L301" s="188"/>
      <c r="M301" s="189" t="s">
        <v>30</v>
      </c>
      <c r="N301" s="189" t="s">
        <v>82</v>
      </c>
      <c r="O301" s="190" t="s">
        <v>2658</v>
      </c>
      <c r="P301" s="35">
        <v>45882</v>
      </c>
      <c r="Q301" s="22"/>
    </row>
    <row r="302" spans="1:17" s="234" customFormat="1">
      <c r="A302" s="27" t="s">
        <v>58</v>
      </c>
      <c r="B302" s="39">
        <v>8230</v>
      </c>
      <c r="C302" s="183" t="s">
        <v>33</v>
      </c>
      <c r="D302" s="184">
        <v>13220</v>
      </c>
      <c r="E302" s="26">
        <v>45870</v>
      </c>
      <c r="F302" s="26">
        <v>45900</v>
      </c>
      <c r="G302" s="255" t="s">
        <v>2650</v>
      </c>
      <c r="H302" s="34" t="s">
        <v>11</v>
      </c>
      <c r="I302" s="185">
        <v>1000</v>
      </c>
      <c r="J302" s="186">
        <v>3.5000000000000003E-2</v>
      </c>
      <c r="K302" s="203"/>
      <c r="L302" s="188"/>
      <c r="M302" s="189" t="s">
        <v>30</v>
      </c>
      <c r="N302" s="189" t="s">
        <v>82</v>
      </c>
      <c r="O302" s="190" t="s">
        <v>2658</v>
      </c>
      <c r="P302" s="35">
        <v>45882</v>
      </c>
      <c r="Q302" s="22"/>
    </row>
    <row r="303" spans="1:17" s="234" customFormat="1">
      <c r="A303" s="27" t="s">
        <v>58</v>
      </c>
      <c r="B303" s="39">
        <v>8231</v>
      </c>
      <c r="C303" s="183" t="s">
        <v>33</v>
      </c>
      <c r="D303" s="184">
        <v>13220</v>
      </c>
      <c r="E303" s="26">
        <v>45870</v>
      </c>
      <c r="F303" s="26">
        <v>45900</v>
      </c>
      <c r="G303" s="255" t="s">
        <v>2646</v>
      </c>
      <c r="H303" s="34" t="s">
        <v>11</v>
      </c>
      <c r="I303" s="185">
        <v>1000</v>
      </c>
      <c r="J303" s="186">
        <v>2E-3</v>
      </c>
      <c r="K303" s="203"/>
      <c r="L303" s="188"/>
      <c r="M303" s="189" t="s">
        <v>30</v>
      </c>
      <c r="N303" s="189" t="s">
        <v>82</v>
      </c>
      <c r="O303" s="190" t="s">
        <v>2658</v>
      </c>
      <c r="P303" s="35">
        <v>45882</v>
      </c>
      <c r="Q303" s="22"/>
    </row>
    <row r="304" spans="1:17" s="234" customFormat="1">
      <c r="A304" s="27" t="s">
        <v>58</v>
      </c>
      <c r="B304" s="39">
        <v>8232</v>
      </c>
      <c r="C304" s="183" t="s">
        <v>33</v>
      </c>
      <c r="D304" s="184">
        <v>13220</v>
      </c>
      <c r="E304" s="26">
        <v>45870</v>
      </c>
      <c r="F304" s="26">
        <v>45900</v>
      </c>
      <c r="G304" s="255" t="s">
        <v>2651</v>
      </c>
      <c r="H304" s="34" t="s">
        <v>11</v>
      </c>
      <c r="I304" s="185">
        <v>1000</v>
      </c>
      <c r="J304" s="186">
        <v>2E-3</v>
      </c>
      <c r="K304" s="203"/>
      <c r="L304" s="188"/>
      <c r="M304" s="189" t="s">
        <v>30</v>
      </c>
      <c r="N304" s="189" t="s">
        <v>82</v>
      </c>
      <c r="O304" s="190" t="s">
        <v>2658</v>
      </c>
      <c r="P304" s="35">
        <v>45882</v>
      </c>
      <c r="Q304" s="22"/>
    </row>
    <row r="305" spans="1:17" s="234" customFormat="1" ht="30">
      <c r="A305" s="27" t="s">
        <v>59</v>
      </c>
      <c r="B305" s="39">
        <v>8233</v>
      </c>
      <c r="C305" s="183" t="s">
        <v>33</v>
      </c>
      <c r="D305" s="184">
        <v>15086</v>
      </c>
      <c r="E305" s="26">
        <v>45870</v>
      </c>
      <c r="F305" s="26">
        <v>45900</v>
      </c>
      <c r="G305" s="255" t="s">
        <v>2652</v>
      </c>
      <c r="H305" s="34" t="s">
        <v>11</v>
      </c>
      <c r="I305" s="185">
        <v>1000</v>
      </c>
      <c r="J305" s="186">
        <v>5.0000000000000001E-3</v>
      </c>
      <c r="K305" s="203"/>
      <c r="L305" s="188"/>
      <c r="M305" s="189" t="s">
        <v>27</v>
      </c>
      <c r="N305" s="189" t="s">
        <v>173</v>
      </c>
      <c r="O305" s="190" t="s">
        <v>2658</v>
      </c>
      <c r="P305" s="35">
        <v>45882</v>
      </c>
      <c r="Q305" s="22"/>
    </row>
    <row r="306" spans="1:17" s="234" customFormat="1" ht="30">
      <c r="A306" s="27" t="s">
        <v>59</v>
      </c>
      <c r="B306" s="39">
        <v>8197</v>
      </c>
      <c r="C306" s="183" t="s">
        <v>33</v>
      </c>
      <c r="D306" s="184">
        <v>11995</v>
      </c>
      <c r="E306" s="26">
        <v>45870</v>
      </c>
      <c r="F306" s="26">
        <v>45900</v>
      </c>
      <c r="G306" s="255" t="s">
        <v>2653</v>
      </c>
      <c r="H306" s="34" t="s">
        <v>11</v>
      </c>
      <c r="I306" s="185">
        <v>1000</v>
      </c>
      <c r="J306" s="186">
        <v>7.4999999999999997E-3</v>
      </c>
      <c r="K306" s="203"/>
      <c r="L306" s="188"/>
      <c r="M306" s="189" t="s">
        <v>27</v>
      </c>
      <c r="N306" s="189" t="s">
        <v>69</v>
      </c>
      <c r="O306" s="190" t="s">
        <v>2658</v>
      </c>
      <c r="P306" s="35">
        <v>45882</v>
      </c>
      <c r="Q306" s="22"/>
    </row>
    <row r="307" spans="1:17" s="234" customFormat="1" ht="45">
      <c r="A307" s="27" t="s">
        <v>59</v>
      </c>
      <c r="B307" s="39">
        <v>8234</v>
      </c>
      <c r="C307" s="183" t="s">
        <v>33</v>
      </c>
      <c r="D307" s="184">
        <v>7734</v>
      </c>
      <c r="E307" s="26">
        <v>45870</v>
      </c>
      <c r="F307" s="26">
        <v>45900</v>
      </c>
      <c r="G307" s="255" t="s">
        <v>2654</v>
      </c>
      <c r="H307" s="34" t="s">
        <v>11</v>
      </c>
      <c r="I307" s="185">
        <v>1000</v>
      </c>
      <c r="J307" s="186" t="s">
        <v>2742</v>
      </c>
      <c r="K307" s="203"/>
      <c r="L307" s="188"/>
      <c r="M307" s="189" t="s">
        <v>30</v>
      </c>
      <c r="N307" s="189" t="s">
        <v>82</v>
      </c>
      <c r="O307" s="190">
        <v>1751114</v>
      </c>
      <c r="P307" s="35">
        <v>45882</v>
      </c>
      <c r="Q307" s="22"/>
    </row>
    <row r="308" spans="1:17" s="234" customFormat="1">
      <c r="A308" s="27" t="s">
        <v>59</v>
      </c>
      <c r="B308" s="39">
        <v>8198</v>
      </c>
      <c r="C308" s="183" t="s">
        <v>33</v>
      </c>
      <c r="D308" s="184">
        <v>17461</v>
      </c>
      <c r="E308" s="26">
        <v>45870</v>
      </c>
      <c r="F308" s="26">
        <v>45900</v>
      </c>
      <c r="G308" s="22" t="s">
        <v>107</v>
      </c>
      <c r="H308" s="34" t="s">
        <v>11</v>
      </c>
      <c r="I308" s="185">
        <v>1000</v>
      </c>
      <c r="J308" s="186">
        <v>7.4999999999999997E-3</v>
      </c>
      <c r="K308" s="203"/>
      <c r="L308" s="188"/>
      <c r="M308" s="189" t="s">
        <v>30</v>
      </c>
      <c r="N308" s="189" t="s">
        <v>82</v>
      </c>
      <c r="O308" s="190" t="s">
        <v>2658</v>
      </c>
      <c r="P308" s="35">
        <v>45882</v>
      </c>
      <c r="Q308" s="22"/>
    </row>
    <row r="309" spans="1:17" s="234" customFormat="1">
      <c r="A309" s="27" t="s">
        <v>59</v>
      </c>
      <c r="B309" s="39">
        <v>8199</v>
      </c>
      <c r="C309" s="183" t="s">
        <v>33</v>
      </c>
      <c r="D309" s="184">
        <v>16236</v>
      </c>
      <c r="E309" s="26">
        <v>45870</v>
      </c>
      <c r="F309" s="26">
        <v>45900</v>
      </c>
      <c r="G309" s="22" t="s">
        <v>107</v>
      </c>
      <c r="H309" s="34" t="s">
        <v>11</v>
      </c>
      <c r="I309" s="185">
        <v>1000</v>
      </c>
      <c r="J309" s="186">
        <v>5.0000000000000001E-3</v>
      </c>
      <c r="K309" s="203"/>
      <c r="L309" s="188"/>
      <c r="M309" s="189" t="s">
        <v>25</v>
      </c>
      <c r="N309" s="189" t="s">
        <v>171</v>
      </c>
      <c r="O309" s="190" t="s">
        <v>2658</v>
      </c>
      <c r="P309" s="35">
        <v>45882</v>
      </c>
      <c r="Q309" s="22"/>
    </row>
    <row r="310" spans="1:17" s="234" customFormat="1">
      <c r="A310" s="27" t="s">
        <v>58</v>
      </c>
      <c r="B310" s="39">
        <v>8235</v>
      </c>
      <c r="C310" s="183" t="s">
        <v>33</v>
      </c>
      <c r="D310" s="184">
        <v>13569</v>
      </c>
      <c r="E310" s="26">
        <v>45870</v>
      </c>
      <c r="F310" s="26">
        <v>45900</v>
      </c>
      <c r="G310" s="255" t="s">
        <v>2655</v>
      </c>
      <c r="H310" s="34" t="s">
        <v>11</v>
      </c>
      <c r="I310" s="185">
        <v>1000</v>
      </c>
      <c r="J310" s="186">
        <v>5.0000000000000001E-3</v>
      </c>
      <c r="K310" s="203"/>
      <c r="L310" s="188"/>
      <c r="M310" s="189" t="s">
        <v>53</v>
      </c>
      <c r="N310" s="189" t="s">
        <v>216</v>
      </c>
      <c r="O310" s="190" t="s">
        <v>2658</v>
      </c>
      <c r="P310" s="35">
        <v>45882</v>
      </c>
      <c r="Q310" s="22"/>
    </row>
    <row r="311" spans="1:17" s="234" customFormat="1">
      <c r="A311" s="27" t="s">
        <v>59</v>
      </c>
      <c r="B311" s="39">
        <v>8200</v>
      </c>
      <c r="C311" s="183" t="s">
        <v>33</v>
      </c>
      <c r="D311" s="184">
        <v>14826</v>
      </c>
      <c r="E311" s="26">
        <v>45870</v>
      </c>
      <c r="F311" s="26">
        <v>45900</v>
      </c>
      <c r="G311" s="22" t="s">
        <v>107</v>
      </c>
      <c r="H311" s="34" t="s">
        <v>11</v>
      </c>
      <c r="I311" s="185">
        <v>1000</v>
      </c>
      <c r="J311" s="186">
        <v>7.4999999999999997E-3</v>
      </c>
      <c r="K311" s="203"/>
      <c r="L311" s="188"/>
      <c r="M311" s="189" t="s">
        <v>53</v>
      </c>
      <c r="N311" s="189" t="s">
        <v>216</v>
      </c>
      <c r="O311" s="190" t="s">
        <v>2658</v>
      </c>
      <c r="P311" s="35">
        <v>45882</v>
      </c>
      <c r="Q311" s="22"/>
    </row>
    <row r="312" spans="1:17" s="234" customFormat="1">
      <c r="A312" s="27" t="s">
        <v>59</v>
      </c>
      <c r="B312" s="39">
        <v>8201</v>
      </c>
      <c r="C312" s="183" t="s">
        <v>33</v>
      </c>
      <c r="D312" s="184">
        <v>17055</v>
      </c>
      <c r="E312" s="26">
        <v>45870</v>
      </c>
      <c r="F312" s="26">
        <v>45900</v>
      </c>
      <c r="G312" s="22" t="s">
        <v>107</v>
      </c>
      <c r="H312" s="34" t="s">
        <v>11</v>
      </c>
      <c r="I312" s="185">
        <v>1000</v>
      </c>
      <c r="J312" s="186">
        <v>5.0000000000000001E-3</v>
      </c>
      <c r="K312" s="203"/>
      <c r="L312" s="188"/>
      <c r="M312" s="189" t="s">
        <v>53</v>
      </c>
      <c r="N312" s="189" t="s">
        <v>216</v>
      </c>
      <c r="O312" s="190" t="s">
        <v>2658</v>
      </c>
      <c r="P312" s="35">
        <v>45882</v>
      </c>
      <c r="Q312" s="22"/>
    </row>
    <row r="313" spans="1:17" s="234" customFormat="1">
      <c r="A313" s="27" t="s">
        <v>58</v>
      </c>
      <c r="B313" s="39">
        <v>8236</v>
      </c>
      <c r="C313" s="183" t="s">
        <v>33</v>
      </c>
      <c r="D313" s="184">
        <v>16934</v>
      </c>
      <c r="E313" s="26">
        <v>45870</v>
      </c>
      <c r="F313" s="26">
        <v>45900</v>
      </c>
      <c r="G313" s="255" t="s">
        <v>2646</v>
      </c>
      <c r="H313" s="34" t="s">
        <v>11</v>
      </c>
      <c r="I313" s="185">
        <v>1000</v>
      </c>
      <c r="J313" s="186">
        <v>2E-3</v>
      </c>
      <c r="K313" s="203"/>
      <c r="L313" s="188"/>
      <c r="M313" s="189" t="s">
        <v>53</v>
      </c>
      <c r="N313" s="189" t="s">
        <v>216</v>
      </c>
      <c r="O313" s="190" t="s">
        <v>2658</v>
      </c>
      <c r="P313" s="35">
        <v>45882</v>
      </c>
      <c r="Q313" s="22"/>
    </row>
    <row r="314" spans="1:17" s="234" customFormat="1">
      <c r="A314" s="27" t="s">
        <v>58</v>
      </c>
      <c r="B314" s="39">
        <v>8237</v>
      </c>
      <c r="C314" s="183" t="s">
        <v>33</v>
      </c>
      <c r="D314" s="184">
        <v>16363</v>
      </c>
      <c r="E314" s="26">
        <v>45870</v>
      </c>
      <c r="F314" s="26">
        <v>45900</v>
      </c>
      <c r="G314" s="255" t="s">
        <v>2599</v>
      </c>
      <c r="H314" s="34" t="s">
        <v>11</v>
      </c>
      <c r="I314" s="185">
        <v>1000</v>
      </c>
      <c r="J314" s="186">
        <v>5.0000000000000001E-3</v>
      </c>
      <c r="K314" s="203"/>
      <c r="L314" s="188"/>
      <c r="M314" s="189" t="s">
        <v>25</v>
      </c>
      <c r="N314" s="189" t="s">
        <v>171</v>
      </c>
      <c r="O314" s="190" t="s">
        <v>2658</v>
      </c>
      <c r="P314" s="35">
        <v>45882</v>
      </c>
      <c r="Q314" s="22"/>
    </row>
    <row r="315" spans="1:17" s="234" customFormat="1">
      <c r="A315" s="27" t="s">
        <v>58</v>
      </c>
      <c r="B315" s="39">
        <v>8238</v>
      </c>
      <c r="C315" s="183" t="s">
        <v>33</v>
      </c>
      <c r="D315" s="184">
        <v>6848</v>
      </c>
      <c r="E315" s="26">
        <v>45870</v>
      </c>
      <c r="F315" s="26">
        <v>45900</v>
      </c>
      <c r="G315" s="255" t="s">
        <v>2599</v>
      </c>
      <c r="H315" s="34" t="s">
        <v>11</v>
      </c>
      <c r="I315" s="185">
        <v>1000</v>
      </c>
      <c r="J315" s="186">
        <v>5.0000000000000001E-3</v>
      </c>
      <c r="K315" s="203"/>
      <c r="L315" s="188"/>
      <c r="M315" s="189" t="s">
        <v>25</v>
      </c>
      <c r="N315" s="189" t="s">
        <v>88</v>
      </c>
      <c r="O315" s="190" t="s">
        <v>2658</v>
      </c>
      <c r="P315" s="35">
        <v>45882</v>
      </c>
      <c r="Q315" s="22"/>
    </row>
    <row r="316" spans="1:17" s="234" customFormat="1">
      <c r="A316" s="27" t="s">
        <v>59</v>
      </c>
      <c r="B316" s="39">
        <v>8202</v>
      </c>
      <c r="C316" s="183" t="s">
        <v>33</v>
      </c>
      <c r="D316" s="184">
        <v>17277</v>
      </c>
      <c r="E316" s="26">
        <v>45870</v>
      </c>
      <c r="F316" s="26">
        <v>45900</v>
      </c>
      <c r="G316" s="22" t="s">
        <v>107</v>
      </c>
      <c r="H316" s="34" t="s">
        <v>11</v>
      </c>
      <c r="I316" s="185">
        <v>1000</v>
      </c>
      <c r="J316" s="186">
        <v>5.0000000000000001E-3</v>
      </c>
      <c r="K316" s="203"/>
      <c r="L316" s="188"/>
      <c r="M316" s="189" t="s">
        <v>53</v>
      </c>
      <c r="N316" s="189" t="s">
        <v>1122</v>
      </c>
      <c r="O316" s="190" t="s">
        <v>2658</v>
      </c>
      <c r="P316" s="35">
        <v>45882</v>
      </c>
      <c r="Q316" s="22"/>
    </row>
    <row r="317" spans="1:17" s="234" customFormat="1" ht="30">
      <c r="A317" s="27" t="s">
        <v>58</v>
      </c>
      <c r="B317" s="39">
        <v>8239</v>
      </c>
      <c r="C317" s="183" t="s">
        <v>33</v>
      </c>
      <c r="D317" s="184">
        <v>16129</v>
      </c>
      <c r="E317" s="26">
        <v>45870</v>
      </c>
      <c r="F317" s="26">
        <v>45900</v>
      </c>
      <c r="G317" s="255" t="s">
        <v>1624</v>
      </c>
      <c r="H317" s="34" t="s">
        <v>11</v>
      </c>
      <c r="I317" s="185">
        <v>1000</v>
      </c>
      <c r="J317" s="186">
        <v>0.01</v>
      </c>
      <c r="K317" s="203"/>
      <c r="L317" s="188"/>
      <c r="M317" s="189" t="s">
        <v>27</v>
      </c>
      <c r="N317" s="189" t="s">
        <v>69</v>
      </c>
      <c r="O317" s="190" t="s">
        <v>2658</v>
      </c>
      <c r="P317" s="35">
        <v>45882</v>
      </c>
      <c r="Q317" s="22"/>
    </row>
    <row r="318" spans="1:17" s="234" customFormat="1" ht="30">
      <c r="A318" s="27" t="s">
        <v>58</v>
      </c>
      <c r="B318" s="39">
        <v>8240</v>
      </c>
      <c r="C318" s="183" t="s">
        <v>33</v>
      </c>
      <c r="D318" s="184">
        <v>16129</v>
      </c>
      <c r="E318" s="26">
        <v>45870</v>
      </c>
      <c r="F318" s="26">
        <v>45900</v>
      </c>
      <c r="G318" s="255" t="s">
        <v>2656</v>
      </c>
      <c r="H318" s="34" t="s">
        <v>11</v>
      </c>
      <c r="I318" s="185">
        <v>1000</v>
      </c>
      <c r="J318" s="186">
        <v>5.0000000000000001E-3</v>
      </c>
      <c r="K318" s="203"/>
      <c r="L318" s="188"/>
      <c r="M318" s="189" t="s">
        <v>27</v>
      </c>
      <c r="N318" s="189" t="s">
        <v>69</v>
      </c>
      <c r="O318" s="190" t="s">
        <v>2658</v>
      </c>
      <c r="P318" s="35">
        <v>45882</v>
      </c>
      <c r="Q318" s="22"/>
    </row>
    <row r="319" spans="1:17" s="234" customFormat="1">
      <c r="A319" s="27" t="s">
        <v>58</v>
      </c>
      <c r="B319" s="39">
        <v>8241</v>
      </c>
      <c r="C319" s="183" t="s">
        <v>33</v>
      </c>
      <c r="D319" s="184">
        <v>13569</v>
      </c>
      <c r="E319" s="26">
        <v>45870</v>
      </c>
      <c r="F319" s="26">
        <v>45900</v>
      </c>
      <c r="G319" s="255" t="s">
        <v>2657</v>
      </c>
      <c r="H319" s="34" t="s">
        <v>11</v>
      </c>
      <c r="I319" s="185">
        <v>1000</v>
      </c>
      <c r="J319" s="186">
        <v>5.0000000000000001E-3</v>
      </c>
      <c r="K319" s="203"/>
      <c r="L319" s="188"/>
      <c r="M319" s="189" t="s">
        <v>53</v>
      </c>
      <c r="N319" s="189" t="s">
        <v>216</v>
      </c>
      <c r="O319" s="190" t="s">
        <v>2658</v>
      </c>
      <c r="P319" s="35">
        <v>45882</v>
      </c>
      <c r="Q319" s="22"/>
    </row>
    <row r="320" spans="1:17" s="234" customFormat="1">
      <c r="A320" s="27" t="s">
        <v>58</v>
      </c>
      <c r="B320" s="39">
        <v>8242</v>
      </c>
      <c r="C320" s="183" t="s">
        <v>33</v>
      </c>
      <c r="D320" s="184">
        <v>13569</v>
      </c>
      <c r="E320" s="26">
        <v>45870</v>
      </c>
      <c r="F320" s="26">
        <v>45900</v>
      </c>
      <c r="G320" s="255" t="s">
        <v>2820</v>
      </c>
      <c r="H320" s="34" t="s">
        <v>11</v>
      </c>
      <c r="I320" s="185">
        <v>1000</v>
      </c>
      <c r="J320" s="186">
        <v>0.01</v>
      </c>
      <c r="K320" s="203"/>
      <c r="L320" s="188"/>
      <c r="M320" s="189" t="s">
        <v>53</v>
      </c>
      <c r="N320" s="189" t="s">
        <v>216</v>
      </c>
      <c r="O320" s="190" t="s">
        <v>2658</v>
      </c>
      <c r="P320" s="35">
        <v>45882</v>
      </c>
      <c r="Q320" s="22"/>
    </row>
    <row r="321" spans="1:17" s="234" customFormat="1" ht="30">
      <c r="A321" s="27" t="s">
        <v>59</v>
      </c>
      <c r="B321" s="39">
        <v>8203</v>
      </c>
      <c r="C321" s="183" t="s">
        <v>33</v>
      </c>
      <c r="D321" s="184">
        <v>11820</v>
      </c>
      <c r="E321" s="26">
        <v>45870</v>
      </c>
      <c r="F321" s="26">
        <v>45900</v>
      </c>
      <c r="G321" s="22" t="s">
        <v>107</v>
      </c>
      <c r="H321" s="34" t="s">
        <v>11</v>
      </c>
      <c r="I321" s="185">
        <v>0.01</v>
      </c>
      <c r="J321" s="186">
        <v>7.4999999999999997E-3</v>
      </c>
      <c r="K321" s="203"/>
      <c r="L321" s="188"/>
      <c r="M321" s="189" t="s">
        <v>19</v>
      </c>
      <c r="N321" s="189" t="s">
        <v>61</v>
      </c>
      <c r="O321" s="190" t="s">
        <v>2659</v>
      </c>
      <c r="P321" s="35">
        <v>45884</v>
      </c>
      <c r="Q321" s="22"/>
    </row>
    <row r="322" spans="1:17" s="234" customFormat="1">
      <c r="A322" s="27" t="s">
        <v>58</v>
      </c>
      <c r="B322" s="39">
        <v>8243</v>
      </c>
      <c r="C322" s="183" t="s">
        <v>33</v>
      </c>
      <c r="D322" s="184">
        <v>15026</v>
      </c>
      <c r="E322" s="26">
        <v>45870</v>
      </c>
      <c r="F322" s="26">
        <v>45877</v>
      </c>
      <c r="G322" s="255" t="s">
        <v>2660</v>
      </c>
      <c r="H322" s="34" t="s">
        <v>11</v>
      </c>
      <c r="I322" s="185">
        <v>1000</v>
      </c>
      <c r="J322" s="186">
        <v>2E-3</v>
      </c>
      <c r="K322" s="203"/>
      <c r="L322" s="188"/>
      <c r="M322" s="189" t="s">
        <v>18</v>
      </c>
      <c r="N322" s="189" t="s">
        <v>2376</v>
      </c>
      <c r="O322" s="190">
        <v>1752732</v>
      </c>
      <c r="P322" s="35">
        <v>45884</v>
      </c>
      <c r="Q322" s="22"/>
    </row>
    <row r="323" spans="1:17" s="234" customFormat="1" ht="30">
      <c r="A323" s="27" t="s">
        <v>59</v>
      </c>
      <c r="B323" s="39">
        <v>8204</v>
      </c>
      <c r="C323" s="183" t="s">
        <v>33</v>
      </c>
      <c r="D323" s="184">
        <v>17143</v>
      </c>
      <c r="E323" s="26">
        <v>45870</v>
      </c>
      <c r="F323" s="26">
        <v>45900</v>
      </c>
      <c r="G323" s="22" t="s">
        <v>107</v>
      </c>
      <c r="H323" s="34" t="s">
        <v>11</v>
      </c>
      <c r="I323" s="185">
        <v>0.01</v>
      </c>
      <c r="J323" s="186">
        <v>2.5000000000000001E-3</v>
      </c>
      <c r="K323" s="203"/>
      <c r="L323" s="188"/>
      <c r="M323" s="189" t="s">
        <v>19</v>
      </c>
      <c r="N323" s="189" t="s">
        <v>61</v>
      </c>
      <c r="O323" s="190">
        <v>1752736</v>
      </c>
      <c r="P323" s="35">
        <v>45884</v>
      </c>
      <c r="Q323" s="22"/>
    </row>
    <row r="324" spans="1:17" s="234" customFormat="1" ht="30">
      <c r="A324" s="27" t="s">
        <v>59</v>
      </c>
      <c r="B324" s="39">
        <v>8244</v>
      </c>
      <c r="C324" s="183" t="s">
        <v>33</v>
      </c>
      <c r="D324" s="184">
        <v>16238</v>
      </c>
      <c r="E324" s="26">
        <v>45870</v>
      </c>
      <c r="F324" s="26">
        <v>45900</v>
      </c>
      <c r="G324" s="255" t="s">
        <v>2847</v>
      </c>
      <c r="H324" s="34" t="s">
        <v>11</v>
      </c>
      <c r="I324" s="185">
        <v>0.01</v>
      </c>
      <c r="J324" s="186">
        <v>1.4999999999999999E-2</v>
      </c>
      <c r="K324" s="203"/>
      <c r="L324" s="188"/>
      <c r="M324" s="189" t="s">
        <v>19</v>
      </c>
      <c r="N324" s="189" t="s">
        <v>97</v>
      </c>
      <c r="O324" s="190">
        <v>1755015</v>
      </c>
      <c r="P324" s="35">
        <v>45889</v>
      </c>
      <c r="Q324" s="22"/>
    </row>
    <row r="325" spans="1:17" s="234" customFormat="1" ht="30">
      <c r="A325" s="27" t="s">
        <v>59</v>
      </c>
      <c r="B325" s="39">
        <v>8205</v>
      </c>
      <c r="C325" s="183" t="s">
        <v>33</v>
      </c>
      <c r="D325" s="184">
        <v>15908</v>
      </c>
      <c r="E325" s="26">
        <v>45870</v>
      </c>
      <c r="F325" s="26">
        <v>45900</v>
      </c>
      <c r="G325" s="22" t="s">
        <v>990</v>
      </c>
      <c r="H325" s="34" t="s">
        <v>11</v>
      </c>
      <c r="I325" s="185">
        <v>0.01</v>
      </c>
      <c r="J325" s="186">
        <v>7.4999999999999997E-3</v>
      </c>
      <c r="K325" s="203"/>
      <c r="L325" s="188"/>
      <c r="M325" s="189" t="s">
        <v>34</v>
      </c>
      <c r="N325" s="189" t="s">
        <v>151</v>
      </c>
      <c r="O325" s="190">
        <v>1754212</v>
      </c>
      <c r="P325" s="35">
        <v>45888</v>
      </c>
      <c r="Q325" s="22"/>
    </row>
    <row r="326" spans="1:17" s="234" customFormat="1" ht="30">
      <c r="A326" s="27" t="s">
        <v>59</v>
      </c>
      <c r="B326" s="39">
        <v>8206</v>
      </c>
      <c r="C326" s="183" t="s">
        <v>33</v>
      </c>
      <c r="D326" s="245">
        <v>13113</v>
      </c>
      <c r="E326" s="26">
        <v>45870</v>
      </c>
      <c r="F326" s="26">
        <v>45900</v>
      </c>
      <c r="G326" s="22" t="s">
        <v>990</v>
      </c>
      <c r="H326" s="34" t="s">
        <v>11</v>
      </c>
      <c r="I326" s="185">
        <v>0.01</v>
      </c>
      <c r="J326" s="186">
        <v>7.4999999999999997E-3</v>
      </c>
      <c r="K326" s="203"/>
      <c r="L326" s="188"/>
      <c r="M326" s="189" t="s">
        <v>34</v>
      </c>
      <c r="N326" s="189" t="s">
        <v>151</v>
      </c>
      <c r="O326" s="190">
        <v>1754212</v>
      </c>
      <c r="P326" s="35">
        <v>45888</v>
      </c>
      <c r="Q326" s="22"/>
    </row>
    <row r="327" spans="1:17" s="234" customFormat="1" ht="30">
      <c r="A327" s="27" t="s">
        <v>59</v>
      </c>
      <c r="B327" s="39">
        <v>8207</v>
      </c>
      <c r="C327" s="183" t="s">
        <v>33</v>
      </c>
      <c r="D327" s="184">
        <v>16822</v>
      </c>
      <c r="E327" s="26">
        <v>45870</v>
      </c>
      <c r="F327" s="26">
        <v>45900</v>
      </c>
      <c r="G327" s="22" t="s">
        <v>107</v>
      </c>
      <c r="H327" s="34" t="s">
        <v>11</v>
      </c>
      <c r="I327" s="185">
        <v>0.01</v>
      </c>
      <c r="J327" s="186">
        <v>5.0000000000000001E-3</v>
      </c>
      <c r="K327" s="203"/>
      <c r="L327" s="188"/>
      <c r="M327" s="189" t="s">
        <v>13</v>
      </c>
      <c r="N327" s="189" t="s">
        <v>2377</v>
      </c>
      <c r="O327" s="190">
        <v>1753954</v>
      </c>
      <c r="P327" s="35">
        <v>45888</v>
      </c>
      <c r="Q327" s="22"/>
    </row>
    <row r="328" spans="1:17" s="234" customFormat="1">
      <c r="A328" s="27" t="s">
        <v>58</v>
      </c>
      <c r="B328" s="39">
        <v>8245</v>
      </c>
      <c r="C328" s="183" t="s">
        <v>33</v>
      </c>
      <c r="D328" s="184">
        <v>15026</v>
      </c>
      <c r="E328" s="26">
        <v>45870</v>
      </c>
      <c r="F328" s="26">
        <v>45900</v>
      </c>
      <c r="G328" s="255" t="s">
        <v>2662</v>
      </c>
      <c r="H328" s="34" t="s">
        <v>11</v>
      </c>
      <c r="I328" s="185">
        <v>1000</v>
      </c>
      <c r="J328" s="186">
        <v>2E-3</v>
      </c>
      <c r="K328" s="203"/>
      <c r="L328" s="188"/>
      <c r="M328" s="189" t="s">
        <v>18</v>
      </c>
      <c r="N328" s="189" t="s">
        <v>2376</v>
      </c>
      <c r="O328" s="190">
        <v>1753935</v>
      </c>
      <c r="P328" s="35">
        <v>45888</v>
      </c>
      <c r="Q328" s="22"/>
    </row>
    <row r="329" spans="1:17" s="234" customFormat="1" ht="30">
      <c r="A329" s="27" t="s">
        <v>59</v>
      </c>
      <c r="B329" s="39">
        <v>8208</v>
      </c>
      <c r="C329" s="183" t="s">
        <v>33</v>
      </c>
      <c r="D329" s="184">
        <v>15516</v>
      </c>
      <c r="E329" s="26">
        <v>45870</v>
      </c>
      <c r="F329" s="26">
        <v>45900</v>
      </c>
      <c r="G329" s="22" t="s">
        <v>107</v>
      </c>
      <c r="H329" s="34" t="s">
        <v>11</v>
      </c>
      <c r="I329" s="185">
        <v>0.01</v>
      </c>
      <c r="J329" s="186">
        <v>5.0000000000000001E-3</v>
      </c>
      <c r="K329" s="203"/>
      <c r="L329" s="188"/>
      <c r="M329" s="189" t="s">
        <v>19</v>
      </c>
      <c r="N329" s="189" t="s">
        <v>61</v>
      </c>
      <c r="O329" s="190">
        <v>1753111</v>
      </c>
      <c r="P329" s="35">
        <v>45887</v>
      </c>
      <c r="Q329" s="22"/>
    </row>
    <row r="330" spans="1:17" s="234" customFormat="1" ht="30">
      <c r="A330" s="27" t="s">
        <v>59</v>
      </c>
      <c r="B330" s="39">
        <v>8209</v>
      </c>
      <c r="C330" s="183" t="s">
        <v>33</v>
      </c>
      <c r="D330" s="184">
        <v>12732</v>
      </c>
      <c r="E330" s="26">
        <v>45870</v>
      </c>
      <c r="F330" s="26">
        <v>45900</v>
      </c>
      <c r="G330" s="22" t="s">
        <v>107</v>
      </c>
      <c r="H330" s="34" t="s">
        <v>11</v>
      </c>
      <c r="I330" s="185">
        <v>0.01</v>
      </c>
      <c r="J330" s="186">
        <v>5.0000000000000001E-3</v>
      </c>
      <c r="K330" s="203"/>
      <c r="L330" s="188"/>
      <c r="M330" s="189" t="s">
        <v>29</v>
      </c>
      <c r="N330" s="189" t="s">
        <v>61</v>
      </c>
      <c r="O330" s="190">
        <v>1753104</v>
      </c>
      <c r="P330" s="35">
        <v>45887</v>
      </c>
      <c r="Q330" s="22"/>
    </row>
    <row r="331" spans="1:17" s="234" customFormat="1" ht="30">
      <c r="A331" s="27" t="s">
        <v>59</v>
      </c>
      <c r="B331" s="39">
        <v>8210</v>
      </c>
      <c r="C331" s="183" t="s">
        <v>33</v>
      </c>
      <c r="D331" s="184">
        <v>16892</v>
      </c>
      <c r="E331" s="26">
        <v>45870</v>
      </c>
      <c r="F331" s="26">
        <v>45900</v>
      </c>
      <c r="G331" s="22" t="s">
        <v>107</v>
      </c>
      <c r="H331" s="34" t="s">
        <v>11</v>
      </c>
      <c r="I331" s="185">
        <v>0.01</v>
      </c>
      <c r="J331" s="186">
        <v>3.0000000000000001E-3</v>
      </c>
      <c r="K331" s="203"/>
      <c r="L331" s="188"/>
      <c r="M331" s="189" t="s">
        <v>19</v>
      </c>
      <c r="N331" s="189" t="s">
        <v>61</v>
      </c>
      <c r="O331" s="190">
        <v>1753087</v>
      </c>
      <c r="P331" s="35">
        <v>45887</v>
      </c>
      <c r="Q331" s="246"/>
    </row>
    <row r="332" spans="1:17" s="234" customFormat="1">
      <c r="A332" s="27" t="s">
        <v>59</v>
      </c>
      <c r="B332" s="39">
        <v>8246</v>
      </c>
      <c r="C332" s="183" t="s">
        <v>33</v>
      </c>
      <c r="D332" s="184">
        <v>13718</v>
      </c>
      <c r="E332" s="26">
        <v>45870</v>
      </c>
      <c r="F332" s="26">
        <v>45900</v>
      </c>
      <c r="G332" s="247" t="s">
        <v>2661</v>
      </c>
      <c r="H332" s="34" t="s">
        <v>11</v>
      </c>
      <c r="I332" s="185">
        <v>0.01</v>
      </c>
      <c r="J332" s="186">
        <v>3.5000000000000003E-2</v>
      </c>
      <c r="K332" s="203"/>
      <c r="L332" s="188"/>
      <c r="M332" s="189" t="s">
        <v>32</v>
      </c>
      <c r="N332" s="189" t="s">
        <v>67</v>
      </c>
      <c r="O332" s="190">
        <v>1753079</v>
      </c>
      <c r="P332" s="35">
        <v>45887</v>
      </c>
      <c r="Q332" s="22"/>
    </row>
    <row r="333" spans="1:17" s="234" customFormat="1">
      <c r="A333" s="27" t="s">
        <v>58</v>
      </c>
      <c r="B333" s="39">
        <v>8247</v>
      </c>
      <c r="C333" s="183" t="s">
        <v>33</v>
      </c>
      <c r="D333" s="184">
        <v>13718</v>
      </c>
      <c r="E333" s="26">
        <v>45870</v>
      </c>
      <c r="F333" s="26">
        <v>45900</v>
      </c>
      <c r="G333" s="247" t="s">
        <v>2303</v>
      </c>
      <c r="H333" s="34" t="s">
        <v>11</v>
      </c>
      <c r="I333" s="185">
        <v>0.01</v>
      </c>
      <c r="J333" s="186">
        <v>5.0000000000000001E-3</v>
      </c>
      <c r="K333" s="203"/>
      <c r="L333" s="188"/>
      <c r="M333" s="189" t="s">
        <v>32</v>
      </c>
      <c r="N333" s="189" t="s">
        <v>67</v>
      </c>
      <c r="O333" s="190">
        <v>1753079</v>
      </c>
      <c r="P333" s="35">
        <v>45887</v>
      </c>
      <c r="Q333" s="22"/>
    </row>
    <row r="334" spans="1:17" s="234" customFormat="1" ht="30">
      <c r="A334" s="27" t="s">
        <v>59</v>
      </c>
      <c r="B334" s="39">
        <v>8211</v>
      </c>
      <c r="C334" s="183" t="s">
        <v>33</v>
      </c>
      <c r="D334" s="184">
        <v>13669</v>
      </c>
      <c r="E334" s="26">
        <v>45870</v>
      </c>
      <c r="F334" s="26">
        <v>45900</v>
      </c>
      <c r="G334" s="22" t="s">
        <v>107</v>
      </c>
      <c r="H334" s="34" t="s">
        <v>11</v>
      </c>
      <c r="I334" s="185">
        <v>0.01</v>
      </c>
      <c r="J334" s="186">
        <v>3.0000000000000001E-3</v>
      </c>
      <c r="K334" s="203"/>
      <c r="L334" s="188"/>
      <c r="M334" s="189" t="s">
        <v>95</v>
      </c>
      <c r="N334" s="189" t="s">
        <v>99</v>
      </c>
      <c r="O334" s="190">
        <v>1753073</v>
      </c>
      <c r="P334" s="35">
        <v>45887</v>
      </c>
      <c r="Q334" s="22"/>
    </row>
    <row r="335" spans="1:17" s="234" customFormat="1" ht="30">
      <c r="A335" s="27" t="s">
        <v>59</v>
      </c>
      <c r="B335" s="39">
        <v>8212</v>
      </c>
      <c r="C335" s="183" t="s">
        <v>33</v>
      </c>
      <c r="D335" s="184">
        <v>17401</v>
      </c>
      <c r="E335" s="26">
        <v>45870</v>
      </c>
      <c r="F335" s="26">
        <v>45900</v>
      </c>
      <c r="G335" s="22" t="s">
        <v>107</v>
      </c>
      <c r="H335" s="34" t="s">
        <v>11</v>
      </c>
      <c r="I335" s="185">
        <v>0.01</v>
      </c>
      <c r="J335" s="186">
        <v>5.0000000000000001E-3</v>
      </c>
      <c r="K335" s="203"/>
      <c r="L335" s="188"/>
      <c r="M335" s="189" t="s">
        <v>95</v>
      </c>
      <c r="N335" s="189" t="s">
        <v>99</v>
      </c>
      <c r="O335" s="190">
        <v>1753065</v>
      </c>
      <c r="P335" s="35">
        <v>45887</v>
      </c>
      <c r="Q335" s="22"/>
    </row>
    <row r="336" spans="1:17" s="234" customFormat="1" ht="30">
      <c r="A336" s="27" t="s">
        <v>59</v>
      </c>
      <c r="B336" s="39">
        <v>8213</v>
      </c>
      <c r="C336" s="183" t="s">
        <v>33</v>
      </c>
      <c r="D336" s="184">
        <v>17192</v>
      </c>
      <c r="E336" s="26">
        <v>45870</v>
      </c>
      <c r="F336" s="26">
        <v>45900</v>
      </c>
      <c r="G336" s="22" t="s">
        <v>107</v>
      </c>
      <c r="H336" s="34" t="s">
        <v>11</v>
      </c>
      <c r="I336" s="185">
        <v>0.01</v>
      </c>
      <c r="J336" s="186">
        <v>3.0000000000000001E-3</v>
      </c>
      <c r="K336" s="203"/>
      <c r="L336" s="188"/>
      <c r="M336" s="189" t="s">
        <v>95</v>
      </c>
      <c r="N336" s="189" t="s">
        <v>99</v>
      </c>
      <c r="O336" s="190">
        <v>1753055</v>
      </c>
      <c r="P336" s="35">
        <v>45887</v>
      </c>
      <c r="Q336" s="22"/>
    </row>
    <row r="337" spans="1:17" s="234" customFormat="1" ht="30">
      <c r="A337" s="27" t="s">
        <v>59</v>
      </c>
      <c r="B337" s="39">
        <v>8248</v>
      </c>
      <c r="C337" s="183" t="s">
        <v>33</v>
      </c>
      <c r="D337" s="184">
        <v>15692</v>
      </c>
      <c r="E337" s="26">
        <v>45870</v>
      </c>
      <c r="F337" s="26">
        <v>45900</v>
      </c>
      <c r="G337" s="255" t="s">
        <v>2663</v>
      </c>
      <c r="H337" s="34" t="s">
        <v>11</v>
      </c>
      <c r="I337" s="185">
        <v>0.01</v>
      </c>
      <c r="J337" s="186">
        <v>7.0000000000000001E-3</v>
      </c>
      <c r="K337" s="203"/>
      <c r="L337" s="188"/>
      <c r="M337" s="189" t="s">
        <v>95</v>
      </c>
      <c r="N337" s="189" t="s">
        <v>99</v>
      </c>
      <c r="O337" s="190">
        <v>1753050</v>
      </c>
      <c r="P337" s="35">
        <v>45887</v>
      </c>
      <c r="Q337" s="22"/>
    </row>
    <row r="338" spans="1:17" s="234" customFormat="1" ht="30">
      <c r="A338" s="27" t="s">
        <v>59</v>
      </c>
      <c r="B338" s="39">
        <v>8214</v>
      </c>
      <c r="C338" s="183" t="s">
        <v>33</v>
      </c>
      <c r="D338" s="184">
        <v>11301</v>
      </c>
      <c r="E338" s="26">
        <v>45870</v>
      </c>
      <c r="F338" s="26">
        <v>45900</v>
      </c>
      <c r="G338" s="22" t="s">
        <v>107</v>
      </c>
      <c r="H338" s="34" t="s">
        <v>11</v>
      </c>
      <c r="I338" s="185">
        <v>0.01</v>
      </c>
      <c r="J338" s="186">
        <v>7.0000000000000001E-3</v>
      </c>
      <c r="K338" s="203"/>
      <c r="L338" s="188"/>
      <c r="M338" s="189" t="s">
        <v>95</v>
      </c>
      <c r="N338" s="189" t="s">
        <v>99</v>
      </c>
      <c r="O338" s="190">
        <v>1753011</v>
      </c>
      <c r="P338" s="35">
        <v>45887</v>
      </c>
      <c r="Q338" s="22"/>
    </row>
    <row r="339" spans="1:17" s="234" customFormat="1" ht="30">
      <c r="A339" s="27" t="s">
        <v>59</v>
      </c>
      <c r="B339" s="39">
        <v>8215</v>
      </c>
      <c r="C339" s="183" t="s">
        <v>33</v>
      </c>
      <c r="D339" s="184">
        <v>13128</v>
      </c>
      <c r="E339" s="26">
        <v>45870</v>
      </c>
      <c r="F339" s="26">
        <v>45900</v>
      </c>
      <c r="G339" s="22" t="s">
        <v>107</v>
      </c>
      <c r="H339" s="34" t="s">
        <v>11</v>
      </c>
      <c r="I339" s="185">
        <v>0.01</v>
      </c>
      <c r="J339" s="186">
        <v>5.0000000000000001E-3</v>
      </c>
      <c r="K339" s="203"/>
      <c r="L339" s="188"/>
      <c r="M339" s="189" t="s">
        <v>95</v>
      </c>
      <c r="N339" s="189" t="s">
        <v>99</v>
      </c>
      <c r="O339" s="190">
        <v>1752999</v>
      </c>
      <c r="P339" s="35">
        <v>45887</v>
      </c>
      <c r="Q339" s="22"/>
    </row>
    <row r="340" spans="1:17" s="234" customFormat="1" ht="30">
      <c r="A340" s="27" t="s">
        <v>59</v>
      </c>
      <c r="B340" s="39">
        <v>8216</v>
      </c>
      <c r="C340" s="183" t="s">
        <v>33</v>
      </c>
      <c r="D340" s="184">
        <v>17636</v>
      </c>
      <c r="E340" s="26">
        <v>45870</v>
      </c>
      <c r="F340" s="26">
        <v>45900</v>
      </c>
      <c r="G340" s="22" t="s">
        <v>107</v>
      </c>
      <c r="H340" s="34" t="s">
        <v>11</v>
      </c>
      <c r="I340" s="185">
        <v>0.01</v>
      </c>
      <c r="J340" s="186">
        <v>7.0000000000000001E-3</v>
      </c>
      <c r="K340" s="203"/>
      <c r="L340" s="188"/>
      <c r="M340" s="189" t="s">
        <v>95</v>
      </c>
      <c r="N340" s="189" t="s">
        <v>99</v>
      </c>
      <c r="O340" s="190">
        <v>1752991</v>
      </c>
      <c r="P340" s="35">
        <v>45887</v>
      </c>
      <c r="Q340" s="22"/>
    </row>
    <row r="341" spans="1:17" s="234" customFormat="1" ht="30">
      <c r="A341" s="27" t="s">
        <v>59</v>
      </c>
      <c r="B341" s="39">
        <v>8217</v>
      </c>
      <c r="C341" s="183" t="s">
        <v>33</v>
      </c>
      <c r="D341" s="184">
        <v>14291</v>
      </c>
      <c r="E341" s="26">
        <v>45870</v>
      </c>
      <c r="F341" s="26">
        <v>45900</v>
      </c>
      <c r="G341" s="22" t="s">
        <v>107</v>
      </c>
      <c r="H341" s="34" t="s">
        <v>11</v>
      </c>
      <c r="I341" s="185">
        <v>0.01</v>
      </c>
      <c r="J341" s="186">
        <v>5.0000000000000001E-3</v>
      </c>
      <c r="K341" s="203"/>
      <c r="L341" s="188"/>
      <c r="M341" s="189" t="s">
        <v>95</v>
      </c>
      <c r="N341" s="189" t="s">
        <v>99</v>
      </c>
      <c r="O341" s="190">
        <v>1752971</v>
      </c>
      <c r="P341" s="35">
        <v>45887</v>
      </c>
      <c r="Q341" s="22"/>
    </row>
    <row r="342" spans="1:17" s="234" customFormat="1" ht="30">
      <c r="A342" s="27" t="s">
        <v>59</v>
      </c>
      <c r="B342" s="39">
        <v>8218</v>
      </c>
      <c r="C342" s="183" t="s">
        <v>33</v>
      </c>
      <c r="D342" s="184">
        <v>12323</v>
      </c>
      <c r="E342" s="26">
        <v>45870</v>
      </c>
      <c r="F342" s="26">
        <v>45900</v>
      </c>
      <c r="G342" s="22" t="s">
        <v>107</v>
      </c>
      <c r="H342" s="34" t="s">
        <v>11</v>
      </c>
      <c r="I342" s="185">
        <v>0.01</v>
      </c>
      <c r="J342" s="186">
        <v>5.0000000000000001E-3</v>
      </c>
      <c r="K342" s="203"/>
      <c r="L342" s="188"/>
      <c r="M342" s="189" t="s">
        <v>95</v>
      </c>
      <c r="N342" s="189" t="s">
        <v>99</v>
      </c>
      <c r="O342" s="190">
        <v>1752956</v>
      </c>
      <c r="P342" s="35">
        <v>45887</v>
      </c>
      <c r="Q342" s="22"/>
    </row>
    <row r="343" spans="1:17" s="234" customFormat="1" ht="30">
      <c r="A343" s="27" t="s">
        <v>59</v>
      </c>
      <c r="B343" s="39">
        <v>8219</v>
      </c>
      <c r="C343" s="183" t="s">
        <v>33</v>
      </c>
      <c r="D343" s="184">
        <v>17806</v>
      </c>
      <c r="E343" s="26">
        <v>45870</v>
      </c>
      <c r="F343" s="26">
        <v>45900</v>
      </c>
      <c r="G343" s="22" t="s">
        <v>107</v>
      </c>
      <c r="H343" s="34" t="s">
        <v>11</v>
      </c>
      <c r="I343" s="185">
        <v>0.01</v>
      </c>
      <c r="J343" s="186">
        <v>5.0000000000000001E-3</v>
      </c>
      <c r="K343" s="203"/>
      <c r="L343" s="188"/>
      <c r="M343" s="189" t="s">
        <v>95</v>
      </c>
      <c r="N343" s="189" t="s">
        <v>99</v>
      </c>
      <c r="O343" s="190">
        <v>1752948</v>
      </c>
      <c r="P343" s="35">
        <v>45887</v>
      </c>
      <c r="Q343" s="22"/>
    </row>
    <row r="344" spans="1:17" s="234" customFormat="1" ht="30">
      <c r="A344" s="27" t="s">
        <v>59</v>
      </c>
      <c r="B344" s="39">
        <v>8220</v>
      </c>
      <c r="C344" s="183" t="s">
        <v>33</v>
      </c>
      <c r="D344" s="184">
        <v>17051</v>
      </c>
      <c r="E344" s="26">
        <v>45870</v>
      </c>
      <c r="F344" s="26">
        <v>45900</v>
      </c>
      <c r="G344" s="22" t="s">
        <v>107</v>
      </c>
      <c r="H344" s="34" t="s">
        <v>11</v>
      </c>
      <c r="I344" s="185">
        <v>0.01</v>
      </c>
      <c r="J344" s="186">
        <v>2.5000000000000001E-3</v>
      </c>
      <c r="K344" s="203"/>
      <c r="L344" s="188"/>
      <c r="M344" s="189" t="s">
        <v>19</v>
      </c>
      <c r="N344" s="189" t="s">
        <v>61</v>
      </c>
      <c r="O344" s="190">
        <v>1752744</v>
      </c>
      <c r="P344" s="35">
        <v>45884</v>
      </c>
      <c r="Q344" s="22"/>
    </row>
    <row r="345" spans="1:17" s="234" customFormat="1" ht="30">
      <c r="A345" s="27" t="s">
        <v>59</v>
      </c>
      <c r="B345" s="39">
        <v>8221</v>
      </c>
      <c r="C345" s="183" t="s">
        <v>33</v>
      </c>
      <c r="D345" s="184">
        <v>17740</v>
      </c>
      <c r="E345" s="26">
        <v>45870</v>
      </c>
      <c r="F345" s="26">
        <v>45900</v>
      </c>
      <c r="G345" s="22" t="s">
        <v>107</v>
      </c>
      <c r="H345" s="34" t="s">
        <v>11</v>
      </c>
      <c r="I345" s="185">
        <v>1000</v>
      </c>
      <c r="J345" s="186">
        <v>7.0000000000000001E-3</v>
      </c>
      <c r="K345" s="203"/>
      <c r="L345" s="188"/>
      <c r="M345" s="189" t="s">
        <v>19</v>
      </c>
      <c r="N345" s="189" t="s">
        <v>61</v>
      </c>
      <c r="O345" s="190">
        <v>1752740</v>
      </c>
      <c r="P345" s="35">
        <v>45884</v>
      </c>
      <c r="Q345" s="22"/>
    </row>
    <row r="346" spans="1:17" s="234" customFormat="1" ht="30">
      <c r="A346" s="27" t="s">
        <v>59</v>
      </c>
      <c r="B346" s="39">
        <v>8222</v>
      </c>
      <c r="C346" s="183" t="s">
        <v>33</v>
      </c>
      <c r="D346" s="184">
        <v>15632</v>
      </c>
      <c r="E346" s="26">
        <v>45870</v>
      </c>
      <c r="F346" s="26">
        <v>45900</v>
      </c>
      <c r="G346" s="22" t="s">
        <v>107</v>
      </c>
      <c r="H346" s="34" t="s">
        <v>11</v>
      </c>
      <c r="I346" s="185">
        <v>1000</v>
      </c>
      <c r="J346" s="186">
        <v>3.0000000000000001E-3</v>
      </c>
      <c r="K346" s="203"/>
      <c r="L346" s="188"/>
      <c r="M346" s="189" t="s">
        <v>19</v>
      </c>
      <c r="N346" s="189" t="s">
        <v>61</v>
      </c>
      <c r="O346" s="190">
        <v>1752737</v>
      </c>
      <c r="P346" s="35">
        <v>45884</v>
      </c>
      <c r="Q346" s="22"/>
    </row>
    <row r="347" spans="1:17" s="234" customFormat="1" ht="30">
      <c r="A347" s="27" t="s">
        <v>59</v>
      </c>
      <c r="B347" s="39">
        <v>8254</v>
      </c>
      <c r="C347" s="183" t="s">
        <v>33</v>
      </c>
      <c r="D347" s="184">
        <v>13249</v>
      </c>
      <c r="E347" s="26">
        <v>45870</v>
      </c>
      <c r="F347" s="26">
        <v>45899</v>
      </c>
      <c r="G347" s="247" t="s">
        <v>2665</v>
      </c>
      <c r="H347" s="34" t="s">
        <v>11</v>
      </c>
      <c r="I347" s="185">
        <v>0.01</v>
      </c>
      <c r="J347" s="186">
        <v>0.02</v>
      </c>
      <c r="K347" s="203"/>
      <c r="L347" s="188"/>
      <c r="M347" s="189" t="s">
        <v>14</v>
      </c>
      <c r="N347" s="189" t="s">
        <v>71</v>
      </c>
      <c r="O347" s="190">
        <v>1753376</v>
      </c>
      <c r="P347" s="35">
        <v>45889</v>
      </c>
      <c r="Q347" s="22"/>
    </row>
    <row r="348" spans="1:17" s="234" customFormat="1" ht="30">
      <c r="A348" s="27" t="s">
        <v>59</v>
      </c>
      <c r="B348" s="39">
        <v>8255</v>
      </c>
      <c r="C348" s="183" t="s">
        <v>33</v>
      </c>
      <c r="D348" s="184">
        <v>13249</v>
      </c>
      <c r="E348" s="26">
        <v>45870</v>
      </c>
      <c r="F348" s="26">
        <v>45899</v>
      </c>
      <c r="G348" s="247" t="s">
        <v>2677</v>
      </c>
      <c r="H348" s="34" t="s">
        <v>11</v>
      </c>
      <c r="I348" s="185">
        <v>0.01</v>
      </c>
      <c r="J348" s="186">
        <v>5.0000000000000001E-3</v>
      </c>
      <c r="K348" s="203"/>
      <c r="L348" s="188"/>
      <c r="M348" s="189" t="s">
        <v>14</v>
      </c>
      <c r="N348" s="189" t="s">
        <v>71</v>
      </c>
      <c r="O348" s="190">
        <v>1753376</v>
      </c>
      <c r="P348" s="35">
        <v>45889</v>
      </c>
      <c r="Q348" s="22"/>
    </row>
    <row r="349" spans="1:17" s="234" customFormat="1" ht="30">
      <c r="A349" s="27" t="s">
        <v>59</v>
      </c>
      <c r="B349" s="39">
        <v>8256</v>
      </c>
      <c r="C349" s="183" t="s">
        <v>33</v>
      </c>
      <c r="D349" s="184">
        <v>13249</v>
      </c>
      <c r="E349" s="26">
        <v>45870</v>
      </c>
      <c r="F349" s="26">
        <v>45899</v>
      </c>
      <c r="G349" s="247" t="s">
        <v>2821</v>
      </c>
      <c r="H349" s="34" t="s">
        <v>11</v>
      </c>
      <c r="I349" s="185">
        <v>0.01</v>
      </c>
      <c r="J349" s="186">
        <v>5.0000000000000001E-3</v>
      </c>
      <c r="K349" s="203"/>
      <c r="L349" s="188"/>
      <c r="M349" s="189" t="s">
        <v>14</v>
      </c>
      <c r="N349" s="189" t="s">
        <v>71</v>
      </c>
      <c r="O349" s="190">
        <v>1753376</v>
      </c>
      <c r="P349" s="35">
        <v>45889</v>
      </c>
      <c r="Q349" s="22"/>
    </row>
    <row r="350" spans="1:17" s="234" customFormat="1" ht="60">
      <c r="A350" s="27" t="s">
        <v>59</v>
      </c>
      <c r="B350" s="39">
        <v>8257</v>
      </c>
      <c r="C350" s="183" t="s">
        <v>33</v>
      </c>
      <c r="D350" s="184">
        <v>13249</v>
      </c>
      <c r="E350" s="26">
        <v>45870</v>
      </c>
      <c r="F350" s="26">
        <v>45899</v>
      </c>
      <c r="G350" s="247" t="s">
        <v>2809</v>
      </c>
      <c r="H350" s="34" t="s">
        <v>11</v>
      </c>
      <c r="I350" s="185">
        <v>0.01</v>
      </c>
      <c r="J350" s="186">
        <v>5.0000000000000001E-3</v>
      </c>
      <c r="K350" s="203"/>
      <c r="L350" s="188"/>
      <c r="M350" s="189" t="s">
        <v>14</v>
      </c>
      <c r="N350" s="189" t="s">
        <v>71</v>
      </c>
      <c r="O350" s="190">
        <v>1753376</v>
      </c>
      <c r="P350" s="35">
        <v>45889</v>
      </c>
      <c r="Q350" s="22"/>
    </row>
    <row r="351" spans="1:17" s="234" customFormat="1" ht="30">
      <c r="A351" s="27" t="s">
        <v>59</v>
      </c>
      <c r="B351" s="39">
        <v>8258</v>
      </c>
      <c r="C351" s="183" t="s">
        <v>33</v>
      </c>
      <c r="D351" s="184">
        <v>13249</v>
      </c>
      <c r="E351" s="26">
        <v>45870</v>
      </c>
      <c r="F351" s="26">
        <v>45899</v>
      </c>
      <c r="G351" s="247" t="s">
        <v>2666</v>
      </c>
      <c r="H351" s="34" t="s">
        <v>11</v>
      </c>
      <c r="I351" s="185">
        <v>0.01</v>
      </c>
      <c r="J351" s="186">
        <v>2.75E-2</v>
      </c>
      <c r="K351" s="203"/>
      <c r="L351" s="188"/>
      <c r="M351" s="189" t="s">
        <v>14</v>
      </c>
      <c r="N351" s="189" t="s">
        <v>71</v>
      </c>
      <c r="O351" s="190">
        <v>1753376</v>
      </c>
      <c r="P351" s="35">
        <v>45889</v>
      </c>
      <c r="Q351" s="22"/>
    </row>
    <row r="352" spans="1:17" s="234" customFormat="1" ht="30">
      <c r="A352" s="27" t="s">
        <v>59</v>
      </c>
      <c r="B352" s="39">
        <v>8259</v>
      </c>
      <c r="C352" s="183" t="s">
        <v>33</v>
      </c>
      <c r="D352" s="184">
        <v>13249</v>
      </c>
      <c r="E352" s="26">
        <v>45870</v>
      </c>
      <c r="F352" s="26">
        <v>45899</v>
      </c>
      <c r="G352" s="247" t="s">
        <v>2667</v>
      </c>
      <c r="H352" s="34" t="s">
        <v>11</v>
      </c>
      <c r="I352" s="185">
        <v>0.01</v>
      </c>
      <c r="J352" s="186">
        <v>2E-3</v>
      </c>
      <c r="K352" s="203"/>
      <c r="L352" s="188"/>
      <c r="M352" s="189" t="s">
        <v>14</v>
      </c>
      <c r="N352" s="189" t="s">
        <v>71</v>
      </c>
      <c r="O352" s="190">
        <v>1753376</v>
      </c>
      <c r="P352" s="35">
        <v>45889</v>
      </c>
      <c r="Q352" s="22"/>
    </row>
    <row r="353" spans="1:17" s="234" customFormat="1" ht="30">
      <c r="A353" s="27" t="s">
        <v>58</v>
      </c>
      <c r="B353" s="39">
        <v>8260</v>
      </c>
      <c r="C353" s="183" t="s">
        <v>33</v>
      </c>
      <c r="D353" s="184">
        <v>13249</v>
      </c>
      <c r="E353" s="26">
        <v>45870</v>
      </c>
      <c r="F353" s="26">
        <v>45899</v>
      </c>
      <c r="G353" s="247" t="s">
        <v>2822</v>
      </c>
      <c r="H353" s="34" t="s">
        <v>11</v>
      </c>
      <c r="I353" s="185">
        <v>0.01</v>
      </c>
      <c r="J353" s="186">
        <v>2E-3</v>
      </c>
      <c r="K353" s="203"/>
      <c r="L353" s="188"/>
      <c r="M353" s="189" t="s">
        <v>14</v>
      </c>
      <c r="N353" s="189" t="s">
        <v>71</v>
      </c>
      <c r="O353" s="190">
        <v>1753376</v>
      </c>
      <c r="P353" s="35">
        <v>45889</v>
      </c>
      <c r="Q353" s="22"/>
    </row>
    <row r="354" spans="1:17" s="234" customFormat="1" ht="30">
      <c r="A354" s="27" t="s">
        <v>58</v>
      </c>
      <c r="B354" s="39">
        <v>8261</v>
      </c>
      <c r="C354" s="183" t="s">
        <v>33</v>
      </c>
      <c r="D354" s="184">
        <v>17188</v>
      </c>
      <c r="E354" s="26">
        <v>45870</v>
      </c>
      <c r="F354" s="26">
        <v>45899</v>
      </c>
      <c r="G354" s="247" t="s">
        <v>2668</v>
      </c>
      <c r="H354" s="34" t="s">
        <v>11</v>
      </c>
      <c r="I354" s="185">
        <v>0.01</v>
      </c>
      <c r="J354" s="186">
        <v>2E-3</v>
      </c>
      <c r="K354" s="203"/>
      <c r="L354" s="188"/>
      <c r="M354" s="189" t="s">
        <v>14</v>
      </c>
      <c r="N354" s="189" t="s">
        <v>71</v>
      </c>
      <c r="O354" s="190">
        <v>1753376</v>
      </c>
      <c r="P354" s="35">
        <v>45889</v>
      </c>
      <c r="Q354" s="22"/>
    </row>
    <row r="355" spans="1:17" s="234" customFormat="1" ht="30">
      <c r="A355" s="27" t="s">
        <v>59</v>
      </c>
      <c r="B355" s="39">
        <v>8262</v>
      </c>
      <c r="C355" s="183" t="s">
        <v>33</v>
      </c>
      <c r="D355" s="184">
        <v>13470</v>
      </c>
      <c r="E355" s="26">
        <v>45870</v>
      </c>
      <c r="F355" s="26">
        <v>45899</v>
      </c>
      <c r="G355" s="22" t="s">
        <v>128</v>
      </c>
      <c r="H355" s="34" t="s">
        <v>11</v>
      </c>
      <c r="I355" s="185">
        <v>0.01</v>
      </c>
      <c r="J355" s="186">
        <v>1.5E-3</v>
      </c>
      <c r="K355" s="203"/>
      <c r="L355" s="188"/>
      <c r="M355" s="189" t="s">
        <v>14</v>
      </c>
      <c r="N355" s="189" t="s">
        <v>71</v>
      </c>
      <c r="O355" s="190">
        <v>1753376</v>
      </c>
      <c r="P355" s="35">
        <v>45889</v>
      </c>
      <c r="Q355" s="22"/>
    </row>
    <row r="356" spans="1:17" s="234" customFormat="1" ht="30">
      <c r="A356" s="27" t="s">
        <v>58</v>
      </c>
      <c r="B356" s="39">
        <v>8263</v>
      </c>
      <c r="C356" s="183" t="s">
        <v>33</v>
      </c>
      <c r="D356" s="184">
        <v>12986</v>
      </c>
      <c r="E356" s="26">
        <v>45870</v>
      </c>
      <c r="F356" s="26">
        <v>45899</v>
      </c>
      <c r="G356" s="247" t="s">
        <v>2669</v>
      </c>
      <c r="H356" s="34" t="s">
        <v>11</v>
      </c>
      <c r="I356" s="185">
        <v>0.01</v>
      </c>
      <c r="J356" s="186">
        <v>2E-3</v>
      </c>
      <c r="K356" s="203"/>
      <c r="L356" s="188"/>
      <c r="M356" s="189" t="s">
        <v>14</v>
      </c>
      <c r="N356" s="189" t="s">
        <v>71</v>
      </c>
      <c r="O356" s="190">
        <v>1753376</v>
      </c>
      <c r="P356" s="35">
        <v>45889</v>
      </c>
      <c r="Q356" s="22"/>
    </row>
    <row r="357" spans="1:17" s="234" customFormat="1" ht="30">
      <c r="A357" s="27" t="s">
        <v>58</v>
      </c>
      <c r="B357" s="39">
        <v>8264</v>
      </c>
      <c r="C357" s="183" t="s">
        <v>33</v>
      </c>
      <c r="D357" s="184">
        <v>17031</v>
      </c>
      <c r="E357" s="26">
        <v>45870</v>
      </c>
      <c r="F357" s="26">
        <v>45899</v>
      </c>
      <c r="G357" s="247" t="s">
        <v>2670</v>
      </c>
      <c r="H357" s="34" t="s">
        <v>11</v>
      </c>
      <c r="I357" s="185">
        <v>0.01</v>
      </c>
      <c r="J357" s="186">
        <v>4.0000000000000001E-3</v>
      </c>
      <c r="K357" s="203"/>
      <c r="L357" s="188"/>
      <c r="M357" s="189" t="s">
        <v>14</v>
      </c>
      <c r="N357" s="189" t="s">
        <v>71</v>
      </c>
      <c r="O357" s="190">
        <v>1753376</v>
      </c>
      <c r="P357" s="35">
        <v>45889</v>
      </c>
      <c r="Q357" s="22"/>
    </row>
    <row r="358" spans="1:17" s="234" customFormat="1" ht="30">
      <c r="A358" s="27" t="s">
        <v>58</v>
      </c>
      <c r="B358" s="39">
        <v>8265</v>
      </c>
      <c r="C358" s="183" t="s">
        <v>33</v>
      </c>
      <c r="D358" s="184">
        <v>9566</v>
      </c>
      <c r="E358" s="26">
        <v>45870</v>
      </c>
      <c r="F358" s="26">
        <v>45899</v>
      </c>
      <c r="G358" s="247" t="s">
        <v>2670</v>
      </c>
      <c r="H358" s="34" t="s">
        <v>11</v>
      </c>
      <c r="I358" s="185">
        <v>0.01</v>
      </c>
      <c r="J358" s="186">
        <v>1.4999999999999999E-2</v>
      </c>
      <c r="K358" s="203"/>
      <c r="L358" s="188"/>
      <c r="M358" s="189" t="s">
        <v>14</v>
      </c>
      <c r="N358" s="189" t="s">
        <v>71</v>
      </c>
      <c r="O358" s="190">
        <v>1753376</v>
      </c>
      <c r="P358" s="35">
        <v>45889</v>
      </c>
      <c r="Q358" s="22"/>
    </row>
    <row r="359" spans="1:17" s="234" customFormat="1" ht="30">
      <c r="A359" s="27" t="s">
        <v>58</v>
      </c>
      <c r="B359" s="39">
        <v>8266</v>
      </c>
      <c r="C359" s="183" t="s">
        <v>33</v>
      </c>
      <c r="D359" s="184">
        <v>9566</v>
      </c>
      <c r="E359" s="26">
        <v>45870</v>
      </c>
      <c r="F359" s="26">
        <v>45899</v>
      </c>
      <c r="G359" s="247" t="s">
        <v>2671</v>
      </c>
      <c r="H359" s="34" t="s">
        <v>11</v>
      </c>
      <c r="I359" s="185">
        <v>0.01</v>
      </c>
      <c r="J359" s="186">
        <v>3.0000000000000001E-3</v>
      </c>
      <c r="K359" s="203"/>
      <c r="L359" s="188"/>
      <c r="M359" s="189" t="s">
        <v>14</v>
      </c>
      <c r="N359" s="189" t="s">
        <v>71</v>
      </c>
      <c r="O359" s="190">
        <v>1753376</v>
      </c>
      <c r="P359" s="35">
        <v>45889</v>
      </c>
      <c r="Q359" s="22"/>
    </row>
    <row r="360" spans="1:17" s="234" customFormat="1" ht="30">
      <c r="A360" s="27" t="s">
        <v>58</v>
      </c>
      <c r="B360" s="39">
        <v>8267</v>
      </c>
      <c r="C360" s="183" t="s">
        <v>33</v>
      </c>
      <c r="D360" s="184">
        <v>12986</v>
      </c>
      <c r="E360" s="26">
        <v>45870</v>
      </c>
      <c r="F360" s="26">
        <v>45899</v>
      </c>
      <c r="G360" s="247" t="s">
        <v>2669</v>
      </c>
      <c r="H360" s="34" t="s">
        <v>11</v>
      </c>
      <c r="I360" s="185">
        <v>0.01</v>
      </c>
      <c r="J360" s="186">
        <v>2E-3</v>
      </c>
      <c r="K360" s="203"/>
      <c r="L360" s="188"/>
      <c r="M360" s="189" t="s">
        <v>14</v>
      </c>
      <c r="N360" s="189" t="s">
        <v>71</v>
      </c>
      <c r="O360" s="190">
        <v>1753376</v>
      </c>
      <c r="P360" s="35">
        <v>45889</v>
      </c>
      <c r="Q360" s="22"/>
    </row>
    <row r="361" spans="1:17" s="234" customFormat="1" ht="30">
      <c r="A361" s="27" t="s">
        <v>58</v>
      </c>
      <c r="B361" s="39">
        <v>8268</v>
      </c>
      <c r="C361" s="183" t="s">
        <v>33</v>
      </c>
      <c r="D361" s="184">
        <v>12800</v>
      </c>
      <c r="E361" s="26">
        <v>45870</v>
      </c>
      <c r="F361" s="26">
        <v>45899</v>
      </c>
      <c r="G361" s="247" t="s">
        <v>2697</v>
      </c>
      <c r="H361" s="34" t="s">
        <v>11</v>
      </c>
      <c r="I361" s="185">
        <v>0.01</v>
      </c>
      <c r="J361" s="186">
        <v>2E-3</v>
      </c>
      <c r="K361" s="203"/>
      <c r="L361" s="188"/>
      <c r="M361" s="189" t="s">
        <v>14</v>
      </c>
      <c r="N361" s="189" t="s">
        <v>71</v>
      </c>
      <c r="O361" s="190">
        <v>1753376</v>
      </c>
      <c r="P361" s="35">
        <v>45889</v>
      </c>
      <c r="Q361" s="22"/>
    </row>
    <row r="362" spans="1:17" s="234" customFormat="1" ht="30">
      <c r="A362" s="27" t="s">
        <v>58</v>
      </c>
      <c r="B362" s="39">
        <v>8269</v>
      </c>
      <c r="C362" s="183" t="s">
        <v>33</v>
      </c>
      <c r="D362" s="184">
        <v>17892</v>
      </c>
      <c r="E362" s="26">
        <v>45870</v>
      </c>
      <c r="F362" s="26">
        <v>45899</v>
      </c>
      <c r="G362" s="247" t="s">
        <v>2670</v>
      </c>
      <c r="H362" s="34" t="s">
        <v>11</v>
      </c>
      <c r="I362" s="185">
        <v>0.01</v>
      </c>
      <c r="J362" s="186">
        <v>1.95E-2</v>
      </c>
      <c r="K362" s="203"/>
      <c r="L362" s="188"/>
      <c r="M362" s="189" t="s">
        <v>14</v>
      </c>
      <c r="N362" s="189" t="s">
        <v>71</v>
      </c>
      <c r="O362" s="190">
        <v>1753376</v>
      </c>
      <c r="P362" s="35">
        <v>45889</v>
      </c>
      <c r="Q362" s="22"/>
    </row>
    <row r="363" spans="1:17" s="234" customFormat="1" ht="30">
      <c r="A363" s="27" t="s">
        <v>58</v>
      </c>
      <c r="B363" s="39">
        <v>8270</v>
      </c>
      <c r="C363" s="183" t="s">
        <v>33</v>
      </c>
      <c r="D363" s="184">
        <v>17892</v>
      </c>
      <c r="E363" s="26">
        <v>45870</v>
      </c>
      <c r="F363" s="26">
        <v>45899</v>
      </c>
      <c r="G363" s="247" t="s">
        <v>2650</v>
      </c>
      <c r="H363" s="34" t="s">
        <v>11</v>
      </c>
      <c r="I363" s="185">
        <v>0.01</v>
      </c>
      <c r="J363" s="186">
        <v>3.6999999999999998E-2</v>
      </c>
      <c r="K363" s="203"/>
      <c r="L363" s="188"/>
      <c r="M363" s="189" t="s">
        <v>14</v>
      </c>
      <c r="N363" s="189" t="s">
        <v>71</v>
      </c>
      <c r="O363" s="190">
        <v>1753376</v>
      </c>
      <c r="P363" s="35">
        <v>45889</v>
      </c>
      <c r="Q363" s="22"/>
    </row>
    <row r="364" spans="1:17" s="234" customFormat="1" ht="30">
      <c r="A364" s="27" t="s">
        <v>58</v>
      </c>
      <c r="B364" s="39">
        <v>8271</v>
      </c>
      <c r="C364" s="183" t="s">
        <v>33</v>
      </c>
      <c r="D364" s="184">
        <v>14135</v>
      </c>
      <c r="E364" s="26">
        <v>45870</v>
      </c>
      <c r="F364" s="26">
        <v>45899</v>
      </c>
      <c r="G364" s="247" t="s">
        <v>2823</v>
      </c>
      <c r="H364" s="34" t="s">
        <v>11</v>
      </c>
      <c r="I364" s="185">
        <v>0.01</v>
      </c>
      <c r="J364" s="186">
        <v>2E-3</v>
      </c>
      <c r="K364" s="203"/>
      <c r="L364" s="188"/>
      <c r="M364" s="189" t="s">
        <v>14</v>
      </c>
      <c r="N364" s="189" t="s">
        <v>71</v>
      </c>
      <c r="O364" s="190">
        <v>1753376</v>
      </c>
      <c r="P364" s="35">
        <v>45889</v>
      </c>
      <c r="Q364" s="22"/>
    </row>
    <row r="365" spans="1:17" s="234" customFormat="1" ht="30">
      <c r="A365" s="27" t="s">
        <v>58</v>
      </c>
      <c r="B365" s="39">
        <v>8281</v>
      </c>
      <c r="C365" s="183" t="s">
        <v>33</v>
      </c>
      <c r="D365" s="184">
        <v>13466</v>
      </c>
      <c r="E365" s="26">
        <v>45870</v>
      </c>
      <c r="F365" s="26">
        <v>45900</v>
      </c>
      <c r="G365" s="247" t="s">
        <v>2848</v>
      </c>
      <c r="H365" s="34" t="s">
        <v>11</v>
      </c>
      <c r="I365" s="185" t="s">
        <v>2672</v>
      </c>
      <c r="J365" s="186">
        <v>2E-3</v>
      </c>
      <c r="K365" s="203"/>
      <c r="L365" s="188"/>
      <c r="M365" s="189" t="s">
        <v>34</v>
      </c>
      <c r="N365" s="189" t="s">
        <v>151</v>
      </c>
      <c r="O365" s="190">
        <v>1755505</v>
      </c>
      <c r="P365" s="35">
        <v>45889</v>
      </c>
      <c r="Q365" s="22"/>
    </row>
    <row r="366" spans="1:17" s="234" customFormat="1" ht="30">
      <c r="A366" s="27" t="s">
        <v>59</v>
      </c>
      <c r="B366" s="39">
        <v>8282</v>
      </c>
      <c r="C366" s="183" t="s">
        <v>33</v>
      </c>
      <c r="D366" s="184" t="s">
        <v>2673</v>
      </c>
      <c r="E366" s="26">
        <v>45870</v>
      </c>
      <c r="F366" s="26">
        <v>45900</v>
      </c>
      <c r="G366" s="247" t="s">
        <v>2768</v>
      </c>
      <c r="H366" s="34" t="s">
        <v>11</v>
      </c>
      <c r="I366" s="185" t="s">
        <v>2672</v>
      </c>
      <c r="J366" s="186">
        <v>2E-3</v>
      </c>
      <c r="K366" s="203"/>
      <c r="L366" s="188"/>
      <c r="M366" s="189" t="s">
        <v>34</v>
      </c>
      <c r="N366" s="189" t="s">
        <v>151</v>
      </c>
      <c r="O366" s="190">
        <v>1755505</v>
      </c>
      <c r="P366" s="35">
        <v>45889</v>
      </c>
      <c r="Q366" s="22"/>
    </row>
    <row r="367" spans="1:17" s="234" customFormat="1" ht="30">
      <c r="A367" s="27" t="s">
        <v>58</v>
      </c>
      <c r="B367" s="39">
        <v>8283</v>
      </c>
      <c r="C367" s="183" t="s">
        <v>33</v>
      </c>
      <c r="D367" s="184" t="s">
        <v>2673</v>
      </c>
      <c r="E367" s="26">
        <v>45870</v>
      </c>
      <c r="F367" s="26">
        <v>45900</v>
      </c>
      <c r="G367" s="247" t="s">
        <v>2849</v>
      </c>
      <c r="H367" s="34" t="s">
        <v>11</v>
      </c>
      <c r="I367" s="185" t="s">
        <v>2672</v>
      </c>
      <c r="J367" s="186">
        <v>2E-3</v>
      </c>
      <c r="K367" s="203"/>
      <c r="L367" s="188"/>
      <c r="M367" s="189" t="s">
        <v>34</v>
      </c>
      <c r="N367" s="189" t="s">
        <v>151</v>
      </c>
      <c r="O367" s="190">
        <v>1755505</v>
      </c>
      <c r="P367" s="35">
        <v>45889</v>
      </c>
      <c r="Q367" s="22"/>
    </row>
    <row r="368" spans="1:17" s="234" customFormat="1" ht="30">
      <c r="A368" s="27" t="s">
        <v>58</v>
      </c>
      <c r="B368" s="39">
        <v>8284</v>
      </c>
      <c r="C368" s="183" t="s">
        <v>33</v>
      </c>
      <c r="D368" s="184" t="s">
        <v>2673</v>
      </c>
      <c r="E368" s="26">
        <v>45870</v>
      </c>
      <c r="F368" s="26">
        <v>45900</v>
      </c>
      <c r="G368" s="247" t="s">
        <v>2850</v>
      </c>
      <c r="H368" s="34" t="s">
        <v>11</v>
      </c>
      <c r="I368" s="185" t="s">
        <v>2672</v>
      </c>
      <c r="J368" s="186">
        <v>2E-3</v>
      </c>
      <c r="K368" s="203"/>
      <c r="L368" s="188"/>
      <c r="M368" s="189" t="s">
        <v>34</v>
      </c>
      <c r="N368" s="189" t="s">
        <v>151</v>
      </c>
      <c r="O368" s="190">
        <v>1755505</v>
      </c>
      <c r="P368" s="35">
        <v>45889</v>
      </c>
      <c r="Q368" s="22"/>
    </row>
    <row r="369" spans="1:17" s="234" customFormat="1">
      <c r="A369" s="27" t="s">
        <v>59</v>
      </c>
      <c r="B369" s="39">
        <v>8285</v>
      </c>
      <c r="C369" s="183" t="s">
        <v>33</v>
      </c>
      <c r="D369" s="184">
        <v>17683</v>
      </c>
      <c r="E369" s="26">
        <v>45870</v>
      </c>
      <c r="F369" s="26">
        <v>45900</v>
      </c>
      <c r="G369" s="22" t="s">
        <v>990</v>
      </c>
      <c r="H369" s="34" t="s">
        <v>11</v>
      </c>
      <c r="I369" s="185">
        <v>0.01</v>
      </c>
      <c r="J369" s="224">
        <v>6.4999999999999997E-3</v>
      </c>
      <c r="K369" s="203"/>
      <c r="L369" s="188"/>
      <c r="M369" s="189" t="s">
        <v>20</v>
      </c>
      <c r="N369" s="189" t="s">
        <v>200</v>
      </c>
      <c r="O369" s="190">
        <v>1755495</v>
      </c>
      <c r="P369" s="35">
        <v>45889</v>
      </c>
      <c r="Q369" s="22"/>
    </row>
    <row r="370" spans="1:17" s="234" customFormat="1" ht="30">
      <c r="A370" s="27" t="s">
        <v>58</v>
      </c>
      <c r="B370" s="39">
        <v>8286</v>
      </c>
      <c r="C370" s="183" t="s">
        <v>33</v>
      </c>
      <c r="D370" s="184">
        <v>17358</v>
      </c>
      <c r="E370" s="26">
        <v>45870</v>
      </c>
      <c r="F370" s="26">
        <v>45900</v>
      </c>
      <c r="G370" s="247" t="s">
        <v>2438</v>
      </c>
      <c r="H370" s="34" t="s">
        <v>11</v>
      </c>
      <c r="I370" s="185">
        <v>0.01</v>
      </c>
      <c r="J370" s="186">
        <v>2E-3</v>
      </c>
      <c r="K370" s="203"/>
      <c r="L370" s="188"/>
      <c r="M370" s="189" t="s">
        <v>41</v>
      </c>
      <c r="N370" s="189" t="s">
        <v>1496</v>
      </c>
      <c r="O370" s="190">
        <v>1755492</v>
      </c>
      <c r="P370" s="35">
        <v>45889</v>
      </c>
      <c r="Q370" s="22"/>
    </row>
    <row r="371" spans="1:17" s="234" customFormat="1" ht="30">
      <c r="A371" s="27" t="s">
        <v>58</v>
      </c>
      <c r="B371" s="39">
        <v>8287</v>
      </c>
      <c r="C371" s="183" t="s">
        <v>33</v>
      </c>
      <c r="D371" s="184">
        <v>17358</v>
      </c>
      <c r="E371" s="26">
        <v>45870</v>
      </c>
      <c r="F371" s="26">
        <v>45900</v>
      </c>
      <c r="G371" s="247" t="s">
        <v>2674</v>
      </c>
      <c r="H371" s="34" t="s">
        <v>11</v>
      </c>
      <c r="I371" s="185">
        <v>0.01</v>
      </c>
      <c r="J371" s="186">
        <v>2E-3</v>
      </c>
      <c r="K371" s="203"/>
      <c r="L371" s="188"/>
      <c r="M371" s="189" t="s">
        <v>41</v>
      </c>
      <c r="N371" s="189" t="s">
        <v>1496</v>
      </c>
      <c r="O371" s="190">
        <v>1755492</v>
      </c>
      <c r="P371" s="35">
        <v>45889</v>
      </c>
      <c r="Q371" s="22"/>
    </row>
    <row r="372" spans="1:17" s="234" customFormat="1" ht="30">
      <c r="A372" s="27" t="s">
        <v>59</v>
      </c>
      <c r="B372" s="39">
        <v>8288</v>
      </c>
      <c r="C372" s="183" t="s">
        <v>33</v>
      </c>
      <c r="D372" s="184" t="s">
        <v>2061</v>
      </c>
      <c r="E372" s="26">
        <v>45870</v>
      </c>
      <c r="F372" s="26">
        <v>45900</v>
      </c>
      <c r="G372" s="22" t="s">
        <v>128</v>
      </c>
      <c r="H372" s="34" t="s">
        <v>11</v>
      </c>
      <c r="I372" s="185">
        <v>0.01</v>
      </c>
      <c r="J372" s="186">
        <v>5.0000000000000001E-3</v>
      </c>
      <c r="K372" s="203"/>
      <c r="L372" s="188"/>
      <c r="M372" s="189" t="s">
        <v>19</v>
      </c>
      <c r="N372" s="189" t="s">
        <v>97</v>
      </c>
      <c r="O372" s="190">
        <v>1755486</v>
      </c>
      <c r="P372" s="35">
        <v>45889</v>
      </c>
      <c r="Q372" s="22" t="s">
        <v>2760</v>
      </c>
    </row>
    <row r="373" spans="1:17" s="234" customFormat="1">
      <c r="A373" s="27" t="s">
        <v>59</v>
      </c>
      <c r="B373" s="39">
        <v>8289</v>
      </c>
      <c r="C373" s="183" t="s">
        <v>33</v>
      </c>
      <c r="D373" s="184">
        <v>9248</v>
      </c>
      <c r="E373" s="26">
        <v>45870</v>
      </c>
      <c r="F373" s="26">
        <v>45900</v>
      </c>
      <c r="G373" s="22" t="s">
        <v>990</v>
      </c>
      <c r="H373" s="34" t="s">
        <v>11</v>
      </c>
      <c r="I373" s="185">
        <v>0.01</v>
      </c>
      <c r="J373" s="224">
        <v>6.4999999999999997E-3</v>
      </c>
      <c r="K373" s="203"/>
      <c r="L373" s="188"/>
      <c r="M373" s="189" t="s">
        <v>20</v>
      </c>
      <c r="N373" s="189" t="s">
        <v>200</v>
      </c>
      <c r="O373" s="190">
        <v>1755481</v>
      </c>
      <c r="P373" s="35">
        <v>45889</v>
      </c>
      <c r="Q373" s="22"/>
    </row>
    <row r="374" spans="1:17" s="234" customFormat="1">
      <c r="A374" s="27" t="s">
        <v>58</v>
      </c>
      <c r="B374" s="39">
        <v>8290</v>
      </c>
      <c r="C374" s="183" t="s">
        <v>33</v>
      </c>
      <c r="D374" s="184">
        <v>9248</v>
      </c>
      <c r="E374" s="26">
        <v>45870</v>
      </c>
      <c r="F374" s="26">
        <v>45900</v>
      </c>
      <c r="G374" s="247" t="s">
        <v>222</v>
      </c>
      <c r="H374" s="34" t="s">
        <v>11</v>
      </c>
      <c r="I374" s="185">
        <v>0.01</v>
      </c>
      <c r="J374" s="186">
        <v>5.0000000000000001E-3</v>
      </c>
      <c r="K374" s="203"/>
      <c r="L374" s="188"/>
      <c r="M374" s="189" t="s">
        <v>20</v>
      </c>
      <c r="N374" s="189" t="s">
        <v>200</v>
      </c>
      <c r="O374" s="190">
        <v>1755476</v>
      </c>
      <c r="P374" s="35">
        <v>45889</v>
      </c>
      <c r="Q374" s="22"/>
    </row>
    <row r="375" spans="1:17" s="234" customFormat="1">
      <c r="A375" s="27" t="s">
        <v>59</v>
      </c>
      <c r="B375" s="39">
        <v>8291</v>
      </c>
      <c r="C375" s="183" t="s">
        <v>33</v>
      </c>
      <c r="D375" s="184">
        <v>13750</v>
      </c>
      <c r="E375" s="26">
        <v>45870</v>
      </c>
      <c r="F375" s="26">
        <v>45900</v>
      </c>
      <c r="G375" s="22" t="s">
        <v>990</v>
      </c>
      <c r="H375" s="34" t="s">
        <v>11</v>
      </c>
      <c r="I375" s="185">
        <v>200000</v>
      </c>
      <c r="J375" s="186">
        <v>7.4999999999999997E-3</v>
      </c>
      <c r="K375" s="203"/>
      <c r="L375" s="188"/>
      <c r="M375" s="189" t="s">
        <v>20</v>
      </c>
      <c r="N375" s="189" t="s">
        <v>200</v>
      </c>
      <c r="O375" s="190">
        <v>1755471</v>
      </c>
      <c r="P375" s="35">
        <v>45889</v>
      </c>
      <c r="Q375" s="22"/>
    </row>
    <row r="376" spans="1:17" s="234" customFormat="1">
      <c r="A376" s="27" t="s">
        <v>59</v>
      </c>
      <c r="B376" s="39">
        <v>8305</v>
      </c>
      <c r="C376" s="183" t="s">
        <v>33</v>
      </c>
      <c r="D376" s="184">
        <v>13560</v>
      </c>
      <c r="E376" s="26">
        <v>45870</v>
      </c>
      <c r="F376" s="26">
        <v>45900</v>
      </c>
      <c r="G376" s="22" t="s">
        <v>128</v>
      </c>
      <c r="H376" s="34" t="s">
        <v>11</v>
      </c>
      <c r="I376" s="185">
        <v>200000</v>
      </c>
      <c r="J376" s="186">
        <v>7.4999999999999997E-3</v>
      </c>
      <c r="K376" s="203"/>
      <c r="L376" s="188"/>
      <c r="M376" s="189" t="s">
        <v>20</v>
      </c>
      <c r="N376" s="189" t="s">
        <v>200</v>
      </c>
      <c r="O376" s="190">
        <v>1755471</v>
      </c>
      <c r="P376" s="35">
        <v>45889</v>
      </c>
      <c r="Q376" s="22"/>
    </row>
    <row r="377" spans="1:17" s="234" customFormat="1" ht="30">
      <c r="A377" s="27" t="s">
        <v>58</v>
      </c>
      <c r="B377" s="39">
        <v>8306</v>
      </c>
      <c r="C377" s="183" t="s">
        <v>33</v>
      </c>
      <c r="D377" s="184" t="s">
        <v>2061</v>
      </c>
      <c r="E377" s="26">
        <v>45870</v>
      </c>
      <c r="F377" s="26">
        <v>45900</v>
      </c>
      <c r="G377" s="247" t="s">
        <v>2675</v>
      </c>
      <c r="H377" s="34" t="s">
        <v>11</v>
      </c>
      <c r="I377" s="185">
        <v>0.01</v>
      </c>
      <c r="J377" s="186">
        <v>0.01</v>
      </c>
      <c r="K377" s="203"/>
      <c r="L377" s="188"/>
      <c r="M377" s="189" t="s">
        <v>19</v>
      </c>
      <c r="N377" s="189" t="s">
        <v>97</v>
      </c>
      <c r="O377" s="190">
        <v>1755470</v>
      </c>
      <c r="P377" s="35">
        <v>45889</v>
      </c>
      <c r="Q377" s="22" t="s">
        <v>2760</v>
      </c>
    </row>
    <row r="378" spans="1:17" s="234" customFormat="1">
      <c r="A378" s="27" t="s">
        <v>59</v>
      </c>
      <c r="B378" s="39">
        <v>8307</v>
      </c>
      <c r="C378" s="183" t="s">
        <v>33</v>
      </c>
      <c r="D378" s="184">
        <v>13910</v>
      </c>
      <c r="E378" s="26">
        <v>45870</v>
      </c>
      <c r="F378" s="26">
        <v>45900</v>
      </c>
      <c r="G378" s="22" t="s">
        <v>990</v>
      </c>
      <c r="H378" s="34" t="s">
        <v>11</v>
      </c>
      <c r="I378" s="185">
        <v>0.01</v>
      </c>
      <c r="J378" s="186">
        <v>2.5000000000000001E-3</v>
      </c>
      <c r="K378" s="203"/>
      <c r="L378" s="188"/>
      <c r="M378" s="189" t="s">
        <v>20</v>
      </c>
      <c r="N378" s="189" t="s">
        <v>200</v>
      </c>
      <c r="O378" s="190">
        <v>1755460</v>
      </c>
      <c r="P378" s="35">
        <v>45889</v>
      </c>
      <c r="Q378" s="22"/>
    </row>
    <row r="379" spans="1:17" s="234" customFormat="1">
      <c r="A379" s="27" t="s">
        <v>59</v>
      </c>
      <c r="B379" s="39">
        <v>8308</v>
      </c>
      <c r="C379" s="183" t="s">
        <v>33</v>
      </c>
      <c r="D379" s="184">
        <v>8810</v>
      </c>
      <c r="E379" s="26">
        <v>45870</v>
      </c>
      <c r="F379" s="26">
        <v>45900</v>
      </c>
      <c r="G379" s="22" t="s">
        <v>990</v>
      </c>
      <c r="H379" s="34" t="s">
        <v>11</v>
      </c>
      <c r="I379" s="185">
        <v>0.01</v>
      </c>
      <c r="J379" s="186">
        <v>2.5000000000000001E-3</v>
      </c>
      <c r="K379" s="203"/>
      <c r="L379" s="188"/>
      <c r="M379" s="189" t="s">
        <v>20</v>
      </c>
      <c r="N379" s="189" t="s">
        <v>200</v>
      </c>
      <c r="O379" s="190">
        <v>1755460</v>
      </c>
      <c r="P379" s="35">
        <v>45889</v>
      </c>
      <c r="Q379" s="22"/>
    </row>
    <row r="380" spans="1:17" s="234" customFormat="1">
      <c r="A380" s="27" t="s">
        <v>59</v>
      </c>
      <c r="B380" s="39">
        <v>8309</v>
      </c>
      <c r="C380" s="183" t="s">
        <v>33</v>
      </c>
      <c r="D380" s="184">
        <v>14003</v>
      </c>
      <c r="E380" s="26">
        <v>45870</v>
      </c>
      <c r="F380" s="26">
        <v>45900</v>
      </c>
      <c r="G380" s="22" t="s">
        <v>990</v>
      </c>
      <c r="H380" s="34" t="s">
        <v>11</v>
      </c>
      <c r="I380" s="185">
        <v>200000</v>
      </c>
      <c r="J380" s="186">
        <v>5.0000000000000001E-3</v>
      </c>
      <c r="K380" s="203"/>
      <c r="L380" s="188"/>
      <c r="M380" s="189" t="s">
        <v>20</v>
      </c>
      <c r="N380" s="189" t="s">
        <v>200</v>
      </c>
      <c r="O380" s="190">
        <v>1755447</v>
      </c>
      <c r="P380" s="35">
        <v>45889</v>
      </c>
      <c r="Q380" s="22"/>
    </row>
    <row r="381" spans="1:17" s="234" customFormat="1">
      <c r="A381" s="27" t="s">
        <v>59</v>
      </c>
      <c r="B381" s="39">
        <v>8310</v>
      </c>
      <c r="C381" s="183" t="s">
        <v>33</v>
      </c>
      <c r="D381" s="184">
        <v>3566</v>
      </c>
      <c r="E381" s="26">
        <v>45870</v>
      </c>
      <c r="F381" s="26">
        <v>45900</v>
      </c>
      <c r="G381" s="22" t="s">
        <v>990</v>
      </c>
      <c r="H381" s="34" t="s">
        <v>11</v>
      </c>
      <c r="I381" s="185">
        <v>500000</v>
      </c>
      <c r="J381" s="186">
        <v>7.0000000000000001E-3</v>
      </c>
      <c r="K381" s="203"/>
      <c r="L381" s="188"/>
      <c r="M381" s="189" t="s">
        <v>20</v>
      </c>
      <c r="N381" s="189" t="s">
        <v>200</v>
      </c>
      <c r="O381" s="190">
        <v>1755438</v>
      </c>
      <c r="P381" s="35">
        <v>45889</v>
      </c>
      <c r="Q381" s="22"/>
    </row>
    <row r="382" spans="1:17" s="234" customFormat="1" ht="30">
      <c r="A382" s="27" t="s">
        <v>58</v>
      </c>
      <c r="B382" s="39">
        <v>8311</v>
      </c>
      <c r="C382" s="183" t="s">
        <v>33</v>
      </c>
      <c r="D382" s="184">
        <v>3566</v>
      </c>
      <c r="E382" s="26">
        <v>45870</v>
      </c>
      <c r="F382" s="26">
        <v>45900</v>
      </c>
      <c r="G382" s="247" t="s">
        <v>2810</v>
      </c>
      <c r="H382" s="34" t="s">
        <v>11</v>
      </c>
      <c r="I382" s="185">
        <v>500000</v>
      </c>
      <c r="J382" s="186">
        <v>5.0000000000000001E-3</v>
      </c>
      <c r="K382" s="203"/>
      <c r="L382" s="188"/>
      <c r="M382" s="189" t="s">
        <v>20</v>
      </c>
      <c r="N382" s="189" t="s">
        <v>200</v>
      </c>
      <c r="O382" s="190">
        <v>1755438</v>
      </c>
      <c r="P382" s="35">
        <v>45889</v>
      </c>
      <c r="Q382" s="22"/>
    </row>
    <row r="383" spans="1:17" s="234" customFormat="1" ht="30">
      <c r="A383" s="27" t="s">
        <v>58</v>
      </c>
      <c r="B383" s="39">
        <v>8312</v>
      </c>
      <c r="C383" s="183" t="s">
        <v>33</v>
      </c>
      <c r="D383" s="184">
        <v>695</v>
      </c>
      <c r="E383" s="26">
        <v>45870</v>
      </c>
      <c r="F383" s="26">
        <v>45900</v>
      </c>
      <c r="G383" s="247" t="s">
        <v>1729</v>
      </c>
      <c r="H383" s="34" t="s">
        <v>11</v>
      </c>
      <c r="I383" s="185">
        <v>0.01</v>
      </c>
      <c r="J383" s="186">
        <v>2E-3</v>
      </c>
      <c r="K383" s="203"/>
      <c r="L383" s="188"/>
      <c r="M383" s="189" t="s">
        <v>19</v>
      </c>
      <c r="N383" s="189" t="s">
        <v>97</v>
      </c>
      <c r="O383" s="190">
        <v>1755423</v>
      </c>
      <c r="P383" s="35">
        <v>45889</v>
      </c>
      <c r="Q383" s="22"/>
    </row>
    <row r="384" spans="1:17" s="234" customFormat="1">
      <c r="A384" s="27" t="s">
        <v>59</v>
      </c>
      <c r="B384" s="39">
        <v>8313</v>
      </c>
      <c r="C384" s="183" t="s">
        <v>33</v>
      </c>
      <c r="D384" s="184">
        <v>14194</v>
      </c>
      <c r="E384" s="26">
        <v>45870</v>
      </c>
      <c r="F384" s="26">
        <v>45900</v>
      </c>
      <c r="G384" s="22" t="s">
        <v>128</v>
      </c>
      <c r="H384" s="34" t="s">
        <v>11</v>
      </c>
      <c r="I384" s="185">
        <v>0.01</v>
      </c>
      <c r="J384" s="186">
        <v>5.0000000000000001E-3</v>
      </c>
      <c r="K384" s="203"/>
      <c r="L384" s="188"/>
      <c r="M384" s="189" t="s">
        <v>20</v>
      </c>
      <c r="N384" s="189" t="s">
        <v>200</v>
      </c>
      <c r="O384" s="190">
        <v>1755417</v>
      </c>
      <c r="P384" s="35">
        <v>45889</v>
      </c>
      <c r="Q384" s="22"/>
    </row>
    <row r="385" spans="1:17" s="234" customFormat="1">
      <c r="A385" s="27" t="s">
        <v>59</v>
      </c>
      <c r="B385" s="39">
        <v>8314</v>
      </c>
      <c r="C385" s="183" t="s">
        <v>33</v>
      </c>
      <c r="D385" s="184">
        <v>14495</v>
      </c>
      <c r="E385" s="26">
        <v>45870</v>
      </c>
      <c r="F385" s="26">
        <v>45900</v>
      </c>
      <c r="G385" s="22" t="s">
        <v>128</v>
      </c>
      <c r="H385" s="34" t="s">
        <v>11</v>
      </c>
      <c r="I385" s="185">
        <v>0.01</v>
      </c>
      <c r="J385" s="186">
        <v>5.0000000000000001E-3</v>
      </c>
      <c r="K385" s="203"/>
      <c r="L385" s="188"/>
      <c r="M385" s="189" t="s">
        <v>20</v>
      </c>
      <c r="N385" s="189" t="s">
        <v>200</v>
      </c>
      <c r="O385" s="190">
        <v>1755417</v>
      </c>
      <c r="P385" s="35">
        <v>45889</v>
      </c>
      <c r="Q385" s="22"/>
    </row>
    <row r="386" spans="1:17" s="234" customFormat="1">
      <c r="A386" s="27" t="s">
        <v>59</v>
      </c>
      <c r="B386" s="39">
        <v>8273</v>
      </c>
      <c r="C386" s="183" t="s">
        <v>33</v>
      </c>
      <c r="D386" s="184">
        <v>14910</v>
      </c>
      <c r="E386" s="26">
        <v>45870</v>
      </c>
      <c r="F386" s="26">
        <v>45900</v>
      </c>
      <c r="G386" s="247" t="s">
        <v>107</v>
      </c>
      <c r="H386" s="34" t="s">
        <v>11</v>
      </c>
      <c r="I386" s="185">
        <v>200000</v>
      </c>
      <c r="J386" s="186">
        <v>5.0000000000000001E-3</v>
      </c>
      <c r="K386" s="203"/>
      <c r="L386" s="188"/>
      <c r="M386" s="189" t="s">
        <v>20</v>
      </c>
      <c r="N386" s="189" t="s">
        <v>200</v>
      </c>
      <c r="O386" s="190">
        <v>1755412</v>
      </c>
      <c r="P386" s="35">
        <v>45889</v>
      </c>
      <c r="Q386" s="22"/>
    </row>
    <row r="387" spans="1:17" s="234" customFormat="1">
      <c r="A387" s="27" t="s">
        <v>58</v>
      </c>
      <c r="B387" s="39">
        <v>8272</v>
      </c>
      <c r="C387" s="183" t="s">
        <v>33</v>
      </c>
      <c r="D387" s="184">
        <v>17622</v>
      </c>
      <c r="E387" s="26">
        <v>45887</v>
      </c>
      <c r="F387" s="26">
        <v>45900</v>
      </c>
      <c r="G387" s="247" t="s">
        <v>2676</v>
      </c>
      <c r="H387" s="34" t="s">
        <v>11</v>
      </c>
      <c r="I387" s="185">
        <v>0.01</v>
      </c>
      <c r="J387" s="186">
        <v>5.0000000000000001E-3</v>
      </c>
      <c r="K387" s="203"/>
      <c r="L387" s="188"/>
      <c r="M387" s="189" t="s">
        <v>168</v>
      </c>
      <c r="N387" s="189" t="s">
        <v>159</v>
      </c>
      <c r="O387" s="190">
        <v>1755411</v>
      </c>
      <c r="P387" s="35">
        <v>45889</v>
      </c>
      <c r="Q387" s="22"/>
    </row>
    <row r="388" spans="1:17" s="234" customFormat="1">
      <c r="A388" s="27" t="s">
        <v>59</v>
      </c>
      <c r="B388" s="39">
        <v>8315</v>
      </c>
      <c r="C388" s="183" t="s">
        <v>33</v>
      </c>
      <c r="D388" s="184">
        <v>15008</v>
      </c>
      <c r="E388" s="26">
        <v>45870</v>
      </c>
      <c r="F388" s="26">
        <v>45900</v>
      </c>
      <c r="G388" s="22" t="s">
        <v>990</v>
      </c>
      <c r="H388" s="34" t="s">
        <v>11</v>
      </c>
      <c r="I388" s="185">
        <v>0.01</v>
      </c>
      <c r="J388" s="186">
        <v>7.4999999999999997E-3</v>
      </c>
      <c r="K388" s="203"/>
      <c r="L388" s="188"/>
      <c r="M388" s="189" t="s">
        <v>20</v>
      </c>
      <c r="N388" s="189" t="s">
        <v>200</v>
      </c>
      <c r="O388" s="190">
        <v>1755410</v>
      </c>
      <c r="P388" s="35">
        <v>45889</v>
      </c>
      <c r="Q388" s="22"/>
    </row>
    <row r="389" spans="1:17" s="234" customFormat="1" ht="30">
      <c r="A389" s="27" t="s">
        <v>59</v>
      </c>
      <c r="B389" s="39">
        <v>8274</v>
      </c>
      <c r="C389" s="183" t="s">
        <v>33</v>
      </c>
      <c r="D389" s="184">
        <v>16481</v>
      </c>
      <c r="E389" s="26">
        <v>45884</v>
      </c>
      <c r="F389" s="26">
        <v>45900</v>
      </c>
      <c r="G389" s="22" t="s">
        <v>128</v>
      </c>
      <c r="H389" s="34" t="s">
        <v>11</v>
      </c>
      <c r="I389" s="185">
        <v>0.01</v>
      </c>
      <c r="J389" s="186">
        <v>2.5000000000000001E-3</v>
      </c>
      <c r="K389" s="203"/>
      <c r="L389" s="188"/>
      <c r="M389" s="189" t="s">
        <v>39</v>
      </c>
      <c r="N389" s="189" t="s">
        <v>219</v>
      </c>
      <c r="O389" s="190">
        <v>1755407</v>
      </c>
      <c r="P389" s="35">
        <v>45889</v>
      </c>
      <c r="Q389" s="22"/>
    </row>
    <row r="390" spans="1:17" s="234" customFormat="1">
      <c r="A390" s="27" t="s">
        <v>59</v>
      </c>
      <c r="B390" s="39">
        <v>8316</v>
      </c>
      <c r="C390" s="183" t="s">
        <v>33</v>
      </c>
      <c r="D390" s="184">
        <v>16165</v>
      </c>
      <c r="E390" s="26">
        <v>45870</v>
      </c>
      <c r="F390" s="26">
        <v>45900</v>
      </c>
      <c r="G390" s="22" t="s">
        <v>990</v>
      </c>
      <c r="H390" s="34" t="s">
        <v>11</v>
      </c>
      <c r="I390" s="185">
        <v>0.01</v>
      </c>
      <c r="J390" s="224">
        <v>6.4999999999999997E-3</v>
      </c>
      <c r="K390" s="203"/>
      <c r="L390" s="188"/>
      <c r="M390" s="189" t="s">
        <v>20</v>
      </c>
      <c r="N390" s="189" t="s">
        <v>200</v>
      </c>
      <c r="O390" s="190">
        <v>1755401</v>
      </c>
      <c r="P390" s="35">
        <v>45889</v>
      </c>
      <c r="Q390" s="22"/>
    </row>
    <row r="391" spans="1:17" s="234" customFormat="1">
      <c r="A391" s="27" t="s">
        <v>59</v>
      </c>
      <c r="B391" s="39">
        <v>8317</v>
      </c>
      <c r="C391" s="183" t="s">
        <v>33</v>
      </c>
      <c r="D391" s="184">
        <v>16472</v>
      </c>
      <c r="E391" s="26">
        <v>45870</v>
      </c>
      <c r="F391" s="26">
        <v>45900</v>
      </c>
      <c r="G391" s="22" t="s">
        <v>990</v>
      </c>
      <c r="H391" s="34" t="s">
        <v>11</v>
      </c>
      <c r="I391" s="185">
        <v>0.01</v>
      </c>
      <c r="J391" s="224">
        <v>6.4999999999999997E-3</v>
      </c>
      <c r="K391" s="203"/>
      <c r="L391" s="188"/>
      <c r="M391" s="189" t="s">
        <v>20</v>
      </c>
      <c r="N391" s="189" t="s">
        <v>200</v>
      </c>
      <c r="O391" s="190">
        <v>1755401</v>
      </c>
      <c r="P391" s="35">
        <v>45889</v>
      </c>
      <c r="Q391" s="22"/>
    </row>
    <row r="392" spans="1:17" s="234" customFormat="1" ht="30">
      <c r="A392" s="27" t="s">
        <v>58</v>
      </c>
      <c r="B392" s="39">
        <v>8318</v>
      </c>
      <c r="C392" s="183" t="s">
        <v>33</v>
      </c>
      <c r="D392" s="184">
        <v>11937</v>
      </c>
      <c r="E392" s="26">
        <v>45870</v>
      </c>
      <c r="F392" s="26">
        <v>45900</v>
      </c>
      <c r="G392" s="247" t="s">
        <v>1084</v>
      </c>
      <c r="H392" s="34" t="s">
        <v>11</v>
      </c>
      <c r="I392" s="185">
        <v>0.01</v>
      </c>
      <c r="J392" s="186">
        <v>4.0000000000000001E-3</v>
      </c>
      <c r="K392" s="203"/>
      <c r="L392" s="188"/>
      <c r="M392" s="189" t="s">
        <v>46</v>
      </c>
      <c r="N392" s="189" t="s">
        <v>70</v>
      </c>
      <c r="O392" s="190">
        <v>1750661</v>
      </c>
      <c r="P392" s="35">
        <v>45882</v>
      </c>
      <c r="Q392" s="22"/>
    </row>
    <row r="393" spans="1:17" s="234" customFormat="1" ht="30">
      <c r="A393" s="27" t="s">
        <v>58</v>
      </c>
      <c r="B393" s="39">
        <v>8319</v>
      </c>
      <c r="C393" s="183" t="s">
        <v>33</v>
      </c>
      <c r="D393" s="184">
        <v>12021</v>
      </c>
      <c r="E393" s="26">
        <v>45870</v>
      </c>
      <c r="F393" s="26">
        <v>45900</v>
      </c>
      <c r="G393" s="247" t="s">
        <v>1084</v>
      </c>
      <c r="H393" s="34" t="s">
        <v>11</v>
      </c>
      <c r="I393" s="185">
        <v>0.01</v>
      </c>
      <c r="J393" s="186">
        <v>4.0000000000000001E-3</v>
      </c>
      <c r="K393" s="203"/>
      <c r="L393" s="188"/>
      <c r="M393" s="189" t="s">
        <v>46</v>
      </c>
      <c r="N393" s="189" t="s">
        <v>70</v>
      </c>
      <c r="O393" s="190">
        <v>1750661</v>
      </c>
      <c r="P393" s="35">
        <v>45882</v>
      </c>
      <c r="Q393" s="22"/>
    </row>
    <row r="394" spans="1:17" s="234" customFormat="1" ht="30">
      <c r="A394" s="27" t="s">
        <v>59</v>
      </c>
      <c r="B394" s="39">
        <v>8320</v>
      </c>
      <c r="C394" s="183" t="s">
        <v>33</v>
      </c>
      <c r="D394" s="184">
        <v>11937</v>
      </c>
      <c r="E394" s="26">
        <v>45870</v>
      </c>
      <c r="F394" s="26">
        <v>45900</v>
      </c>
      <c r="G394" s="22" t="s">
        <v>107</v>
      </c>
      <c r="H394" s="34" t="s">
        <v>11</v>
      </c>
      <c r="I394" s="185">
        <v>0.01</v>
      </c>
      <c r="J394" s="186">
        <v>5.0000000000000001E-3</v>
      </c>
      <c r="K394" s="203"/>
      <c r="L394" s="188"/>
      <c r="M394" s="189" t="s">
        <v>46</v>
      </c>
      <c r="N394" s="189" t="s">
        <v>70</v>
      </c>
      <c r="O394" s="190">
        <v>1750661</v>
      </c>
      <c r="P394" s="35">
        <v>45882</v>
      </c>
      <c r="Q394" s="22"/>
    </row>
    <row r="395" spans="1:17" s="234" customFormat="1" ht="30">
      <c r="A395" s="27" t="s">
        <v>59</v>
      </c>
      <c r="B395" s="39">
        <v>8321</v>
      </c>
      <c r="C395" s="183" t="s">
        <v>33</v>
      </c>
      <c r="D395" s="184">
        <v>12021</v>
      </c>
      <c r="E395" s="26">
        <v>45870</v>
      </c>
      <c r="F395" s="26">
        <v>45900</v>
      </c>
      <c r="G395" s="22" t="s">
        <v>107</v>
      </c>
      <c r="H395" s="34" t="s">
        <v>11</v>
      </c>
      <c r="I395" s="185">
        <v>0.01</v>
      </c>
      <c r="J395" s="186">
        <v>5.0000000000000001E-3</v>
      </c>
      <c r="K395" s="203"/>
      <c r="L395" s="188"/>
      <c r="M395" s="189" t="s">
        <v>46</v>
      </c>
      <c r="N395" s="189" t="s">
        <v>70</v>
      </c>
      <c r="O395" s="190">
        <v>1750661</v>
      </c>
      <c r="P395" s="35">
        <v>45882</v>
      </c>
      <c r="Q395" s="22"/>
    </row>
    <row r="396" spans="1:17" s="234" customFormat="1">
      <c r="A396" s="27" t="s">
        <v>59</v>
      </c>
      <c r="B396" s="39">
        <v>8322</v>
      </c>
      <c r="C396" s="183" t="s">
        <v>33</v>
      </c>
      <c r="D396" s="184" t="s">
        <v>108</v>
      </c>
      <c r="E396" s="26">
        <v>45870</v>
      </c>
      <c r="F396" s="26">
        <v>45900</v>
      </c>
      <c r="G396" s="22" t="s">
        <v>107</v>
      </c>
      <c r="H396" s="34" t="s">
        <v>11</v>
      </c>
      <c r="I396" s="185">
        <v>0.01</v>
      </c>
      <c r="J396" s="186">
        <v>7.4999999999999997E-3</v>
      </c>
      <c r="K396" s="203"/>
      <c r="L396" s="188"/>
      <c r="M396" s="189" t="s">
        <v>168</v>
      </c>
      <c r="N396" s="189" t="s">
        <v>65</v>
      </c>
      <c r="O396" s="190">
        <v>1750448</v>
      </c>
      <c r="P396" s="35">
        <v>45882</v>
      </c>
      <c r="Q396" s="22"/>
    </row>
    <row r="397" spans="1:17" s="234" customFormat="1">
      <c r="A397" s="27" t="s">
        <v>59</v>
      </c>
      <c r="B397" s="39">
        <v>8323</v>
      </c>
      <c r="C397" s="183" t="s">
        <v>33</v>
      </c>
      <c r="D397" s="184" t="s">
        <v>119</v>
      </c>
      <c r="E397" s="26">
        <v>45870</v>
      </c>
      <c r="F397" s="26">
        <v>45900</v>
      </c>
      <c r="G397" s="22" t="s">
        <v>107</v>
      </c>
      <c r="H397" s="34" t="s">
        <v>11</v>
      </c>
      <c r="I397" s="185">
        <v>0.01</v>
      </c>
      <c r="J397" s="186">
        <v>7.4999999999999997E-3</v>
      </c>
      <c r="K397" s="203"/>
      <c r="L397" s="188"/>
      <c r="M397" s="189" t="s">
        <v>168</v>
      </c>
      <c r="N397" s="189" t="s">
        <v>65</v>
      </c>
      <c r="O397" s="190">
        <v>1750448</v>
      </c>
      <c r="P397" s="35">
        <v>45882</v>
      </c>
      <c r="Q397" s="22"/>
    </row>
    <row r="398" spans="1:17" s="234" customFormat="1">
      <c r="A398" s="27" t="s">
        <v>59</v>
      </c>
      <c r="B398" s="39">
        <v>8324</v>
      </c>
      <c r="C398" s="183" t="s">
        <v>33</v>
      </c>
      <c r="D398" s="184" t="s">
        <v>116</v>
      </c>
      <c r="E398" s="26">
        <v>45870</v>
      </c>
      <c r="F398" s="26">
        <v>45900</v>
      </c>
      <c r="G398" s="22" t="s">
        <v>107</v>
      </c>
      <c r="H398" s="34" t="s">
        <v>11</v>
      </c>
      <c r="I398" s="185">
        <v>0.01</v>
      </c>
      <c r="J398" s="186">
        <v>7.4999999999999997E-3</v>
      </c>
      <c r="K398" s="203"/>
      <c r="L398" s="188"/>
      <c r="M398" s="189" t="s">
        <v>168</v>
      </c>
      <c r="N398" s="189" t="s">
        <v>65</v>
      </c>
      <c r="O398" s="190">
        <v>1750448</v>
      </c>
      <c r="P398" s="35">
        <v>45882</v>
      </c>
      <c r="Q398" s="22"/>
    </row>
    <row r="399" spans="1:17" s="234" customFormat="1">
      <c r="A399" s="27" t="s">
        <v>59</v>
      </c>
      <c r="B399" s="39">
        <v>8325</v>
      </c>
      <c r="C399" s="183" t="s">
        <v>33</v>
      </c>
      <c r="D399" s="184" t="s">
        <v>115</v>
      </c>
      <c r="E399" s="26">
        <v>45870</v>
      </c>
      <c r="F399" s="26">
        <v>45900</v>
      </c>
      <c r="G399" s="22" t="s">
        <v>107</v>
      </c>
      <c r="H399" s="34" t="s">
        <v>11</v>
      </c>
      <c r="I399" s="185">
        <v>0.01</v>
      </c>
      <c r="J399" s="186">
        <v>7.4999999999999997E-3</v>
      </c>
      <c r="K399" s="203"/>
      <c r="L399" s="188"/>
      <c r="M399" s="189" t="s">
        <v>168</v>
      </c>
      <c r="N399" s="189" t="s">
        <v>65</v>
      </c>
      <c r="O399" s="190">
        <v>1750448</v>
      </c>
      <c r="P399" s="35">
        <v>45882</v>
      </c>
      <c r="Q399" s="22"/>
    </row>
    <row r="400" spans="1:17" s="234" customFormat="1">
      <c r="A400" s="27" t="s">
        <v>59</v>
      </c>
      <c r="B400" s="39">
        <v>8326</v>
      </c>
      <c r="C400" s="183" t="s">
        <v>33</v>
      </c>
      <c r="D400" s="184" t="s">
        <v>118</v>
      </c>
      <c r="E400" s="26">
        <v>45870</v>
      </c>
      <c r="F400" s="26">
        <v>45900</v>
      </c>
      <c r="G400" s="22" t="s">
        <v>107</v>
      </c>
      <c r="H400" s="34" t="s">
        <v>11</v>
      </c>
      <c r="I400" s="185">
        <v>0.01</v>
      </c>
      <c r="J400" s="186">
        <v>7.4999999999999997E-3</v>
      </c>
      <c r="K400" s="203"/>
      <c r="L400" s="188"/>
      <c r="M400" s="189" t="s">
        <v>168</v>
      </c>
      <c r="N400" s="189" t="s">
        <v>65</v>
      </c>
      <c r="O400" s="190">
        <v>1750448</v>
      </c>
      <c r="P400" s="35">
        <v>45882</v>
      </c>
      <c r="Q400" s="22"/>
    </row>
    <row r="401" spans="1:17" s="234" customFormat="1">
      <c r="A401" s="27" t="s">
        <v>59</v>
      </c>
      <c r="B401" s="39">
        <v>8327</v>
      </c>
      <c r="C401" s="183" t="s">
        <v>33</v>
      </c>
      <c r="D401" s="184" t="s">
        <v>117</v>
      </c>
      <c r="E401" s="26">
        <v>45870</v>
      </c>
      <c r="F401" s="26">
        <v>45900</v>
      </c>
      <c r="G401" s="22" t="s">
        <v>107</v>
      </c>
      <c r="H401" s="34" t="s">
        <v>11</v>
      </c>
      <c r="I401" s="185">
        <v>0.01</v>
      </c>
      <c r="J401" s="186">
        <v>7.4999999999999997E-3</v>
      </c>
      <c r="K401" s="203"/>
      <c r="L401" s="188"/>
      <c r="M401" s="189" t="s">
        <v>168</v>
      </c>
      <c r="N401" s="189" t="s">
        <v>65</v>
      </c>
      <c r="O401" s="190">
        <v>1750448</v>
      </c>
      <c r="P401" s="35">
        <v>45882</v>
      </c>
      <c r="Q401" s="22"/>
    </row>
    <row r="402" spans="1:17" s="234" customFormat="1">
      <c r="A402" s="27" t="s">
        <v>59</v>
      </c>
      <c r="B402" s="39">
        <v>8328</v>
      </c>
      <c r="C402" s="183" t="s">
        <v>33</v>
      </c>
      <c r="D402" s="184" t="s">
        <v>2678</v>
      </c>
      <c r="E402" s="26">
        <v>45870</v>
      </c>
      <c r="F402" s="26">
        <v>45900</v>
      </c>
      <c r="G402" s="22" t="s">
        <v>107</v>
      </c>
      <c r="H402" s="34" t="s">
        <v>11</v>
      </c>
      <c r="I402" s="185">
        <v>0.01</v>
      </c>
      <c r="J402" s="186">
        <v>2.5000000000000001E-3</v>
      </c>
      <c r="K402" s="203"/>
      <c r="L402" s="188"/>
      <c r="M402" s="189" t="s">
        <v>168</v>
      </c>
      <c r="N402" s="189" t="s">
        <v>65</v>
      </c>
      <c r="O402" s="190">
        <v>1750448</v>
      </c>
      <c r="P402" s="35">
        <v>45882</v>
      </c>
      <c r="Q402" s="22"/>
    </row>
    <row r="403" spans="1:17" s="234" customFormat="1">
      <c r="A403" s="27" t="s">
        <v>59</v>
      </c>
      <c r="B403" s="39">
        <v>8329</v>
      </c>
      <c r="C403" s="183" t="s">
        <v>33</v>
      </c>
      <c r="D403" s="184" t="s">
        <v>2679</v>
      </c>
      <c r="E403" s="26">
        <v>45870</v>
      </c>
      <c r="F403" s="26">
        <v>45900</v>
      </c>
      <c r="G403" s="22" t="s">
        <v>107</v>
      </c>
      <c r="H403" s="34" t="s">
        <v>11</v>
      </c>
      <c r="I403" s="185">
        <v>0.01</v>
      </c>
      <c r="J403" s="186">
        <v>7.4999999999999997E-3</v>
      </c>
      <c r="K403" s="203"/>
      <c r="L403" s="188"/>
      <c r="M403" s="189" t="s">
        <v>168</v>
      </c>
      <c r="N403" s="189" t="s">
        <v>65</v>
      </c>
      <c r="O403" s="190">
        <v>1750448</v>
      </c>
      <c r="P403" s="35">
        <v>45882</v>
      </c>
      <c r="Q403" s="22"/>
    </row>
    <row r="404" spans="1:17" s="234" customFormat="1" ht="30">
      <c r="A404" s="27" t="s">
        <v>59</v>
      </c>
      <c r="B404" s="39">
        <v>8330</v>
      </c>
      <c r="C404" s="183" t="s">
        <v>33</v>
      </c>
      <c r="D404" s="184">
        <v>16481</v>
      </c>
      <c r="E404" s="26">
        <v>45884</v>
      </c>
      <c r="F404" s="26">
        <v>45900</v>
      </c>
      <c r="G404" s="22" t="s">
        <v>128</v>
      </c>
      <c r="H404" s="34" t="s">
        <v>11</v>
      </c>
      <c r="I404" s="185">
        <v>0.01</v>
      </c>
      <c r="J404" s="186">
        <v>2.5000000000000001E-3</v>
      </c>
      <c r="K404" s="203"/>
      <c r="L404" s="188"/>
      <c r="M404" s="189" t="s">
        <v>39</v>
      </c>
      <c r="N404" s="189" t="s">
        <v>219</v>
      </c>
      <c r="O404" s="190">
        <v>1755894</v>
      </c>
      <c r="P404" s="35">
        <v>45890</v>
      </c>
      <c r="Q404" s="22"/>
    </row>
    <row r="405" spans="1:17" s="234" customFormat="1" ht="30">
      <c r="A405" s="27" t="s">
        <v>59</v>
      </c>
      <c r="B405" s="39">
        <v>8331</v>
      </c>
      <c r="C405" s="183" t="s">
        <v>33</v>
      </c>
      <c r="D405" s="184">
        <v>16446</v>
      </c>
      <c r="E405" s="26">
        <v>45870</v>
      </c>
      <c r="F405" s="26">
        <v>45900</v>
      </c>
      <c r="G405" s="247" t="s">
        <v>2698</v>
      </c>
      <c r="H405" s="34" t="s">
        <v>11</v>
      </c>
      <c r="I405" s="185">
        <v>30000</v>
      </c>
      <c r="J405" s="186">
        <v>4.5999999999999999E-3</v>
      </c>
      <c r="K405" s="203"/>
      <c r="L405" s="188"/>
      <c r="M405" s="189" t="s">
        <v>48</v>
      </c>
      <c r="N405" s="189" t="s">
        <v>75</v>
      </c>
      <c r="O405" s="190">
        <v>1756461</v>
      </c>
      <c r="P405" s="35">
        <v>45890</v>
      </c>
      <c r="Q405" s="22"/>
    </row>
    <row r="406" spans="1:17" s="234" customFormat="1" ht="45">
      <c r="A406" s="27" t="s">
        <v>59</v>
      </c>
      <c r="B406" s="39">
        <v>8332</v>
      </c>
      <c r="C406" s="183" t="s">
        <v>33</v>
      </c>
      <c r="D406" s="184">
        <v>15330</v>
      </c>
      <c r="E406" s="26">
        <v>45870</v>
      </c>
      <c r="F406" s="26">
        <v>45899</v>
      </c>
      <c r="G406" s="22" t="s">
        <v>107</v>
      </c>
      <c r="H406" s="34" t="s">
        <v>11</v>
      </c>
      <c r="I406" s="185">
        <v>0.01</v>
      </c>
      <c r="J406" s="186">
        <v>5.0000000000000001E-3</v>
      </c>
      <c r="K406" s="203"/>
      <c r="L406" s="188"/>
      <c r="M406" s="189" t="s">
        <v>49</v>
      </c>
      <c r="N406" s="189" t="s">
        <v>79</v>
      </c>
      <c r="O406" s="190" t="s">
        <v>2680</v>
      </c>
      <c r="P406" s="35">
        <v>45890</v>
      </c>
      <c r="Q406" s="22"/>
    </row>
    <row r="407" spans="1:17" s="234" customFormat="1" ht="45">
      <c r="A407" s="27" t="s">
        <v>58</v>
      </c>
      <c r="B407" s="39">
        <v>8385</v>
      </c>
      <c r="C407" s="183" t="s">
        <v>33</v>
      </c>
      <c r="D407" s="184">
        <v>15330</v>
      </c>
      <c r="E407" s="26">
        <v>45870</v>
      </c>
      <c r="F407" s="26">
        <v>45899</v>
      </c>
      <c r="G407" s="247" t="s">
        <v>2851</v>
      </c>
      <c r="H407" s="34" t="s">
        <v>11</v>
      </c>
      <c r="I407" s="185">
        <v>0.01</v>
      </c>
      <c r="J407" s="186">
        <v>3.5000000000000003E-2</v>
      </c>
      <c r="K407" s="203"/>
      <c r="L407" s="188"/>
      <c r="M407" s="189" t="s">
        <v>49</v>
      </c>
      <c r="N407" s="189" t="s">
        <v>79</v>
      </c>
      <c r="O407" s="190" t="s">
        <v>2680</v>
      </c>
      <c r="P407" s="35">
        <v>45890</v>
      </c>
      <c r="Q407" s="22"/>
    </row>
    <row r="408" spans="1:17" s="234" customFormat="1" ht="45">
      <c r="A408" s="27" t="s">
        <v>59</v>
      </c>
      <c r="B408" s="39">
        <v>8395</v>
      </c>
      <c r="C408" s="183" t="s">
        <v>33</v>
      </c>
      <c r="D408" s="184">
        <v>15330</v>
      </c>
      <c r="E408" s="26">
        <v>45870</v>
      </c>
      <c r="F408" s="26">
        <v>45899</v>
      </c>
      <c r="G408" s="247" t="s">
        <v>2824</v>
      </c>
      <c r="H408" s="34" t="s">
        <v>11</v>
      </c>
      <c r="I408" s="185">
        <v>0.01</v>
      </c>
      <c r="J408" s="186" t="s">
        <v>2744</v>
      </c>
      <c r="K408" s="203"/>
      <c r="L408" s="188"/>
      <c r="M408" s="189" t="s">
        <v>49</v>
      </c>
      <c r="N408" s="189" t="s">
        <v>79</v>
      </c>
      <c r="O408" s="190" t="s">
        <v>2680</v>
      </c>
      <c r="P408" s="35">
        <v>45890</v>
      </c>
      <c r="Q408" s="22"/>
    </row>
    <row r="409" spans="1:17" s="234" customFormat="1" ht="45">
      <c r="A409" s="27" t="s">
        <v>59</v>
      </c>
      <c r="B409" s="39">
        <v>8333</v>
      </c>
      <c r="C409" s="183" t="s">
        <v>33</v>
      </c>
      <c r="D409" s="184">
        <v>13977</v>
      </c>
      <c r="E409" s="26">
        <v>45870</v>
      </c>
      <c r="F409" s="26">
        <v>45899</v>
      </c>
      <c r="G409" s="22" t="s">
        <v>107</v>
      </c>
      <c r="H409" s="34" t="s">
        <v>11</v>
      </c>
      <c r="I409" s="185">
        <v>0.01</v>
      </c>
      <c r="J409" s="186">
        <v>5.0000000000000001E-3</v>
      </c>
      <c r="K409" s="203"/>
      <c r="L409" s="188"/>
      <c r="M409" s="189" t="s">
        <v>49</v>
      </c>
      <c r="N409" s="189" t="s">
        <v>79</v>
      </c>
      <c r="O409" s="190" t="s">
        <v>2680</v>
      </c>
      <c r="P409" s="35">
        <v>45890</v>
      </c>
      <c r="Q409" s="22"/>
    </row>
    <row r="410" spans="1:17" s="234" customFormat="1" ht="60">
      <c r="A410" s="27" t="s">
        <v>59</v>
      </c>
      <c r="B410" s="39">
        <v>8334</v>
      </c>
      <c r="C410" s="183" t="s">
        <v>33</v>
      </c>
      <c r="D410" s="184">
        <v>14750</v>
      </c>
      <c r="E410" s="26">
        <v>45870</v>
      </c>
      <c r="F410" s="26">
        <v>45899</v>
      </c>
      <c r="G410" s="22" t="s">
        <v>107</v>
      </c>
      <c r="H410" s="34" t="s">
        <v>11</v>
      </c>
      <c r="I410" s="185">
        <v>0.01</v>
      </c>
      <c r="J410" s="186">
        <v>5.0000000000000001E-3</v>
      </c>
      <c r="K410" s="203"/>
      <c r="L410" s="188"/>
      <c r="M410" s="189" t="s">
        <v>49</v>
      </c>
      <c r="N410" s="189" t="s">
        <v>79</v>
      </c>
      <c r="O410" s="190" t="s">
        <v>2681</v>
      </c>
      <c r="P410" s="35">
        <v>45880</v>
      </c>
      <c r="Q410" s="22"/>
    </row>
    <row r="411" spans="1:17" s="234" customFormat="1" ht="60">
      <c r="A411" s="27" t="s">
        <v>58</v>
      </c>
      <c r="B411" s="39">
        <v>8384</v>
      </c>
      <c r="C411" s="183" t="s">
        <v>33</v>
      </c>
      <c r="D411" s="184">
        <v>14750</v>
      </c>
      <c r="E411" s="26">
        <v>45870</v>
      </c>
      <c r="F411" s="26">
        <v>45899</v>
      </c>
      <c r="G411" s="247" t="s">
        <v>2851</v>
      </c>
      <c r="H411" s="34" t="s">
        <v>11</v>
      </c>
      <c r="I411" s="185">
        <v>0.01</v>
      </c>
      <c r="J411" s="186">
        <v>0.01</v>
      </c>
      <c r="K411" s="203"/>
      <c r="L411" s="188"/>
      <c r="M411" s="189" t="s">
        <v>49</v>
      </c>
      <c r="N411" s="189" t="s">
        <v>79</v>
      </c>
      <c r="O411" s="190" t="s">
        <v>2681</v>
      </c>
      <c r="P411" s="35">
        <v>45880</v>
      </c>
      <c r="Q411" s="22"/>
    </row>
    <row r="412" spans="1:17" s="234" customFormat="1" ht="60">
      <c r="A412" s="27" t="s">
        <v>58</v>
      </c>
      <c r="B412" s="39">
        <v>8383</v>
      </c>
      <c r="C412" s="183" t="s">
        <v>33</v>
      </c>
      <c r="D412" s="184">
        <v>8437</v>
      </c>
      <c r="E412" s="26">
        <v>45870</v>
      </c>
      <c r="F412" s="26">
        <v>45899</v>
      </c>
      <c r="G412" s="247" t="s">
        <v>2851</v>
      </c>
      <c r="H412" s="34" t="s">
        <v>11</v>
      </c>
      <c r="I412" s="185">
        <v>0.01</v>
      </c>
      <c r="J412" s="186">
        <v>0.01</v>
      </c>
      <c r="K412" s="203"/>
      <c r="L412" s="188"/>
      <c r="M412" s="189" t="s">
        <v>49</v>
      </c>
      <c r="N412" s="189" t="s">
        <v>79</v>
      </c>
      <c r="O412" s="190" t="s">
        <v>2681</v>
      </c>
      <c r="P412" s="35">
        <v>45880</v>
      </c>
      <c r="Q412" s="22"/>
    </row>
    <row r="413" spans="1:17" s="234" customFormat="1" ht="60">
      <c r="A413" s="27" t="s">
        <v>58</v>
      </c>
      <c r="B413" s="39">
        <v>8382</v>
      </c>
      <c r="C413" s="183" t="s">
        <v>33</v>
      </c>
      <c r="D413" s="184">
        <v>9648</v>
      </c>
      <c r="E413" s="26">
        <v>45870</v>
      </c>
      <c r="F413" s="26">
        <v>45899</v>
      </c>
      <c r="G413" s="247" t="s">
        <v>2851</v>
      </c>
      <c r="H413" s="34" t="s">
        <v>11</v>
      </c>
      <c r="I413" s="185">
        <v>0.01</v>
      </c>
      <c r="J413" s="186">
        <v>0.01</v>
      </c>
      <c r="K413" s="203"/>
      <c r="L413" s="188"/>
      <c r="M413" s="189" t="s">
        <v>49</v>
      </c>
      <c r="N413" s="189" t="s">
        <v>79</v>
      </c>
      <c r="O413" s="190" t="s">
        <v>2681</v>
      </c>
      <c r="P413" s="35">
        <v>45880</v>
      </c>
      <c r="Q413" s="22"/>
    </row>
    <row r="414" spans="1:17" s="234" customFormat="1" ht="60">
      <c r="A414" s="27" t="s">
        <v>58</v>
      </c>
      <c r="B414" s="39">
        <v>8381</v>
      </c>
      <c r="C414" s="183" t="s">
        <v>33</v>
      </c>
      <c r="D414" s="184">
        <v>16153</v>
      </c>
      <c r="E414" s="26">
        <v>45870</v>
      </c>
      <c r="F414" s="26">
        <v>45899</v>
      </c>
      <c r="G414" s="247" t="s">
        <v>2851</v>
      </c>
      <c r="H414" s="34" t="s">
        <v>11</v>
      </c>
      <c r="I414" s="185">
        <v>0.01</v>
      </c>
      <c r="J414" s="186">
        <v>0.01</v>
      </c>
      <c r="K414" s="203"/>
      <c r="L414" s="188"/>
      <c r="M414" s="189" t="s">
        <v>49</v>
      </c>
      <c r="N414" s="189" t="s">
        <v>79</v>
      </c>
      <c r="O414" s="190" t="s">
        <v>2681</v>
      </c>
      <c r="P414" s="35">
        <v>45880</v>
      </c>
      <c r="Q414" s="22"/>
    </row>
    <row r="415" spans="1:17" s="234" customFormat="1" ht="60">
      <c r="A415" s="27" t="s">
        <v>58</v>
      </c>
      <c r="B415" s="39">
        <v>8396</v>
      </c>
      <c r="C415" s="183" t="s">
        <v>33</v>
      </c>
      <c r="D415" s="184">
        <v>7640</v>
      </c>
      <c r="E415" s="26">
        <v>45870</v>
      </c>
      <c r="F415" s="26">
        <v>45899</v>
      </c>
      <c r="G415" s="247" t="s">
        <v>2682</v>
      </c>
      <c r="H415" s="34" t="s">
        <v>11</v>
      </c>
      <c r="I415" s="185">
        <v>0.01</v>
      </c>
      <c r="J415" s="186">
        <v>1.4999999999999999E-2</v>
      </c>
      <c r="K415" s="203"/>
      <c r="L415" s="188"/>
      <c r="M415" s="189" t="s">
        <v>49</v>
      </c>
      <c r="N415" s="189" t="s">
        <v>79</v>
      </c>
      <c r="O415" s="190" t="s">
        <v>2681</v>
      </c>
      <c r="P415" s="35">
        <v>45880</v>
      </c>
      <c r="Q415" s="22"/>
    </row>
    <row r="416" spans="1:17" s="234" customFormat="1" ht="60">
      <c r="A416" s="27" t="s">
        <v>58</v>
      </c>
      <c r="B416" s="39">
        <v>8380</v>
      </c>
      <c r="C416" s="183" t="s">
        <v>33</v>
      </c>
      <c r="D416" s="184">
        <v>16502</v>
      </c>
      <c r="E416" s="26">
        <v>45870</v>
      </c>
      <c r="F416" s="26">
        <v>45899</v>
      </c>
      <c r="G416" s="247" t="s">
        <v>2851</v>
      </c>
      <c r="H416" s="34" t="s">
        <v>11</v>
      </c>
      <c r="I416" s="185">
        <v>0.01</v>
      </c>
      <c r="J416" s="186">
        <v>0.01</v>
      </c>
      <c r="K416" s="203"/>
      <c r="L416" s="188"/>
      <c r="M416" s="189" t="s">
        <v>49</v>
      </c>
      <c r="N416" s="189" t="s">
        <v>79</v>
      </c>
      <c r="O416" s="190" t="s">
        <v>2681</v>
      </c>
      <c r="P416" s="35">
        <v>45880</v>
      </c>
      <c r="Q416" s="22"/>
    </row>
    <row r="417" spans="1:17" s="234" customFormat="1" ht="75">
      <c r="A417" s="27" t="s">
        <v>58</v>
      </c>
      <c r="B417" s="39">
        <v>7615</v>
      </c>
      <c r="C417" s="183" t="s">
        <v>33</v>
      </c>
      <c r="D417" s="184">
        <v>5986</v>
      </c>
      <c r="E417" s="26">
        <v>45870</v>
      </c>
      <c r="F417" s="26">
        <v>45900</v>
      </c>
      <c r="G417" s="258" t="s">
        <v>1766</v>
      </c>
      <c r="H417" s="34" t="s">
        <v>11</v>
      </c>
      <c r="I417" s="185">
        <v>0.01</v>
      </c>
      <c r="J417" s="186">
        <v>2E-3</v>
      </c>
      <c r="K417" s="237"/>
      <c r="L417" s="188"/>
      <c r="M417" s="189" t="s">
        <v>30</v>
      </c>
      <c r="N417" s="189" t="s">
        <v>82</v>
      </c>
      <c r="O417" s="190" t="s">
        <v>2683</v>
      </c>
      <c r="P417" s="35">
        <v>45881</v>
      </c>
      <c r="Q417" s="22"/>
    </row>
    <row r="418" spans="1:17" s="234" customFormat="1" ht="75">
      <c r="A418" s="27" t="s">
        <v>58</v>
      </c>
      <c r="B418" s="39">
        <v>8404</v>
      </c>
      <c r="C418" s="183" t="s">
        <v>33</v>
      </c>
      <c r="D418" s="184">
        <v>5986</v>
      </c>
      <c r="E418" s="26">
        <v>45870</v>
      </c>
      <c r="F418" s="26">
        <v>45900</v>
      </c>
      <c r="G418" s="247" t="s">
        <v>2825</v>
      </c>
      <c r="H418" s="34" t="s">
        <v>11</v>
      </c>
      <c r="I418" s="185">
        <v>0.01</v>
      </c>
      <c r="J418" s="186">
        <v>5.0000000000000001E-3</v>
      </c>
      <c r="K418" s="203"/>
      <c r="L418" s="188"/>
      <c r="M418" s="189" t="s">
        <v>30</v>
      </c>
      <c r="N418" s="189" t="s">
        <v>82</v>
      </c>
      <c r="O418" s="190" t="s">
        <v>2683</v>
      </c>
      <c r="P418" s="35">
        <v>45881</v>
      </c>
      <c r="Q418" s="22"/>
    </row>
    <row r="419" spans="1:17" s="234" customFormat="1" ht="75">
      <c r="A419" s="27" t="s">
        <v>58</v>
      </c>
      <c r="B419" s="39">
        <v>8397</v>
      </c>
      <c r="C419" s="183" t="s">
        <v>33</v>
      </c>
      <c r="D419" s="184">
        <v>14876</v>
      </c>
      <c r="E419" s="26">
        <v>45870</v>
      </c>
      <c r="F419" s="26">
        <v>45900</v>
      </c>
      <c r="G419" s="247" t="s">
        <v>2811</v>
      </c>
      <c r="H419" s="34" t="s">
        <v>11</v>
      </c>
      <c r="I419" s="185">
        <v>0.01</v>
      </c>
      <c r="J419" s="186">
        <v>1.7999999999999999E-2</v>
      </c>
      <c r="K419" s="203"/>
      <c r="L419" s="188"/>
      <c r="M419" s="189" t="s">
        <v>30</v>
      </c>
      <c r="N419" s="189" t="s">
        <v>82</v>
      </c>
      <c r="O419" s="190" t="s">
        <v>2683</v>
      </c>
      <c r="P419" s="35">
        <v>45881</v>
      </c>
      <c r="Q419" s="22"/>
    </row>
    <row r="420" spans="1:17" s="234" customFormat="1" ht="75">
      <c r="A420" s="27" t="s">
        <v>58</v>
      </c>
      <c r="B420" s="39">
        <v>8398</v>
      </c>
      <c r="C420" s="183" t="s">
        <v>33</v>
      </c>
      <c r="D420" s="184">
        <v>14876</v>
      </c>
      <c r="E420" s="26">
        <v>45870</v>
      </c>
      <c r="F420" s="26">
        <v>45900</v>
      </c>
      <c r="G420" s="247" t="s">
        <v>2812</v>
      </c>
      <c r="H420" s="34" t="s">
        <v>11</v>
      </c>
      <c r="I420" s="185">
        <v>0.01</v>
      </c>
      <c r="J420" s="186">
        <v>5.0000000000000001E-3</v>
      </c>
      <c r="K420" s="203"/>
      <c r="L420" s="188"/>
      <c r="M420" s="189" t="s">
        <v>30</v>
      </c>
      <c r="N420" s="189" t="s">
        <v>82</v>
      </c>
      <c r="O420" s="190" t="s">
        <v>2683</v>
      </c>
      <c r="P420" s="35">
        <v>45881</v>
      </c>
      <c r="Q420" s="22"/>
    </row>
    <row r="421" spans="1:17" s="234" customFormat="1" ht="75">
      <c r="A421" s="27" t="s">
        <v>58</v>
      </c>
      <c r="B421" s="39">
        <v>8405</v>
      </c>
      <c r="C421" s="183" t="s">
        <v>33</v>
      </c>
      <c r="D421" s="184">
        <v>14876</v>
      </c>
      <c r="E421" s="26">
        <v>45870</v>
      </c>
      <c r="F421" s="26">
        <v>45900</v>
      </c>
      <c r="G421" s="247" t="s">
        <v>2826</v>
      </c>
      <c r="H421" s="34" t="s">
        <v>11</v>
      </c>
      <c r="I421" s="185">
        <v>0.01</v>
      </c>
      <c r="J421" s="186">
        <v>5.0000000000000001E-3</v>
      </c>
      <c r="K421" s="203"/>
      <c r="L421" s="188"/>
      <c r="M421" s="189" t="s">
        <v>30</v>
      </c>
      <c r="N421" s="189" t="s">
        <v>82</v>
      </c>
      <c r="O421" s="190" t="s">
        <v>2683</v>
      </c>
      <c r="P421" s="35">
        <v>45881</v>
      </c>
      <c r="Q421" s="22"/>
    </row>
    <row r="422" spans="1:17" s="234" customFormat="1" ht="75">
      <c r="A422" s="27" t="s">
        <v>59</v>
      </c>
      <c r="B422" s="39">
        <v>8335</v>
      </c>
      <c r="C422" s="183" t="s">
        <v>33</v>
      </c>
      <c r="D422" s="184">
        <v>14876</v>
      </c>
      <c r="E422" s="26">
        <v>45870</v>
      </c>
      <c r="F422" s="26">
        <v>45900</v>
      </c>
      <c r="G422" s="22" t="s">
        <v>107</v>
      </c>
      <c r="H422" s="34" t="s">
        <v>11</v>
      </c>
      <c r="I422" s="185">
        <v>0.01</v>
      </c>
      <c r="J422" s="186">
        <v>7.4999999999999997E-3</v>
      </c>
      <c r="K422" s="203"/>
      <c r="L422" s="188"/>
      <c r="M422" s="189" t="s">
        <v>30</v>
      </c>
      <c r="N422" s="189" t="s">
        <v>82</v>
      </c>
      <c r="O422" s="190" t="s">
        <v>2683</v>
      </c>
      <c r="P422" s="35">
        <v>45881</v>
      </c>
      <c r="Q422" s="22"/>
    </row>
    <row r="423" spans="1:17" s="234" customFormat="1" ht="75">
      <c r="A423" s="27" t="s">
        <v>58</v>
      </c>
      <c r="B423" s="39">
        <v>8406</v>
      </c>
      <c r="C423" s="183" t="s">
        <v>33</v>
      </c>
      <c r="D423" s="184">
        <v>14399</v>
      </c>
      <c r="E423" s="26">
        <v>45870</v>
      </c>
      <c r="F423" s="26">
        <v>45900</v>
      </c>
      <c r="G423" s="247" t="s">
        <v>2826</v>
      </c>
      <c r="H423" s="34" t="s">
        <v>11</v>
      </c>
      <c r="I423" s="185">
        <v>0.01</v>
      </c>
      <c r="J423" s="186">
        <v>5.0000000000000001E-3</v>
      </c>
      <c r="K423" s="203"/>
      <c r="L423" s="188"/>
      <c r="M423" s="189" t="s">
        <v>30</v>
      </c>
      <c r="N423" s="189" t="s">
        <v>82</v>
      </c>
      <c r="O423" s="190" t="s">
        <v>2683</v>
      </c>
      <c r="P423" s="35">
        <v>45881</v>
      </c>
      <c r="Q423" s="22"/>
    </row>
    <row r="424" spans="1:17" s="234" customFormat="1" ht="75">
      <c r="A424" s="27" t="s">
        <v>58</v>
      </c>
      <c r="B424" s="39">
        <v>8379</v>
      </c>
      <c r="C424" s="183" t="s">
        <v>33</v>
      </c>
      <c r="D424" s="184">
        <v>10975</v>
      </c>
      <c r="E424" s="26">
        <v>45870</v>
      </c>
      <c r="F424" s="26">
        <v>45900</v>
      </c>
      <c r="G424" s="247" t="s">
        <v>2684</v>
      </c>
      <c r="H424" s="34" t="s">
        <v>11</v>
      </c>
      <c r="I424" s="185">
        <v>0.01</v>
      </c>
      <c r="J424" s="186">
        <v>0.03</v>
      </c>
      <c r="K424" s="203"/>
      <c r="L424" s="188"/>
      <c r="M424" s="189" t="s">
        <v>30</v>
      </c>
      <c r="N424" s="189" t="s">
        <v>82</v>
      </c>
      <c r="O424" s="190" t="s">
        <v>2683</v>
      </c>
      <c r="P424" s="35">
        <v>45881</v>
      </c>
      <c r="Q424" s="22"/>
    </row>
    <row r="425" spans="1:17" s="234" customFormat="1" ht="75">
      <c r="A425" s="27" t="s">
        <v>58</v>
      </c>
      <c r="B425" s="39">
        <v>8378</v>
      </c>
      <c r="C425" s="183" t="s">
        <v>33</v>
      </c>
      <c r="D425" s="184">
        <v>16532</v>
      </c>
      <c r="E425" s="26">
        <v>45870</v>
      </c>
      <c r="F425" s="26">
        <v>45900</v>
      </c>
      <c r="G425" s="247" t="s">
        <v>2684</v>
      </c>
      <c r="H425" s="34" t="s">
        <v>11</v>
      </c>
      <c r="I425" s="185">
        <v>0.01</v>
      </c>
      <c r="J425" s="186">
        <v>0.03</v>
      </c>
      <c r="K425" s="203"/>
      <c r="L425" s="188"/>
      <c r="M425" s="189" t="s">
        <v>30</v>
      </c>
      <c r="N425" s="189" t="s">
        <v>82</v>
      </c>
      <c r="O425" s="190" t="s">
        <v>2683</v>
      </c>
      <c r="P425" s="35">
        <v>45881</v>
      </c>
      <c r="Q425" s="22"/>
    </row>
    <row r="426" spans="1:17" s="234" customFormat="1" ht="75">
      <c r="A426" s="27" t="s">
        <v>58</v>
      </c>
      <c r="B426" s="39">
        <v>8438</v>
      </c>
      <c r="C426" s="183" t="s">
        <v>33</v>
      </c>
      <c r="D426" s="184">
        <v>7274</v>
      </c>
      <c r="E426" s="26">
        <v>45870</v>
      </c>
      <c r="F426" s="26">
        <v>45900</v>
      </c>
      <c r="G426" s="247" t="s">
        <v>2215</v>
      </c>
      <c r="H426" s="34" t="s">
        <v>11</v>
      </c>
      <c r="I426" s="185">
        <v>0.01</v>
      </c>
      <c r="J426" s="186">
        <v>5.0000000000000001E-3</v>
      </c>
      <c r="K426" s="203"/>
      <c r="L426" s="188"/>
      <c r="M426" s="189" t="s">
        <v>30</v>
      </c>
      <c r="N426" s="189" t="s">
        <v>82</v>
      </c>
      <c r="O426" s="190" t="s">
        <v>2683</v>
      </c>
      <c r="P426" s="35">
        <v>45881</v>
      </c>
      <c r="Q426" s="22"/>
    </row>
    <row r="427" spans="1:17" s="234" customFormat="1" ht="75">
      <c r="A427" s="27" t="s">
        <v>58</v>
      </c>
      <c r="B427" s="39">
        <v>8439</v>
      </c>
      <c r="C427" s="183" t="s">
        <v>33</v>
      </c>
      <c r="D427" s="184">
        <v>7274</v>
      </c>
      <c r="E427" s="26">
        <v>45870</v>
      </c>
      <c r="F427" s="26">
        <v>45900</v>
      </c>
      <c r="G427" s="247" t="s">
        <v>2216</v>
      </c>
      <c r="H427" s="34" t="s">
        <v>11</v>
      </c>
      <c r="I427" s="185">
        <v>0.01</v>
      </c>
      <c r="J427" s="186">
        <v>2.5000000000000001E-3</v>
      </c>
      <c r="K427" s="203"/>
      <c r="L427" s="188"/>
      <c r="M427" s="189" t="s">
        <v>30</v>
      </c>
      <c r="N427" s="189" t="s">
        <v>82</v>
      </c>
      <c r="O427" s="190" t="s">
        <v>2683</v>
      </c>
      <c r="P427" s="35">
        <v>45881</v>
      </c>
      <c r="Q427" s="22"/>
    </row>
    <row r="428" spans="1:17" s="234" customFormat="1" ht="75">
      <c r="A428" s="27" t="s">
        <v>59</v>
      </c>
      <c r="B428" s="39">
        <v>8336</v>
      </c>
      <c r="C428" s="183" t="s">
        <v>33</v>
      </c>
      <c r="D428" s="184">
        <v>7274</v>
      </c>
      <c r="E428" s="26">
        <v>45870</v>
      </c>
      <c r="F428" s="26">
        <v>45900</v>
      </c>
      <c r="G428" s="22" t="s">
        <v>128</v>
      </c>
      <c r="H428" s="34" t="s">
        <v>11</v>
      </c>
      <c r="I428" s="185">
        <v>0.01</v>
      </c>
      <c r="J428" s="186">
        <v>7.4999999999999997E-3</v>
      </c>
      <c r="K428" s="203"/>
      <c r="L428" s="188"/>
      <c r="M428" s="189" t="s">
        <v>30</v>
      </c>
      <c r="N428" s="189" t="s">
        <v>82</v>
      </c>
      <c r="O428" s="190" t="s">
        <v>2683</v>
      </c>
      <c r="P428" s="35">
        <v>45881</v>
      </c>
      <c r="Q428" s="22"/>
    </row>
    <row r="429" spans="1:17" s="234" customFormat="1" ht="75">
      <c r="A429" s="27" t="s">
        <v>58</v>
      </c>
      <c r="B429" s="39">
        <v>8407</v>
      </c>
      <c r="C429" s="183" t="s">
        <v>33</v>
      </c>
      <c r="D429" s="184">
        <v>7274</v>
      </c>
      <c r="E429" s="26">
        <v>45870</v>
      </c>
      <c r="F429" s="26">
        <v>45900</v>
      </c>
      <c r="G429" s="247" t="s">
        <v>2826</v>
      </c>
      <c r="H429" s="34" t="s">
        <v>11</v>
      </c>
      <c r="I429" s="185">
        <v>0.01</v>
      </c>
      <c r="J429" s="186">
        <v>5.0000000000000001E-3</v>
      </c>
      <c r="K429" s="203"/>
      <c r="L429" s="188"/>
      <c r="M429" s="189" t="s">
        <v>30</v>
      </c>
      <c r="N429" s="189" t="s">
        <v>82</v>
      </c>
      <c r="O429" s="190" t="s">
        <v>2683</v>
      </c>
      <c r="P429" s="35">
        <v>45881</v>
      </c>
      <c r="Q429" s="22"/>
    </row>
    <row r="430" spans="1:17" s="234" customFormat="1" ht="75">
      <c r="A430" s="27" t="s">
        <v>58</v>
      </c>
      <c r="B430" s="39">
        <v>8429</v>
      </c>
      <c r="C430" s="183" t="s">
        <v>33</v>
      </c>
      <c r="D430" s="184">
        <v>7274</v>
      </c>
      <c r="E430" s="26">
        <v>45870</v>
      </c>
      <c r="F430" s="26">
        <v>45900</v>
      </c>
      <c r="G430" s="247" t="s">
        <v>2794</v>
      </c>
      <c r="H430" s="34" t="s">
        <v>11</v>
      </c>
      <c r="I430" s="185">
        <v>0.01</v>
      </c>
      <c r="J430" s="186">
        <v>0.01</v>
      </c>
      <c r="K430" s="203"/>
      <c r="L430" s="188"/>
      <c r="M430" s="189" t="s">
        <v>30</v>
      </c>
      <c r="N430" s="189" t="s">
        <v>82</v>
      </c>
      <c r="O430" s="190" t="s">
        <v>2683</v>
      </c>
      <c r="P430" s="35">
        <v>45881</v>
      </c>
      <c r="Q430" s="22"/>
    </row>
    <row r="431" spans="1:17" s="234" customFormat="1" ht="75">
      <c r="A431" s="27" t="s">
        <v>59</v>
      </c>
      <c r="B431" s="39">
        <v>8337</v>
      </c>
      <c r="C431" s="183" t="s">
        <v>33</v>
      </c>
      <c r="D431" s="184">
        <v>11545</v>
      </c>
      <c r="E431" s="26">
        <v>45870</v>
      </c>
      <c r="F431" s="26">
        <v>45900</v>
      </c>
      <c r="G431" s="22" t="s">
        <v>132</v>
      </c>
      <c r="H431" s="34" t="s">
        <v>11</v>
      </c>
      <c r="I431" s="185">
        <v>1000</v>
      </c>
      <c r="J431" s="186">
        <v>7.4999999999999997E-3</v>
      </c>
      <c r="K431" s="203"/>
      <c r="L431" s="188"/>
      <c r="M431" s="189" t="s">
        <v>27</v>
      </c>
      <c r="N431" s="189" t="s">
        <v>69</v>
      </c>
      <c r="O431" s="190" t="s">
        <v>2683</v>
      </c>
      <c r="P431" s="35">
        <v>45881</v>
      </c>
      <c r="Q431" s="22"/>
    </row>
    <row r="432" spans="1:17" s="234" customFormat="1" ht="75">
      <c r="A432" s="27" t="s">
        <v>58</v>
      </c>
      <c r="B432" s="39">
        <v>8408</v>
      </c>
      <c r="C432" s="183" t="s">
        <v>33</v>
      </c>
      <c r="D432" s="184">
        <v>11545</v>
      </c>
      <c r="E432" s="26">
        <v>45870</v>
      </c>
      <c r="F432" s="26">
        <v>45900</v>
      </c>
      <c r="G432" s="247" t="s">
        <v>2826</v>
      </c>
      <c r="H432" s="34" t="s">
        <v>11</v>
      </c>
      <c r="I432" s="185">
        <v>1000</v>
      </c>
      <c r="J432" s="186">
        <v>5.0000000000000001E-3</v>
      </c>
      <c r="K432" s="203"/>
      <c r="L432" s="188"/>
      <c r="M432" s="189" t="s">
        <v>27</v>
      </c>
      <c r="N432" s="189" t="s">
        <v>69</v>
      </c>
      <c r="O432" s="190" t="s">
        <v>2683</v>
      </c>
      <c r="P432" s="35">
        <v>45881</v>
      </c>
      <c r="Q432" s="22"/>
    </row>
    <row r="433" spans="1:17" s="234" customFormat="1" ht="75">
      <c r="A433" s="27" t="s">
        <v>58</v>
      </c>
      <c r="B433" s="39">
        <v>8409</v>
      </c>
      <c r="C433" s="183" t="s">
        <v>33</v>
      </c>
      <c r="D433" s="184">
        <v>10293</v>
      </c>
      <c r="E433" s="26">
        <v>45870</v>
      </c>
      <c r="F433" s="26">
        <v>45900</v>
      </c>
      <c r="G433" s="247" t="s">
        <v>2826</v>
      </c>
      <c r="H433" s="34" t="s">
        <v>11</v>
      </c>
      <c r="I433" s="185">
        <v>1000</v>
      </c>
      <c r="J433" s="186">
        <v>5.0000000000000001E-3</v>
      </c>
      <c r="K433" s="203"/>
      <c r="L433" s="188"/>
      <c r="M433" s="189" t="s">
        <v>27</v>
      </c>
      <c r="N433" s="189" t="s">
        <v>69</v>
      </c>
      <c r="O433" s="190" t="s">
        <v>2683</v>
      </c>
      <c r="P433" s="35">
        <v>45881</v>
      </c>
      <c r="Q433" s="22"/>
    </row>
    <row r="434" spans="1:17" s="234" customFormat="1" ht="75">
      <c r="A434" s="27" t="s">
        <v>58</v>
      </c>
      <c r="B434" s="39">
        <v>8399</v>
      </c>
      <c r="C434" s="183" t="s">
        <v>33</v>
      </c>
      <c r="D434" s="184">
        <v>10293</v>
      </c>
      <c r="E434" s="26">
        <v>45870</v>
      </c>
      <c r="F434" s="26">
        <v>45900</v>
      </c>
      <c r="G434" s="247" t="s">
        <v>2685</v>
      </c>
      <c r="H434" s="34" t="s">
        <v>11</v>
      </c>
      <c r="I434" s="185">
        <v>1000</v>
      </c>
      <c r="J434" s="186">
        <v>2E-3</v>
      </c>
      <c r="K434" s="203"/>
      <c r="L434" s="188"/>
      <c r="M434" s="189" t="s">
        <v>27</v>
      </c>
      <c r="N434" s="189" t="s">
        <v>69</v>
      </c>
      <c r="O434" s="190" t="s">
        <v>2683</v>
      </c>
      <c r="P434" s="35">
        <v>45881</v>
      </c>
      <c r="Q434" s="22"/>
    </row>
    <row r="435" spans="1:17" s="234" customFormat="1" ht="75">
      <c r="A435" s="27" t="s">
        <v>58</v>
      </c>
      <c r="B435" s="39">
        <v>8403</v>
      </c>
      <c r="C435" s="183" t="s">
        <v>33</v>
      </c>
      <c r="D435" s="184">
        <v>11859</v>
      </c>
      <c r="E435" s="26">
        <v>45870</v>
      </c>
      <c r="F435" s="26">
        <v>45900</v>
      </c>
      <c r="G435" s="258" t="s">
        <v>2826</v>
      </c>
      <c r="H435" s="34" t="s">
        <v>11</v>
      </c>
      <c r="I435" s="185">
        <v>1000</v>
      </c>
      <c r="J435" s="186">
        <v>5.0000000000000001E-3</v>
      </c>
      <c r="K435" s="237"/>
      <c r="L435" s="188"/>
      <c r="M435" s="189" t="s">
        <v>27</v>
      </c>
      <c r="N435" s="189" t="s">
        <v>69</v>
      </c>
      <c r="O435" s="190" t="s">
        <v>2683</v>
      </c>
      <c r="P435" s="35">
        <v>45881</v>
      </c>
      <c r="Q435" s="22"/>
    </row>
    <row r="436" spans="1:17" s="234" customFormat="1" ht="75">
      <c r="A436" s="27" t="s">
        <v>58</v>
      </c>
      <c r="B436" s="39">
        <v>8376</v>
      </c>
      <c r="C436" s="183" t="s">
        <v>33</v>
      </c>
      <c r="D436" s="184">
        <v>18016</v>
      </c>
      <c r="E436" s="26">
        <v>45870</v>
      </c>
      <c r="F436" s="26">
        <v>45900</v>
      </c>
      <c r="G436" s="247" t="s">
        <v>2852</v>
      </c>
      <c r="H436" s="34" t="s">
        <v>11</v>
      </c>
      <c r="I436" s="185">
        <v>1000</v>
      </c>
      <c r="J436" s="186">
        <v>0.03</v>
      </c>
      <c r="K436" s="203"/>
      <c r="L436" s="188"/>
      <c r="M436" s="189" t="s">
        <v>27</v>
      </c>
      <c r="N436" s="189" t="s">
        <v>69</v>
      </c>
      <c r="O436" s="190" t="s">
        <v>2683</v>
      </c>
      <c r="P436" s="35">
        <v>45881</v>
      </c>
      <c r="Q436" s="22"/>
    </row>
    <row r="437" spans="1:17" s="234" customFormat="1" ht="75">
      <c r="A437" s="27" t="s">
        <v>58</v>
      </c>
      <c r="B437" s="39">
        <v>8400</v>
      </c>
      <c r="C437" s="183" t="s">
        <v>33</v>
      </c>
      <c r="D437" s="184">
        <v>18016</v>
      </c>
      <c r="E437" s="26">
        <v>45870</v>
      </c>
      <c r="F437" s="26">
        <v>45900</v>
      </c>
      <c r="G437" s="247" t="s">
        <v>2722</v>
      </c>
      <c r="H437" s="34" t="s">
        <v>11</v>
      </c>
      <c r="I437" s="185">
        <v>1000</v>
      </c>
      <c r="J437" s="186">
        <v>1.7000000000000001E-2</v>
      </c>
      <c r="K437" s="203"/>
      <c r="L437" s="188"/>
      <c r="M437" s="189" t="s">
        <v>27</v>
      </c>
      <c r="N437" s="189" t="s">
        <v>69</v>
      </c>
      <c r="O437" s="190" t="s">
        <v>2683</v>
      </c>
      <c r="P437" s="35">
        <v>45881</v>
      </c>
      <c r="Q437" s="22"/>
    </row>
    <row r="438" spans="1:17" s="234" customFormat="1" ht="75">
      <c r="A438" s="27" t="s">
        <v>58</v>
      </c>
      <c r="B438" s="39">
        <v>8377</v>
      </c>
      <c r="C438" s="183" t="s">
        <v>33</v>
      </c>
      <c r="D438" s="184">
        <v>17303</v>
      </c>
      <c r="E438" s="26">
        <v>45870</v>
      </c>
      <c r="F438" s="26">
        <v>45900</v>
      </c>
      <c r="G438" s="247" t="s">
        <v>2398</v>
      </c>
      <c r="H438" s="34" t="s">
        <v>11</v>
      </c>
      <c r="I438" s="185">
        <v>1000</v>
      </c>
      <c r="J438" s="186">
        <v>2.5000000000000001E-3</v>
      </c>
      <c r="K438" s="203"/>
      <c r="L438" s="188"/>
      <c r="M438" s="189" t="s">
        <v>27</v>
      </c>
      <c r="N438" s="189" t="s">
        <v>69</v>
      </c>
      <c r="O438" s="190" t="s">
        <v>2683</v>
      </c>
      <c r="P438" s="35">
        <v>45881</v>
      </c>
      <c r="Q438" s="22"/>
    </row>
    <row r="439" spans="1:17" s="234" customFormat="1" ht="75">
      <c r="A439" s="27" t="s">
        <v>58</v>
      </c>
      <c r="B439" s="39">
        <v>8422</v>
      </c>
      <c r="C439" s="183" t="s">
        <v>33</v>
      </c>
      <c r="D439" s="184">
        <v>17303</v>
      </c>
      <c r="E439" s="26">
        <v>45870</v>
      </c>
      <c r="F439" s="26">
        <v>45900</v>
      </c>
      <c r="G439" s="247" t="s">
        <v>2389</v>
      </c>
      <c r="H439" s="34" t="s">
        <v>11</v>
      </c>
      <c r="I439" s="185">
        <v>1000</v>
      </c>
      <c r="J439" s="186">
        <v>1.7999999999999999E-2</v>
      </c>
      <c r="K439" s="203"/>
      <c r="L439" s="188"/>
      <c r="M439" s="189" t="s">
        <v>27</v>
      </c>
      <c r="N439" s="189" t="s">
        <v>69</v>
      </c>
      <c r="O439" s="190" t="s">
        <v>2683</v>
      </c>
      <c r="P439" s="35">
        <v>45881</v>
      </c>
      <c r="Q439" s="22"/>
    </row>
    <row r="440" spans="1:17" s="234" customFormat="1" ht="75">
      <c r="A440" s="27" t="s">
        <v>59</v>
      </c>
      <c r="B440" s="39">
        <v>8338</v>
      </c>
      <c r="C440" s="183" t="s">
        <v>33</v>
      </c>
      <c r="D440" s="184">
        <v>17303</v>
      </c>
      <c r="E440" s="26">
        <v>45870</v>
      </c>
      <c r="F440" s="26">
        <v>45900</v>
      </c>
      <c r="G440" s="22" t="s">
        <v>107</v>
      </c>
      <c r="H440" s="34" t="s">
        <v>11</v>
      </c>
      <c r="I440" s="185">
        <v>1000</v>
      </c>
      <c r="J440" s="186">
        <v>7.4999999999999997E-3</v>
      </c>
      <c r="K440" s="203"/>
      <c r="L440" s="188"/>
      <c r="M440" s="189" t="s">
        <v>27</v>
      </c>
      <c r="N440" s="189" t="s">
        <v>69</v>
      </c>
      <c r="O440" s="190" t="s">
        <v>2683</v>
      </c>
      <c r="P440" s="35">
        <v>45881</v>
      </c>
      <c r="Q440" s="22"/>
    </row>
    <row r="441" spans="1:17" s="234" customFormat="1" ht="75">
      <c r="A441" s="27" t="s">
        <v>58</v>
      </c>
      <c r="B441" s="39">
        <v>8401</v>
      </c>
      <c r="C441" s="183" t="s">
        <v>33</v>
      </c>
      <c r="D441" s="184">
        <v>17303</v>
      </c>
      <c r="E441" s="26">
        <v>45870</v>
      </c>
      <c r="F441" s="26">
        <v>45900</v>
      </c>
      <c r="G441" s="247" t="s">
        <v>2209</v>
      </c>
      <c r="H441" s="34" t="s">
        <v>11</v>
      </c>
      <c r="I441" s="185">
        <v>1000</v>
      </c>
      <c r="J441" s="186">
        <v>1.4999999999999999E-2</v>
      </c>
      <c r="K441" s="203"/>
      <c r="L441" s="188"/>
      <c r="M441" s="189" t="s">
        <v>27</v>
      </c>
      <c r="N441" s="189" t="s">
        <v>69</v>
      </c>
      <c r="O441" s="190" t="s">
        <v>2683</v>
      </c>
      <c r="P441" s="35">
        <v>45881</v>
      </c>
      <c r="Q441" s="22"/>
    </row>
    <row r="442" spans="1:17" s="234" customFormat="1" ht="75">
      <c r="A442" s="27" t="s">
        <v>58</v>
      </c>
      <c r="B442" s="39">
        <v>8375</v>
      </c>
      <c r="C442" s="183" t="s">
        <v>33</v>
      </c>
      <c r="D442" s="184">
        <v>17303</v>
      </c>
      <c r="E442" s="26">
        <v>45870</v>
      </c>
      <c r="F442" s="26">
        <v>45900</v>
      </c>
      <c r="G442" s="247" t="s">
        <v>2827</v>
      </c>
      <c r="H442" s="34" t="s">
        <v>11</v>
      </c>
      <c r="I442" s="185">
        <v>1000</v>
      </c>
      <c r="J442" s="186">
        <v>1.2E-2</v>
      </c>
      <c r="K442" s="203"/>
      <c r="L442" s="188"/>
      <c r="M442" s="189" t="s">
        <v>27</v>
      </c>
      <c r="N442" s="189" t="s">
        <v>69</v>
      </c>
      <c r="O442" s="190" t="s">
        <v>2683</v>
      </c>
      <c r="P442" s="35">
        <v>45881</v>
      </c>
      <c r="Q442" s="22"/>
    </row>
    <row r="443" spans="1:17" s="234" customFormat="1" ht="75">
      <c r="A443" s="27" t="s">
        <v>59</v>
      </c>
      <c r="B443" s="39">
        <v>8394</v>
      </c>
      <c r="C443" s="183" t="s">
        <v>33</v>
      </c>
      <c r="D443" s="184">
        <v>17303</v>
      </c>
      <c r="E443" s="26">
        <v>45870</v>
      </c>
      <c r="F443" s="26">
        <v>45900</v>
      </c>
      <c r="G443" s="258" t="s">
        <v>2702</v>
      </c>
      <c r="H443" s="34" t="s">
        <v>11</v>
      </c>
      <c r="I443" s="185">
        <v>1000</v>
      </c>
      <c r="J443" s="186" t="s">
        <v>2745</v>
      </c>
      <c r="K443" s="237"/>
      <c r="L443" s="188"/>
      <c r="M443" s="189" t="s">
        <v>27</v>
      </c>
      <c r="N443" s="189" t="s">
        <v>69</v>
      </c>
      <c r="O443" s="190" t="s">
        <v>2683</v>
      </c>
      <c r="P443" s="35">
        <v>45881</v>
      </c>
      <c r="Q443" s="22"/>
    </row>
    <row r="444" spans="1:17" s="234" customFormat="1" ht="75">
      <c r="A444" s="27" t="s">
        <v>58</v>
      </c>
      <c r="B444" s="39">
        <v>8410</v>
      </c>
      <c r="C444" s="183" t="s">
        <v>33</v>
      </c>
      <c r="D444" s="184">
        <v>17303</v>
      </c>
      <c r="E444" s="26">
        <v>45870</v>
      </c>
      <c r="F444" s="26">
        <v>45900</v>
      </c>
      <c r="G444" s="247" t="s">
        <v>2826</v>
      </c>
      <c r="H444" s="34" t="s">
        <v>11</v>
      </c>
      <c r="I444" s="185">
        <v>1000</v>
      </c>
      <c r="J444" s="186">
        <v>5.0000000000000001E-3</v>
      </c>
      <c r="K444" s="203"/>
      <c r="L444" s="188"/>
      <c r="M444" s="189" t="s">
        <v>27</v>
      </c>
      <c r="N444" s="189" t="s">
        <v>69</v>
      </c>
      <c r="O444" s="190" t="s">
        <v>2683</v>
      </c>
      <c r="P444" s="35">
        <v>45881</v>
      </c>
      <c r="Q444" s="22"/>
    </row>
    <row r="445" spans="1:17" s="234" customFormat="1" ht="75">
      <c r="A445" s="27" t="s">
        <v>58</v>
      </c>
      <c r="B445" s="39">
        <v>8430</v>
      </c>
      <c r="C445" s="183" t="s">
        <v>33</v>
      </c>
      <c r="D445" s="184">
        <v>17303</v>
      </c>
      <c r="E445" s="26">
        <v>45870</v>
      </c>
      <c r="F445" s="26">
        <v>45900</v>
      </c>
      <c r="G445" s="247" t="s">
        <v>2795</v>
      </c>
      <c r="H445" s="34" t="s">
        <v>11</v>
      </c>
      <c r="I445" s="185">
        <v>1000</v>
      </c>
      <c r="J445" s="186">
        <v>2.1999999999999999E-2</v>
      </c>
      <c r="K445" s="203"/>
      <c r="L445" s="188"/>
      <c r="M445" s="189" t="s">
        <v>27</v>
      </c>
      <c r="N445" s="189" t="s">
        <v>69</v>
      </c>
      <c r="O445" s="190" t="s">
        <v>2683</v>
      </c>
      <c r="P445" s="35">
        <v>45881</v>
      </c>
      <c r="Q445" s="22"/>
    </row>
    <row r="446" spans="1:17" s="234" customFormat="1" ht="75">
      <c r="A446" s="27" t="s">
        <v>58</v>
      </c>
      <c r="B446" s="39">
        <v>8421</v>
      </c>
      <c r="C446" s="183" t="s">
        <v>33</v>
      </c>
      <c r="D446" s="184">
        <v>16102</v>
      </c>
      <c r="E446" s="26">
        <v>45870</v>
      </c>
      <c r="F446" s="26">
        <v>45900</v>
      </c>
      <c r="G446" s="247" t="s">
        <v>2389</v>
      </c>
      <c r="H446" s="34" t="s">
        <v>11</v>
      </c>
      <c r="I446" s="185">
        <v>1000</v>
      </c>
      <c r="J446" s="186">
        <v>0.02</v>
      </c>
      <c r="K446" s="203"/>
      <c r="L446" s="188"/>
      <c r="M446" s="189" t="s">
        <v>25</v>
      </c>
      <c r="N446" s="189" t="s">
        <v>171</v>
      </c>
      <c r="O446" s="190" t="s">
        <v>2683</v>
      </c>
      <c r="P446" s="35">
        <v>45881</v>
      </c>
      <c r="Q446" s="22"/>
    </row>
    <row r="447" spans="1:17" s="234" customFormat="1" ht="75">
      <c r="A447" s="27" t="s">
        <v>59</v>
      </c>
      <c r="B447" s="39">
        <v>8393</v>
      </c>
      <c r="C447" s="183" t="s">
        <v>33</v>
      </c>
      <c r="D447" s="184">
        <v>4353</v>
      </c>
      <c r="E447" s="26">
        <v>45870</v>
      </c>
      <c r="F447" s="26">
        <v>45900</v>
      </c>
      <c r="G447" s="247" t="s">
        <v>2699</v>
      </c>
      <c r="H447" s="34" t="s">
        <v>11</v>
      </c>
      <c r="I447" s="185">
        <v>0.01</v>
      </c>
      <c r="J447" s="186" t="s">
        <v>2743</v>
      </c>
      <c r="K447" s="203"/>
      <c r="L447" s="188"/>
      <c r="M447" s="189" t="s">
        <v>25</v>
      </c>
      <c r="N447" s="189" t="s">
        <v>171</v>
      </c>
      <c r="O447" s="190" t="s">
        <v>2683</v>
      </c>
      <c r="P447" s="35">
        <v>45881</v>
      </c>
      <c r="Q447" s="22"/>
    </row>
    <row r="448" spans="1:17" s="234" customFormat="1" ht="75">
      <c r="A448" s="27" t="s">
        <v>58</v>
      </c>
      <c r="B448" s="39">
        <v>8411</v>
      </c>
      <c r="C448" s="183" t="s">
        <v>33</v>
      </c>
      <c r="D448" s="184">
        <v>4353</v>
      </c>
      <c r="E448" s="26">
        <v>45870</v>
      </c>
      <c r="F448" s="26">
        <v>45900</v>
      </c>
      <c r="G448" s="247" t="s">
        <v>2826</v>
      </c>
      <c r="H448" s="34" t="s">
        <v>11</v>
      </c>
      <c r="I448" s="185">
        <v>10000</v>
      </c>
      <c r="J448" s="186">
        <v>5.0000000000000001E-3</v>
      </c>
      <c r="K448" s="203"/>
      <c r="L448" s="188"/>
      <c r="M448" s="189" t="s">
        <v>25</v>
      </c>
      <c r="N448" s="189" t="s">
        <v>171</v>
      </c>
      <c r="O448" s="190" t="s">
        <v>2683</v>
      </c>
      <c r="P448" s="35">
        <v>45881</v>
      </c>
      <c r="Q448" s="22"/>
    </row>
    <row r="449" spans="1:17" s="234" customFormat="1" ht="75">
      <c r="A449" s="27" t="s">
        <v>59</v>
      </c>
      <c r="B449" s="39">
        <v>8339</v>
      </c>
      <c r="C449" s="183" t="s">
        <v>33</v>
      </c>
      <c r="D449" s="184">
        <v>4353</v>
      </c>
      <c r="E449" s="26">
        <v>45870</v>
      </c>
      <c r="F449" s="26">
        <v>45900</v>
      </c>
      <c r="G449" s="22" t="s">
        <v>107</v>
      </c>
      <c r="H449" s="34" t="s">
        <v>11</v>
      </c>
      <c r="I449" s="185">
        <v>10000</v>
      </c>
      <c r="J449" s="186">
        <v>5.0000000000000001E-3</v>
      </c>
      <c r="K449" s="203"/>
      <c r="L449" s="188"/>
      <c r="M449" s="189" t="s">
        <v>25</v>
      </c>
      <c r="N449" s="189" t="s">
        <v>171</v>
      </c>
      <c r="O449" s="190" t="s">
        <v>2683</v>
      </c>
      <c r="P449" s="35">
        <v>45881</v>
      </c>
      <c r="Q449" s="22"/>
    </row>
    <row r="450" spans="1:17" s="234" customFormat="1" ht="75">
      <c r="A450" s="27" t="s">
        <v>58</v>
      </c>
      <c r="B450" s="39">
        <v>8374</v>
      </c>
      <c r="C450" s="183" t="s">
        <v>33</v>
      </c>
      <c r="D450" s="184">
        <v>4353</v>
      </c>
      <c r="E450" s="26">
        <v>45870</v>
      </c>
      <c r="F450" s="26">
        <v>45900</v>
      </c>
      <c r="G450" s="247" t="s">
        <v>2686</v>
      </c>
      <c r="H450" s="34" t="s">
        <v>11</v>
      </c>
      <c r="I450" s="185">
        <v>1000</v>
      </c>
      <c r="J450" s="186">
        <v>5.0000000000000001E-3</v>
      </c>
      <c r="K450" s="203"/>
      <c r="L450" s="188"/>
      <c r="M450" s="189" t="s">
        <v>25</v>
      </c>
      <c r="N450" s="189" t="s">
        <v>171</v>
      </c>
      <c r="O450" s="190" t="s">
        <v>2683</v>
      </c>
      <c r="P450" s="35">
        <v>45881</v>
      </c>
      <c r="Q450" s="22"/>
    </row>
    <row r="451" spans="1:17" s="234" customFormat="1" ht="75">
      <c r="A451" s="27" t="s">
        <v>59</v>
      </c>
      <c r="B451" s="39">
        <v>8340</v>
      </c>
      <c r="C451" s="183" t="s">
        <v>33</v>
      </c>
      <c r="D451" s="184">
        <v>3489</v>
      </c>
      <c r="E451" s="26">
        <v>45870</v>
      </c>
      <c r="F451" s="26">
        <v>45900</v>
      </c>
      <c r="G451" s="247" t="s">
        <v>107</v>
      </c>
      <c r="H451" s="34" t="s">
        <v>11</v>
      </c>
      <c r="I451" s="185">
        <v>1000</v>
      </c>
      <c r="J451" s="186">
        <v>5.0000000000000001E-3</v>
      </c>
      <c r="K451" s="203"/>
      <c r="L451" s="188"/>
      <c r="M451" s="189" t="s">
        <v>25</v>
      </c>
      <c r="N451" s="189" t="s">
        <v>88</v>
      </c>
      <c r="O451" s="190" t="s">
        <v>2683</v>
      </c>
      <c r="P451" s="35">
        <v>45881</v>
      </c>
      <c r="Q451" s="22"/>
    </row>
    <row r="452" spans="1:17" s="234" customFormat="1" ht="75">
      <c r="A452" s="27" t="s">
        <v>59</v>
      </c>
      <c r="B452" s="39">
        <v>8392</v>
      </c>
      <c r="C452" s="183" t="s">
        <v>33</v>
      </c>
      <c r="D452" s="184">
        <v>3489</v>
      </c>
      <c r="E452" s="26">
        <v>45870</v>
      </c>
      <c r="F452" s="26">
        <v>45900</v>
      </c>
      <c r="G452" s="247" t="s">
        <v>2813</v>
      </c>
      <c r="H452" s="34" t="s">
        <v>11</v>
      </c>
      <c r="I452" s="185">
        <v>1000</v>
      </c>
      <c r="J452" s="186" t="s">
        <v>2746</v>
      </c>
      <c r="K452" s="203"/>
      <c r="L452" s="188"/>
      <c r="M452" s="189" t="s">
        <v>25</v>
      </c>
      <c r="N452" s="189" t="s">
        <v>88</v>
      </c>
      <c r="O452" s="190" t="s">
        <v>2683</v>
      </c>
      <c r="P452" s="35">
        <v>45881</v>
      </c>
      <c r="Q452" s="22"/>
    </row>
    <row r="453" spans="1:17" s="234" customFormat="1" ht="75">
      <c r="A453" s="27" t="s">
        <v>58</v>
      </c>
      <c r="B453" s="39">
        <v>8373</v>
      </c>
      <c r="C453" s="183" t="s">
        <v>33</v>
      </c>
      <c r="D453" s="184">
        <v>15095</v>
      </c>
      <c r="E453" s="26">
        <v>45870</v>
      </c>
      <c r="F453" s="26">
        <v>45900</v>
      </c>
      <c r="G453" s="247" t="s">
        <v>1960</v>
      </c>
      <c r="H453" s="34" t="s">
        <v>11</v>
      </c>
      <c r="I453" s="185">
        <v>1000</v>
      </c>
      <c r="J453" s="186">
        <v>5.0000000000000001E-3</v>
      </c>
      <c r="K453" s="203"/>
      <c r="L453" s="188"/>
      <c r="M453" s="189" t="s">
        <v>175</v>
      </c>
      <c r="N453" s="189" t="s">
        <v>1122</v>
      </c>
      <c r="O453" s="190" t="s">
        <v>2683</v>
      </c>
      <c r="P453" s="35">
        <v>45881</v>
      </c>
      <c r="Q453" s="22"/>
    </row>
    <row r="454" spans="1:17" s="234" customFormat="1" ht="75">
      <c r="A454" s="27" t="s">
        <v>58</v>
      </c>
      <c r="B454" s="39">
        <v>8372</v>
      </c>
      <c r="C454" s="183" t="s">
        <v>33</v>
      </c>
      <c r="D454" s="184">
        <v>15710</v>
      </c>
      <c r="E454" s="26">
        <v>45870</v>
      </c>
      <c r="F454" s="26">
        <v>45900</v>
      </c>
      <c r="G454" s="247" t="s">
        <v>1960</v>
      </c>
      <c r="H454" s="34" t="s">
        <v>11</v>
      </c>
      <c r="I454" s="185">
        <v>1000</v>
      </c>
      <c r="J454" s="186">
        <v>5.0000000000000001E-3</v>
      </c>
      <c r="K454" s="203"/>
      <c r="L454" s="188"/>
      <c r="M454" s="189" t="s">
        <v>12</v>
      </c>
      <c r="N454" s="189" t="s">
        <v>170</v>
      </c>
      <c r="O454" s="190" t="s">
        <v>2683</v>
      </c>
      <c r="P454" s="35">
        <v>45881</v>
      </c>
      <c r="Q454" s="22"/>
    </row>
    <row r="455" spans="1:17" s="234" customFormat="1" ht="75">
      <c r="A455" s="27" t="s">
        <v>58</v>
      </c>
      <c r="B455" s="39">
        <v>8371</v>
      </c>
      <c r="C455" s="183" t="s">
        <v>33</v>
      </c>
      <c r="D455" s="184">
        <v>16845</v>
      </c>
      <c r="E455" s="26">
        <v>45870</v>
      </c>
      <c r="F455" s="26">
        <v>45900</v>
      </c>
      <c r="G455" s="247" t="s">
        <v>1960</v>
      </c>
      <c r="H455" s="34" t="s">
        <v>11</v>
      </c>
      <c r="I455" s="185">
        <v>1000</v>
      </c>
      <c r="J455" s="186">
        <v>5.0000000000000001E-3</v>
      </c>
      <c r="K455" s="203"/>
      <c r="L455" s="188"/>
      <c r="M455" s="189" t="s">
        <v>175</v>
      </c>
      <c r="N455" s="189" t="s">
        <v>1122</v>
      </c>
      <c r="O455" s="190" t="s">
        <v>2683</v>
      </c>
      <c r="P455" s="35">
        <v>45881</v>
      </c>
      <c r="Q455" s="22"/>
    </row>
    <row r="456" spans="1:17" s="234" customFormat="1" ht="75">
      <c r="A456" s="27" t="s">
        <v>58</v>
      </c>
      <c r="B456" s="39">
        <v>8417</v>
      </c>
      <c r="C456" s="183" t="s">
        <v>33</v>
      </c>
      <c r="D456" s="184">
        <v>3280</v>
      </c>
      <c r="E456" s="26">
        <v>45870</v>
      </c>
      <c r="F456" s="26">
        <v>45900</v>
      </c>
      <c r="G456" s="247" t="s">
        <v>2828</v>
      </c>
      <c r="H456" s="34" t="s">
        <v>11</v>
      </c>
      <c r="I456" s="185">
        <v>0.01</v>
      </c>
      <c r="J456" s="186">
        <v>2E-3</v>
      </c>
      <c r="K456" s="203"/>
      <c r="L456" s="188"/>
      <c r="M456" s="189" t="s">
        <v>25</v>
      </c>
      <c r="N456" s="189" t="s">
        <v>88</v>
      </c>
      <c r="O456" s="190" t="s">
        <v>2683</v>
      </c>
      <c r="P456" s="35">
        <v>45881</v>
      </c>
      <c r="Q456" s="22"/>
    </row>
    <row r="457" spans="1:17" s="234" customFormat="1" ht="75">
      <c r="A457" s="27" t="s">
        <v>58</v>
      </c>
      <c r="B457" s="39">
        <v>8440</v>
      </c>
      <c r="C457" s="183" t="s">
        <v>33</v>
      </c>
      <c r="D457" s="184">
        <v>3280</v>
      </c>
      <c r="E457" s="26">
        <v>45870</v>
      </c>
      <c r="F457" s="26">
        <v>45900</v>
      </c>
      <c r="G457" s="247" t="s">
        <v>2829</v>
      </c>
      <c r="H457" s="34" t="s">
        <v>11</v>
      </c>
      <c r="I457" s="185">
        <v>150000</v>
      </c>
      <c r="J457" s="186">
        <v>2E-3</v>
      </c>
      <c r="K457" s="203"/>
      <c r="L457" s="188"/>
      <c r="M457" s="189" t="s">
        <v>25</v>
      </c>
      <c r="N457" s="189" t="s">
        <v>88</v>
      </c>
      <c r="O457" s="190" t="s">
        <v>2683</v>
      </c>
      <c r="P457" s="35">
        <v>45881</v>
      </c>
      <c r="Q457" s="22"/>
    </row>
    <row r="458" spans="1:17" s="234" customFormat="1" ht="75">
      <c r="A458" s="27" t="s">
        <v>59</v>
      </c>
      <c r="B458" s="39">
        <v>8341</v>
      </c>
      <c r="C458" s="183" t="s">
        <v>33</v>
      </c>
      <c r="D458" s="184">
        <v>3280</v>
      </c>
      <c r="E458" s="26">
        <v>45870</v>
      </c>
      <c r="F458" s="26">
        <v>45900</v>
      </c>
      <c r="G458" s="247" t="s">
        <v>2769</v>
      </c>
      <c r="H458" s="34" t="s">
        <v>11</v>
      </c>
      <c r="I458" s="185">
        <v>150000</v>
      </c>
      <c r="J458" s="186">
        <v>2E-3</v>
      </c>
      <c r="K458" s="203"/>
      <c r="L458" s="188"/>
      <c r="M458" s="189" t="s">
        <v>25</v>
      </c>
      <c r="N458" s="189" t="s">
        <v>88</v>
      </c>
      <c r="O458" s="190" t="s">
        <v>2683</v>
      </c>
      <c r="P458" s="35">
        <v>45881</v>
      </c>
      <c r="Q458" s="22"/>
    </row>
    <row r="459" spans="1:17" s="234" customFormat="1" ht="75">
      <c r="A459" s="27" t="s">
        <v>58</v>
      </c>
      <c r="B459" s="39">
        <v>8391</v>
      </c>
      <c r="C459" s="183" t="s">
        <v>33</v>
      </c>
      <c r="D459" s="184">
        <v>3280</v>
      </c>
      <c r="E459" s="26">
        <v>45870</v>
      </c>
      <c r="F459" s="26">
        <v>45900</v>
      </c>
      <c r="G459" s="247" t="s">
        <v>2853</v>
      </c>
      <c r="H459" s="34" t="s">
        <v>11</v>
      </c>
      <c r="I459" s="185">
        <v>150000</v>
      </c>
      <c r="J459" s="186">
        <v>2E-3</v>
      </c>
      <c r="K459" s="203"/>
      <c r="L459" s="188"/>
      <c r="M459" s="189" t="s">
        <v>25</v>
      </c>
      <c r="N459" s="189" t="s">
        <v>88</v>
      </c>
      <c r="O459" s="190" t="s">
        <v>2683</v>
      </c>
      <c r="P459" s="35">
        <v>45881</v>
      </c>
      <c r="Q459" s="22"/>
    </row>
    <row r="460" spans="1:17" s="234" customFormat="1" ht="75">
      <c r="A460" s="27" t="s">
        <v>58</v>
      </c>
      <c r="B460" s="39">
        <v>8370</v>
      </c>
      <c r="C460" s="183" t="s">
        <v>33</v>
      </c>
      <c r="D460" s="184" t="s">
        <v>2687</v>
      </c>
      <c r="E460" s="26">
        <v>45870</v>
      </c>
      <c r="F460" s="26">
        <v>45900</v>
      </c>
      <c r="G460" s="247" t="s">
        <v>2688</v>
      </c>
      <c r="H460" s="34" t="s">
        <v>11</v>
      </c>
      <c r="I460" s="185">
        <v>1000</v>
      </c>
      <c r="J460" s="186">
        <v>5.0000000000000001E-3</v>
      </c>
      <c r="K460" s="203"/>
      <c r="L460" s="188"/>
      <c r="M460" s="189" t="s">
        <v>12</v>
      </c>
      <c r="N460" s="189" t="s">
        <v>170</v>
      </c>
      <c r="O460" s="190" t="s">
        <v>2683</v>
      </c>
      <c r="P460" s="35">
        <v>45881</v>
      </c>
      <c r="Q460" s="22"/>
    </row>
    <row r="461" spans="1:17" s="234" customFormat="1" ht="45">
      <c r="A461" s="27" t="s">
        <v>59</v>
      </c>
      <c r="B461" s="39">
        <v>8342</v>
      </c>
      <c r="C461" s="183" t="s">
        <v>33</v>
      </c>
      <c r="D461" s="184">
        <v>6688</v>
      </c>
      <c r="E461" s="26">
        <v>45870</v>
      </c>
      <c r="F461" s="26">
        <v>45900</v>
      </c>
      <c r="G461" s="22" t="s">
        <v>128</v>
      </c>
      <c r="H461" s="34" t="s">
        <v>197</v>
      </c>
      <c r="I461" s="185">
        <v>0.01</v>
      </c>
      <c r="J461" s="186">
        <v>2E-3</v>
      </c>
      <c r="K461" s="203"/>
      <c r="L461" s="188"/>
      <c r="M461" s="189" t="s">
        <v>13</v>
      </c>
      <c r="N461" s="189" t="s">
        <v>199</v>
      </c>
      <c r="O461" s="190" t="s">
        <v>2689</v>
      </c>
      <c r="P461" s="35">
        <v>45883</v>
      </c>
      <c r="Q461" s="22"/>
    </row>
    <row r="462" spans="1:17" s="234" customFormat="1" ht="45">
      <c r="A462" s="27" t="s">
        <v>58</v>
      </c>
      <c r="B462" s="39">
        <v>8423</v>
      </c>
      <c r="C462" s="183" t="s">
        <v>33</v>
      </c>
      <c r="D462" s="184">
        <v>7545</v>
      </c>
      <c r="E462" s="26">
        <v>45870</v>
      </c>
      <c r="F462" s="26">
        <v>45900</v>
      </c>
      <c r="G462" s="247" t="s">
        <v>1358</v>
      </c>
      <c r="H462" s="34" t="s">
        <v>197</v>
      </c>
      <c r="I462" s="185">
        <v>0.01</v>
      </c>
      <c r="J462" s="186" t="s">
        <v>2420</v>
      </c>
      <c r="K462" s="203"/>
      <c r="L462" s="188"/>
      <c r="M462" s="189" t="s">
        <v>13</v>
      </c>
      <c r="N462" s="189" t="s">
        <v>199</v>
      </c>
      <c r="O462" s="190" t="s">
        <v>2689</v>
      </c>
      <c r="P462" s="35">
        <v>45883</v>
      </c>
      <c r="Q462" s="22"/>
    </row>
    <row r="463" spans="1:17" s="234" customFormat="1" ht="45">
      <c r="A463" s="27" t="s">
        <v>59</v>
      </c>
      <c r="B463" s="39">
        <v>8343</v>
      </c>
      <c r="C463" s="183" t="s">
        <v>33</v>
      </c>
      <c r="D463" s="184">
        <v>7677</v>
      </c>
      <c r="E463" s="26">
        <v>45870</v>
      </c>
      <c r="F463" s="26">
        <v>45900</v>
      </c>
      <c r="G463" s="22" t="s">
        <v>128</v>
      </c>
      <c r="H463" s="34" t="s">
        <v>197</v>
      </c>
      <c r="I463" s="185">
        <v>0.01</v>
      </c>
      <c r="J463" s="186">
        <v>2E-3</v>
      </c>
      <c r="K463" s="203"/>
      <c r="L463" s="188"/>
      <c r="M463" s="189" t="s">
        <v>13</v>
      </c>
      <c r="N463" s="189" t="s">
        <v>199</v>
      </c>
      <c r="O463" s="190" t="s">
        <v>2689</v>
      </c>
      <c r="P463" s="35">
        <v>45883</v>
      </c>
      <c r="Q463" s="22"/>
    </row>
    <row r="464" spans="1:17" s="234" customFormat="1" ht="45">
      <c r="A464" s="27" t="s">
        <v>58</v>
      </c>
      <c r="B464" s="39">
        <v>8432</v>
      </c>
      <c r="C464" s="183" t="s">
        <v>33</v>
      </c>
      <c r="D464" s="184">
        <v>11850</v>
      </c>
      <c r="E464" s="26">
        <v>45870</v>
      </c>
      <c r="F464" s="26">
        <v>45900</v>
      </c>
      <c r="G464" s="247" t="s">
        <v>2690</v>
      </c>
      <c r="H464" s="34" t="s">
        <v>197</v>
      </c>
      <c r="I464" s="185">
        <v>20000</v>
      </c>
      <c r="J464" s="186">
        <v>2E-3</v>
      </c>
      <c r="K464" s="203"/>
      <c r="L464" s="188"/>
      <c r="M464" s="189" t="s">
        <v>13</v>
      </c>
      <c r="N464" s="189" t="s">
        <v>199</v>
      </c>
      <c r="O464" s="190" t="s">
        <v>2689</v>
      </c>
      <c r="P464" s="35">
        <v>45883</v>
      </c>
      <c r="Q464" s="22"/>
    </row>
    <row r="465" spans="1:17" s="234" customFormat="1" ht="45">
      <c r="A465" s="27" t="s">
        <v>58</v>
      </c>
      <c r="B465" s="39">
        <v>8441</v>
      </c>
      <c r="C465" s="183" t="s">
        <v>33</v>
      </c>
      <c r="D465" s="184">
        <v>16024</v>
      </c>
      <c r="E465" s="26">
        <v>45870</v>
      </c>
      <c r="F465" s="26">
        <v>45900</v>
      </c>
      <c r="G465" s="247" t="s">
        <v>203</v>
      </c>
      <c r="H465" s="34" t="s">
        <v>197</v>
      </c>
      <c r="I465" s="185">
        <v>10000</v>
      </c>
      <c r="J465" s="186">
        <v>4.0000000000000001E-3</v>
      </c>
      <c r="K465" s="203"/>
      <c r="L465" s="188"/>
      <c r="M465" s="189" t="s">
        <v>13</v>
      </c>
      <c r="N465" s="189" t="s">
        <v>199</v>
      </c>
      <c r="O465" s="190" t="s">
        <v>2689</v>
      </c>
      <c r="P465" s="35">
        <v>45883</v>
      </c>
      <c r="Q465" s="22"/>
    </row>
    <row r="466" spans="1:17" s="234" customFormat="1" ht="45">
      <c r="A466" s="27" t="s">
        <v>58</v>
      </c>
      <c r="B466" s="39">
        <v>8368</v>
      </c>
      <c r="C466" s="183" t="s">
        <v>33</v>
      </c>
      <c r="D466" s="184">
        <v>16024</v>
      </c>
      <c r="E466" s="26">
        <v>45870</v>
      </c>
      <c r="F466" s="26">
        <v>45900</v>
      </c>
      <c r="G466" s="247" t="s">
        <v>2221</v>
      </c>
      <c r="H466" s="34" t="s">
        <v>197</v>
      </c>
      <c r="I466" s="185">
        <v>10000</v>
      </c>
      <c r="J466" s="186">
        <v>2E-3</v>
      </c>
      <c r="K466" s="203"/>
      <c r="L466" s="188"/>
      <c r="M466" s="189" t="s">
        <v>13</v>
      </c>
      <c r="N466" s="189" t="s">
        <v>199</v>
      </c>
      <c r="O466" s="190" t="s">
        <v>2689</v>
      </c>
      <c r="P466" s="35">
        <v>45883</v>
      </c>
      <c r="Q466" s="22"/>
    </row>
    <row r="467" spans="1:17" s="234" customFormat="1" ht="45">
      <c r="A467" s="27" t="s">
        <v>58</v>
      </c>
      <c r="B467" s="39">
        <v>8433</v>
      </c>
      <c r="C467" s="183" t="s">
        <v>33</v>
      </c>
      <c r="D467" s="184">
        <v>16235</v>
      </c>
      <c r="E467" s="26">
        <v>45870</v>
      </c>
      <c r="F467" s="26">
        <v>45900</v>
      </c>
      <c r="G467" s="247" t="s">
        <v>2690</v>
      </c>
      <c r="H467" s="34" t="s">
        <v>197</v>
      </c>
      <c r="I467" s="185">
        <v>1000</v>
      </c>
      <c r="J467" s="186">
        <v>2E-3</v>
      </c>
      <c r="K467" s="203"/>
      <c r="L467" s="188"/>
      <c r="M467" s="189" t="s">
        <v>13</v>
      </c>
      <c r="N467" s="189" t="s">
        <v>199</v>
      </c>
      <c r="O467" s="190" t="s">
        <v>2689</v>
      </c>
      <c r="P467" s="35">
        <v>45883</v>
      </c>
      <c r="Q467" s="22"/>
    </row>
    <row r="468" spans="1:17" s="234" customFormat="1" ht="45">
      <c r="A468" s="27" t="s">
        <v>58</v>
      </c>
      <c r="B468" s="39">
        <v>8424</v>
      </c>
      <c r="C468" s="183" t="s">
        <v>33</v>
      </c>
      <c r="D468" s="184">
        <v>16628</v>
      </c>
      <c r="E468" s="26">
        <v>45870</v>
      </c>
      <c r="F468" s="26">
        <v>45900</v>
      </c>
      <c r="G468" s="247" t="s">
        <v>1358</v>
      </c>
      <c r="H468" s="34" t="s">
        <v>197</v>
      </c>
      <c r="I468" s="185">
        <v>0.01</v>
      </c>
      <c r="J468" s="186" t="s">
        <v>2420</v>
      </c>
      <c r="K468" s="203"/>
      <c r="L468" s="188"/>
      <c r="M468" s="189" t="s">
        <v>13</v>
      </c>
      <c r="N468" s="189" t="s">
        <v>199</v>
      </c>
      <c r="O468" s="190" t="s">
        <v>2689</v>
      </c>
      <c r="P468" s="35">
        <v>45883</v>
      </c>
      <c r="Q468" s="22"/>
    </row>
    <row r="469" spans="1:17" s="234" customFormat="1" ht="45">
      <c r="A469" s="27" t="s">
        <v>58</v>
      </c>
      <c r="B469" s="39">
        <v>8425</v>
      </c>
      <c r="C469" s="183" t="s">
        <v>33</v>
      </c>
      <c r="D469" s="184">
        <v>16628</v>
      </c>
      <c r="E469" s="26">
        <v>45870</v>
      </c>
      <c r="F469" s="26">
        <v>45900</v>
      </c>
      <c r="G469" s="247" t="s">
        <v>1358</v>
      </c>
      <c r="H469" s="34" t="s">
        <v>197</v>
      </c>
      <c r="I469" s="185">
        <v>0.01</v>
      </c>
      <c r="J469" s="186" t="s">
        <v>2420</v>
      </c>
      <c r="K469" s="203"/>
      <c r="L469" s="188"/>
      <c r="M469" s="189" t="s">
        <v>13</v>
      </c>
      <c r="N469" s="189" t="s">
        <v>199</v>
      </c>
      <c r="O469" s="190" t="s">
        <v>2689</v>
      </c>
      <c r="P469" s="35">
        <v>45883</v>
      </c>
      <c r="Q469" s="22"/>
    </row>
    <row r="470" spans="1:17" s="234" customFormat="1" ht="45">
      <c r="A470" s="27" t="s">
        <v>59</v>
      </c>
      <c r="B470" s="39">
        <v>8344</v>
      </c>
      <c r="C470" s="183" t="s">
        <v>33</v>
      </c>
      <c r="D470" s="184">
        <v>17023</v>
      </c>
      <c r="E470" s="26">
        <v>45870</v>
      </c>
      <c r="F470" s="26">
        <v>45900</v>
      </c>
      <c r="G470" s="22" t="s">
        <v>128</v>
      </c>
      <c r="H470" s="34" t="s">
        <v>197</v>
      </c>
      <c r="I470" s="185">
        <v>1000</v>
      </c>
      <c r="J470" s="186">
        <v>2E-3</v>
      </c>
      <c r="K470" s="203"/>
      <c r="L470" s="188"/>
      <c r="M470" s="189" t="s">
        <v>13</v>
      </c>
      <c r="N470" s="189" t="s">
        <v>199</v>
      </c>
      <c r="O470" s="190" t="s">
        <v>2689</v>
      </c>
      <c r="P470" s="35">
        <v>45883</v>
      </c>
      <c r="Q470" s="22"/>
    </row>
    <row r="471" spans="1:17" s="234" customFormat="1" ht="45">
      <c r="A471" s="27" t="s">
        <v>58</v>
      </c>
      <c r="B471" s="39">
        <v>8443</v>
      </c>
      <c r="C471" s="183" t="s">
        <v>33</v>
      </c>
      <c r="D471" s="184">
        <v>17396</v>
      </c>
      <c r="E471" s="26">
        <v>45870</v>
      </c>
      <c r="F471" s="26">
        <v>45900</v>
      </c>
      <c r="G471" s="247" t="s">
        <v>2435</v>
      </c>
      <c r="H471" s="34" t="s">
        <v>197</v>
      </c>
      <c r="I471" s="185">
        <v>0.01</v>
      </c>
      <c r="J471" s="186">
        <v>2E-3</v>
      </c>
      <c r="K471" s="203"/>
      <c r="L471" s="188"/>
      <c r="M471" s="189" t="s">
        <v>13</v>
      </c>
      <c r="N471" s="189" t="s">
        <v>199</v>
      </c>
      <c r="O471" s="190" t="s">
        <v>2689</v>
      </c>
      <c r="P471" s="35">
        <v>45883</v>
      </c>
      <c r="Q471" s="22"/>
    </row>
    <row r="472" spans="1:17" s="234" customFormat="1" ht="45">
      <c r="A472" s="27" t="s">
        <v>58</v>
      </c>
      <c r="B472" s="39">
        <v>8442</v>
      </c>
      <c r="C472" s="183" t="s">
        <v>33</v>
      </c>
      <c r="D472" s="184">
        <v>17396</v>
      </c>
      <c r="E472" s="26">
        <v>45870</v>
      </c>
      <c r="F472" s="26">
        <v>45900</v>
      </c>
      <c r="G472" s="247" t="s">
        <v>2436</v>
      </c>
      <c r="H472" s="34" t="s">
        <v>197</v>
      </c>
      <c r="I472" s="185">
        <v>0.01</v>
      </c>
      <c r="J472" s="186">
        <v>2E-3</v>
      </c>
      <c r="K472" s="203"/>
      <c r="L472" s="188"/>
      <c r="M472" s="189" t="s">
        <v>13</v>
      </c>
      <c r="N472" s="189" t="s">
        <v>199</v>
      </c>
      <c r="O472" s="190" t="s">
        <v>2689</v>
      </c>
      <c r="P472" s="35">
        <v>45883</v>
      </c>
      <c r="Q472" s="22"/>
    </row>
    <row r="473" spans="1:17" s="234" customFormat="1" ht="45">
      <c r="A473" s="27" t="s">
        <v>58</v>
      </c>
      <c r="B473" s="39">
        <v>8426</v>
      </c>
      <c r="C473" s="183" t="s">
        <v>33</v>
      </c>
      <c r="D473" s="184">
        <v>17396</v>
      </c>
      <c r="E473" s="26">
        <v>45870</v>
      </c>
      <c r="F473" s="26">
        <v>45900</v>
      </c>
      <c r="G473" s="247" t="s">
        <v>1358</v>
      </c>
      <c r="H473" s="34" t="s">
        <v>197</v>
      </c>
      <c r="I473" s="185">
        <v>0.01</v>
      </c>
      <c r="J473" s="186" t="s">
        <v>2420</v>
      </c>
      <c r="K473" s="203"/>
      <c r="L473" s="188"/>
      <c r="M473" s="189" t="s">
        <v>13</v>
      </c>
      <c r="N473" s="189" t="s">
        <v>199</v>
      </c>
      <c r="O473" s="190" t="s">
        <v>2689</v>
      </c>
      <c r="P473" s="35">
        <v>45883</v>
      </c>
      <c r="Q473" s="22"/>
    </row>
    <row r="474" spans="1:17" s="234" customFormat="1" ht="45">
      <c r="A474" s="27" t="s">
        <v>59</v>
      </c>
      <c r="B474" s="39">
        <v>8345</v>
      </c>
      <c r="C474" s="183" t="s">
        <v>33</v>
      </c>
      <c r="D474" s="184">
        <v>17875</v>
      </c>
      <c r="E474" s="26">
        <v>45870</v>
      </c>
      <c r="F474" s="26">
        <v>45900</v>
      </c>
      <c r="G474" s="22" t="s">
        <v>128</v>
      </c>
      <c r="H474" s="34" t="s">
        <v>197</v>
      </c>
      <c r="I474" s="185">
        <v>10000</v>
      </c>
      <c r="J474" s="186">
        <v>2E-3</v>
      </c>
      <c r="K474" s="203"/>
      <c r="L474" s="188"/>
      <c r="M474" s="189" t="s">
        <v>13</v>
      </c>
      <c r="N474" s="189" t="s">
        <v>199</v>
      </c>
      <c r="O474" s="190" t="s">
        <v>2689</v>
      </c>
      <c r="P474" s="35">
        <v>45883</v>
      </c>
      <c r="Q474" s="22"/>
    </row>
    <row r="475" spans="1:17" s="234" customFormat="1" ht="45">
      <c r="A475" s="27" t="s">
        <v>58</v>
      </c>
      <c r="B475" s="39">
        <v>8434</v>
      </c>
      <c r="C475" s="183" t="s">
        <v>33</v>
      </c>
      <c r="D475" s="184">
        <v>7157</v>
      </c>
      <c r="E475" s="26">
        <v>45870</v>
      </c>
      <c r="F475" s="26">
        <v>45900</v>
      </c>
      <c r="G475" s="247" t="s">
        <v>2691</v>
      </c>
      <c r="H475" s="34" t="s">
        <v>197</v>
      </c>
      <c r="I475" s="185">
        <v>1000</v>
      </c>
      <c r="J475" s="186">
        <v>1E-3</v>
      </c>
      <c r="K475" s="203"/>
      <c r="L475" s="188"/>
      <c r="M475" s="189" t="s">
        <v>13</v>
      </c>
      <c r="N475" s="189" t="s">
        <v>199</v>
      </c>
      <c r="O475" s="190" t="s">
        <v>2689</v>
      </c>
      <c r="P475" s="35">
        <v>45883</v>
      </c>
      <c r="Q475" s="22"/>
    </row>
    <row r="476" spans="1:17" s="234" customFormat="1" ht="90">
      <c r="A476" s="27" t="s">
        <v>59</v>
      </c>
      <c r="B476" s="39">
        <v>8354</v>
      </c>
      <c r="C476" s="183" t="s">
        <v>33</v>
      </c>
      <c r="D476" s="184">
        <v>14926</v>
      </c>
      <c r="E476" s="26">
        <v>45870</v>
      </c>
      <c r="F476" s="26">
        <v>45900</v>
      </c>
      <c r="G476" s="258" t="s">
        <v>2693</v>
      </c>
      <c r="H476" s="34" t="s">
        <v>11</v>
      </c>
      <c r="I476" s="185">
        <v>0.01</v>
      </c>
      <c r="J476" s="186">
        <v>1E-3</v>
      </c>
      <c r="K476" s="237"/>
      <c r="L476" s="188"/>
      <c r="M476" s="189" t="s">
        <v>101</v>
      </c>
      <c r="N476" s="189" t="s">
        <v>169</v>
      </c>
      <c r="O476" s="190" t="s">
        <v>2692</v>
      </c>
      <c r="P476" s="35">
        <v>45881</v>
      </c>
      <c r="Q476" s="22"/>
    </row>
    <row r="477" spans="1:17" s="234" customFormat="1" ht="90">
      <c r="A477" s="27" t="s">
        <v>59</v>
      </c>
      <c r="B477" s="39">
        <v>8355</v>
      </c>
      <c r="C477" s="183" t="s">
        <v>33</v>
      </c>
      <c r="D477" s="184">
        <v>13215</v>
      </c>
      <c r="E477" s="26">
        <v>45870</v>
      </c>
      <c r="F477" s="26">
        <v>45900</v>
      </c>
      <c r="G477" s="258" t="s">
        <v>2693</v>
      </c>
      <c r="H477" s="34" t="s">
        <v>11</v>
      </c>
      <c r="I477" s="185">
        <v>0.01</v>
      </c>
      <c r="J477" s="186">
        <v>1E-3</v>
      </c>
      <c r="K477" s="237"/>
      <c r="L477" s="188"/>
      <c r="M477" s="189" t="s">
        <v>101</v>
      </c>
      <c r="N477" s="189" t="s">
        <v>169</v>
      </c>
      <c r="O477" s="190" t="s">
        <v>2692</v>
      </c>
      <c r="P477" s="35">
        <v>45881</v>
      </c>
      <c r="Q477" s="22"/>
    </row>
    <row r="478" spans="1:17" s="234" customFormat="1" ht="90">
      <c r="A478" s="27" t="s">
        <v>59</v>
      </c>
      <c r="B478" s="39">
        <v>8356</v>
      </c>
      <c r="C478" s="183" t="s">
        <v>33</v>
      </c>
      <c r="D478" s="184">
        <v>16354</v>
      </c>
      <c r="E478" s="26">
        <v>45870</v>
      </c>
      <c r="F478" s="26">
        <v>45900</v>
      </c>
      <c r="G478" s="258" t="s">
        <v>2693</v>
      </c>
      <c r="H478" s="34" t="s">
        <v>11</v>
      </c>
      <c r="I478" s="185">
        <v>0.01</v>
      </c>
      <c r="J478" s="186">
        <v>1E-3</v>
      </c>
      <c r="K478" s="237"/>
      <c r="L478" s="188"/>
      <c r="M478" s="189" t="s">
        <v>101</v>
      </c>
      <c r="N478" s="189" t="s">
        <v>169</v>
      </c>
      <c r="O478" s="190" t="s">
        <v>2692</v>
      </c>
      <c r="P478" s="35">
        <v>45881</v>
      </c>
      <c r="Q478" s="22"/>
    </row>
    <row r="479" spans="1:17" s="234" customFormat="1" ht="90">
      <c r="A479" s="27" t="s">
        <v>59</v>
      </c>
      <c r="B479" s="39">
        <v>8357</v>
      </c>
      <c r="C479" s="183" t="s">
        <v>33</v>
      </c>
      <c r="D479" s="184">
        <v>14786</v>
      </c>
      <c r="E479" s="26">
        <v>45870</v>
      </c>
      <c r="F479" s="26">
        <v>45900</v>
      </c>
      <c r="G479" s="258" t="s">
        <v>2693</v>
      </c>
      <c r="H479" s="34" t="s">
        <v>11</v>
      </c>
      <c r="I479" s="185">
        <v>20000</v>
      </c>
      <c r="J479" s="186">
        <v>1E-3</v>
      </c>
      <c r="K479" s="237"/>
      <c r="L479" s="188"/>
      <c r="M479" s="189" t="s">
        <v>101</v>
      </c>
      <c r="N479" s="189" t="s">
        <v>169</v>
      </c>
      <c r="O479" s="190" t="s">
        <v>2692</v>
      </c>
      <c r="P479" s="35">
        <v>45881</v>
      </c>
      <c r="Q479" s="22"/>
    </row>
    <row r="480" spans="1:17" s="234" customFormat="1" ht="90">
      <c r="A480" s="27" t="s">
        <v>59</v>
      </c>
      <c r="B480" s="39">
        <v>8358</v>
      </c>
      <c r="C480" s="183" t="s">
        <v>33</v>
      </c>
      <c r="D480" s="184">
        <v>16431</v>
      </c>
      <c r="E480" s="26">
        <v>45870</v>
      </c>
      <c r="F480" s="26">
        <v>45900</v>
      </c>
      <c r="G480" s="258" t="s">
        <v>2693</v>
      </c>
      <c r="H480" s="34" t="s">
        <v>11</v>
      </c>
      <c r="I480" s="185">
        <v>10000</v>
      </c>
      <c r="J480" s="186">
        <v>1E-3</v>
      </c>
      <c r="K480" s="237"/>
      <c r="L480" s="188"/>
      <c r="M480" s="189" t="s">
        <v>101</v>
      </c>
      <c r="N480" s="189" t="s">
        <v>169</v>
      </c>
      <c r="O480" s="190" t="s">
        <v>2692</v>
      </c>
      <c r="P480" s="35">
        <v>45881</v>
      </c>
      <c r="Q480" s="22"/>
    </row>
    <row r="481" spans="1:17" s="234" customFormat="1" ht="90">
      <c r="A481" s="27" t="s">
        <v>59</v>
      </c>
      <c r="B481" s="39">
        <v>8359</v>
      </c>
      <c r="C481" s="183" t="s">
        <v>33</v>
      </c>
      <c r="D481" s="184">
        <v>16742</v>
      </c>
      <c r="E481" s="26">
        <v>45870</v>
      </c>
      <c r="F481" s="26">
        <v>45900</v>
      </c>
      <c r="G481" s="258" t="s">
        <v>2693</v>
      </c>
      <c r="H481" s="34" t="s">
        <v>11</v>
      </c>
      <c r="I481" s="185">
        <v>10000</v>
      </c>
      <c r="J481" s="186">
        <v>1E-3</v>
      </c>
      <c r="K481" s="237"/>
      <c r="L481" s="188"/>
      <c r="M481" s="189" t="s">
        <v>101</v>
      </c>
      <c r="N481" s="189" t="s">
        <v>169</v>
      </c>
      <c r="O481" s="190" t="s">
        <v>2692</v>
      </c>
      <c r="P481" s="35">
        <v>45881</v>
      </c>
      <c r="Q481" s="22"/>
    </row>
    <row r="482" spans="1:17" s="234" customFormat="1" ht="90">
      <c r="A482" s="27" t="s">
        <v>59</v>
      </c>
      <c r="B482" s="39">
        <v>8360</v>
      </c>
      <c r="C482" s="183" t="s">
        <v>33</v>
      </c>
      <c r="D482" s="184">
        <v>15814</v>
      </c>
      <c r="E482" s="26">
        <v>45870</v>
      </c>
      <c r="F482" s="26">
        <v>45900</v>
      </c>
      <c r="G482" s="258" t="s">
        <v>2693</v>
      </c>
      <c r="H482" s="34" t="s">
        <v>11</v>
      </c>
      <c r="I482" s="185">
        <v>1000</v>
      </c>
      <c r="J482" s="186">
        <v>1E-3</v>
      </c>
      <c r="K482" s="237"/>
      <c r="L482" s="188"/>
      <c r="M482" s="189" t="s">
        <v>101</v>
      </c>
      <c r="N482" s="189" t="s">
        <v>169</v>
      </c>
      <c r="O482" s="190" t="s">
        <v>2692</v>
      </c>
      <c r="P482" s="35">
        <v>45881</v>
      </c>
      <c r="Q482" s="22"/>
    </row>
    <row r="483" spans="1:17" s="234" customFormat="1" ht="90">
      <c r="A483" s="27" t="s">
        <v>59</v>
      </c>
      <c r="B483" s="39">
        <v>8361</v>
      </c>
      <c r="C483" s="183" t="s">
        <v>33</v>
      </c>
      <c r="D483" s="184">
        <v>15660</v>
      </c>
      <c r="E483" s="26">
        <v>45870</v>
      </c>
      <c r="F483" s="26">
        <v>45900</v>
      </c>
      <c r="G483" s="258" t="s">
        <v>2693</v>
      </c>
      <c r="H483" s="34" t="s">
        <v>11</v>
      </c>
      <c r="I483" s="185">
        <v>0.01</v>
      </c>
      <c r="J483" s="186">
        <v>1E-3</v>
      </c>
      <c r="K483" s="237"/>
      <c r="L483" s="188"/>
      <c r="M483" s="189" t="s">
        <v>101</v>
      </c>
      <c r="N483" s="189" t="s">
        <v>169</v>
      </c>
      <c r="O483" s="190" t="s">
        <v>2692</v>
      </c>
      <c r="P483" s="35">
        <v>45881</v>
      </c>
      <c r="Q483" s="22"/>
    </row>
    <row r="484" spans="1:17" s="234" customFormat="1" ht="90">
      <c r="A484" s="27" t="s">
        <v>59</v>
      </c>
      <c r="B484" s="39">
        <v>8362</v>
      </c>
      <c r="C484" s="183" t="s">
        <v>33</v>
      </c>
      <c r="D484" s="184">
        <v>16099</v>
      </c>
      <c r="E484" s="26">
        <v>45870</v>
      </c>
      <c r="F484" s="26">
        <v>45900</v>
      </c>
      <c r="G484" s="258" t="s">
        <v>2693</v>
      </c>
      <c r="H484" s="34" t="s">
        <v>11</v>
      </c>
      <c r="I484" s="185">
        <v>0.01</v>
      </c>
      <c r="J484" s="186">
        <v>1E-3</v>
      </c>
      <c r="K484" s="237"/>
      <c r="L484" s="188"/>
      <c r="M484" s="189" t="s">
        <v>101</v>
      </c>
      <c r="N484" s="189" t="s">
        <v>169</v>
      </c>
      <c r="O484" s="190" t="s">
        <v>2692</v>
      </c>
      <c r="P484" s="35">
        <v>45881</v>
      </c>
      <c r="Q484" s="22"/>
    </row>
    <row r="485" spans="1:17" s="234" customFormat="1" ht="90">
      <c r="A485" s="27" t="s">
        <v>59</v>
      </c>
      <c r="B485" s="39">
        <v>8363</v>
      </c>
      <c r="C485" s="183" t="s">
        <v>33</v>
      </c>
      <c r="D485" s="184">
        <v>15202</v>
      </c>
      <c r="E485" s="26">
        <v>45870</v>
      </c>
      <c r="F485" s="26">
        <v>45900</v>
      </c>
      <c r="G485" s="258" t="s">
        <v>2693</v>
      </c>
      <c r="H485" s="34" t="s">
        <v>11</v>
      </c>
      <c r="I485" s="185">
        <v>1000</v>
      </c>
      <c r="J485" s="186">
        <v>1E-3</v>
      </c>
      <c r="K485" s="237"/>
      <c r="L485" s="188"/>
      <c r="M485" s="189" t="s">
        <v>101</v>
      </c>
      <c r="N485" s="189" t="s">
        <v>169</v>
      </c>
      <c r="O485" s="190" t="s">
        <v>2692</v>
      </c>
      <c r="P485" s="35">
        <v>45881</v>
      </c>
      <c r="Q485" s="22"/>
    </row>
    <row r="486" spans="1:17" s="234" customFormat="1" ht="90">
      <c r="A486" s="27" t="s">
        <v>59</v>
      </c>
      <c r="B486" s="39">
        <v>8365</v>
      </c>
      <c r="C486" s="183" t="s">
        <v>33</v>
      </c>
      <c r="D486" s="184">
        <v>15813</v>
      </c>
      <c r="E486" s="26">
        <v>45870</v>
      </c>
      <c r="F486" s="26">
        <v>45900</v>
      </c>
      <c r="G486" s="258" t="s">
        <v>2693</v>
      </c>
      <c r="H486" s="34" t="s">
        <v>11</v>
      </c>
      <c r="I486" s="185">
        <v>0.01</v>
      </c>
      <c r="J486" s="186">
        <v>1E-3</v>
      </c>
      <c r="K486" s="237"/>
      <c r="L486" s="188"/>
      <c r="M486" s="189" t="s">
        <v>101</v>
      </c>
      <c r="N486" s="189" t="s">
        <v>169</v>
      </c>
      <c r="O486" s="190" t="s">
        <v>2692</v>
      </c>
      <c r="P486" s="35">
        <v>45881</v>
      </c>
      <c r="Q486" s="22"/>
    </row>
    <row r="487" spans="1:17" s="234" customFormat="1" ht="90">
      <c r="A487" s="27" t="s">
        <v>59</v>
      </c>
      <c r="B487" s="39">
        <v>8366</v>
      </c>
      <c r="C487" s="183" t="s">
        <v>33</v>
      </c>
      <c r="D487" s="184">
        <v>16057</v>
      </c>
      <c r="E487" s="26">
        <v>45870</v>
      </c>
      <c r="F487" s="26">
        <v>45900</v>
      </c>
      <c r="G487" s="258" t="s">
        <v>2693</v>
      </c>
      <c r="H487" s="34" t="s">
        <v>11</v>
      </c>
      <c r="I487" s="185">
        <v>0.01</v>
      </c>
      <c r="J487" s="186">
        <v>1E-3</v>
      </c>
      <c r="K487" s="237"/>
      <c r="L487" s="188"/>
      <c r="M487" s="189" t="s">
        <v>101</v>
      </c>
      <c r="N487" s="189" t="s">
        <v>169</v>
      </c>
      <c r="O487" s="190" t="s">
        <v>2692</v>
      </c>
      <c r="P487" s="35">
        <v>45881</v>
      </c>
      <c r="Q487" s="22"/>
    </row>
    <row r="488" spans="1:17" s="234" customFormat="1" ht="90">
      <c r="A488" s="27" t="s">
        <v>59</v>
      </c>
      <c r="B488" s="39">
        <v>8367</v>
      </c>
      <c r="C488" s="183" t="s">
        <v>33</v>
      </c>
      <c r="D488" s="184">
        <v>17430</v>
      </c>
      <c r="E488" s="26">
        <v>45870</v>
      </c>
      <c r="F488" s="26">
        <v>45900</v>
      </c>
      <c r="G488" s="258" t="s">
        <v>2693</v>
      </c>
      <c r="H488" s="34" t="s">
        <v>11</v>
      </c>
      <c r="I488" s="185">
        <v>10000</v>
      </c>
      <c r="J488" s="186">
        <v>1E-3</v>
      </c>
      <c r="K488" s="237"/>
      <c r="L488" s="188"/>
      <c r="M488" s="189" t="s">
        <v>101</v>
      </c>
      <c r="N488" s="189" t="s">
        <v>169</v>
      </c>
      <c r="O488" s="190" t="s">
        <v>2692</v>
      </c>
      <c r="P488" s="35">
        <v>45881</v>
      </c>
      <c r="Q488" s="22"/>
    </row>
    <row r="489" spans="1:17" s="234" customFormat="1" ht="45">
      <c r="A489" s="27" t="s">
        <v>59</v>
      </c>
      <c r="B489" s="39">
        <v>8346</v>
      </c>
      <c r="C489" s="183" t="s">
        <v>33</v>
      </c>
      <c r="D489" s="184">
        <v>16905</v>
      </c>
      <c r="E489" s="26">
        <v>45870</v>
      </c>
      <c r="F489" s="26">
        <v>45900</v>
      </c>
      <c r="G489" s="22" t="s">
        <v>107</v>
      </c>
      <c r="H489" s="34" t="s">
        <v>11</v>
      </c>
      <c r="I489" s="185">
        <v>0.01</v>
      </c>
      <c r="J489" s="186">
        <v>4.0000000000000001E-3</v>
      </c>
      <c r="K489" s="203"/>
      <c r="L489" s="188"/>
      <c r="M489" s="189" t="s">
        <v>13</v>
      </c>
      <c r="N489" s="189" t="s">
        <v>2377</v>
      </c>
      <c r="O489" s="190" t="s">
        <v>2694</v>
      </c>
      <c r="P489" s="35">
        <v>45877</v>
      </c>
      <c r="Q489" s="22"/>
    </row>
    <row r="490" spans="1:17" s="234" customFormat="1" ht="45">
      <c r="A490" s="27" t="s">
        <v>59</v>
      </c>
      <c r="B490" s="39">
        <v>8347</v>
      </c>
      <c r="C490" s="183" t="s">
        <v>33</v>
      </c>
      <c r="D490" s="184">
        <v>16955</v>
      </c>
      <c r="E490" s="26">
        <v>45870</v>
      </c>
      <c r="F490" s="26">
        <v>45900</v>
      </c>
      <c r="G490" s="22" t="s">
        <v>107</v>
      </c>
      <c r="H490" s="34" t="s">
        <v>11</v>
      </c>
      <c r="I490" s="185">
        <v>0.01</v>
      </c>
      <c r="J490" s="186">
        <v>4.0000000000000001E-3</v>
      </c>
      <c r="K490" s="203"/>
      <c r="L490" s="188"/>
      <c r="M490" s="189" t="s">
        <v>13</v>
      </c>
      <c r="N490" s="189" t="s">
        <v>2377</v>
      </c>
      <c r="O490" s="190" t="s">
        <v>2694</v>
      </c>
      <c r="P490" s="35">
        <v>45877</v>
      </c>
      <c r="Q490" s="22"/>
    </row>
    <row r="491" spans="1:17" s="234" customFormat="1" ht="45">
      <c r="A491" s="27" t="s">
        <v>59</v>
      </c>
      <c r="B491" s="39">
        <v>8348</v>
      </c>
      <c r="C491" s="183" t="s">
        <v>33</v>
      </c>
      <c r="D491" s="184">
        <v>15741</v>
      </c>
      <c r="E491" s="26">
        <v>45870</v>
      </c>
      <c r="F491" s="26">
        <v>45900</v>
      </c>
      <c r="G491" s="22" t="s">
        <v>107</v>
      </c>
      <c r="H491" s="34" t="s">
        <v>11</v>
      </c>
      <c r="I491" s="185">
        <v>0.01</v>
      </c>
      <c r="J491" s="186">
        <v>4.0000000000000001E-3</v>
      </c>
      <c r="K491" s="203"/>
      <c r="L491" s="188"/>
      <c r="M491" s="189" t="s">
        <v>13</v>
      </c>
      <c r="N491" s="189" t="s">
        <v>2377</v>
      </c>
      <c r="O491" s="190" t="s">
        <v>2694</v>
      </c>
      <c r="P491" s="35">
        <v>45877</v>
      </c>
      <c r="Q491" s="22"/>
    </row>
    <row r="492" spans="1:17" s="234" customFormat="1" ht="45">
      <c r="A492" s="27" t="s">
        <v>59</v>
      </c>
      <c r="B492" s="39">
        <v>8349</v>
      </c>
      <c r="C492" s="183" t="s">
        <v>33</v>
      </c>
      <c r="D492" s="184">
        <v>11177</v>
      </c>
      <c r="E492" s="26">
        <v>45870</v>
      </c>
      <c r="F492" s="26">
        <v>45900</v>
      </c>
      <c r="G492" s="22" t="s">
        <v>107</v>
      </c>
      <c r="H492" s="34" t="s">
        <v>11</v>
      </c>
      <c r="I492" s="185">
        <v>0.01</v>
      </c>
      <c r="J492" s="186">
        <v>4.0000000000000001E-3</v>
      </c>
      <c r="K492" s="203"/>
      <c r="L492" s="188"/>
      <c r="M492" s="189" t="s">
        <v>13</v>
      </c>
      <c r="N492" s="189" t="s">
        <v>2377</v>
      </c>
      <c r="O492" s="190" t="s">
        <v>2694</v>
      </c>
      <c r="P492" s="35">
        <v>45877</v>
      </c>
      <c r="Q492" s="22"/>
    </row>
    <row r="493" spans="1:17" s="234" customFormat="1" ht="45">
      <c r="A493" s="27" t="s">
        <v>59</v>
      </c>
      <c r="B493" s="39">
        <v>8350</v>
      </c>
      <c r="C493" s="183" t="s">
        <v>33</v>
      </c>
      <c r="D493" s="184">
        <v>17856</v>
      </c>
      <c r="E493" s="26">
        <v>45870</v>
      </c>
      <c r="F493" s="26">
        <v>45900</v>
      </c>
      <c r="G493" s="22" t="s">
        <v>107</v>
      </c>
      <c r="H493" s="34" t="s">
        <v>11</v>
      </c>
      <c r="I493" s="185">
        <v>0.01</v>
      </c>
      <c r="J493" s="186">
        <v>4.0000000000000001E-3</v>
      </c>
      <c r="K493" s="203"/>
      <c r="L493" s="188"/>
      <c r="M493" s="189" t="s">
        <v>13</v>
      </c>
      <c r="N493" s="189" t="s">
        <v>2377</v>
      </c>
      <c r="O493" s="190" t="s">
        <v>2694</v>
      </c>
      <c r="P493" s="35">
        <v>45877</v>
      </c>
      <c r="Q493" s="22"/>
    </row>
    <row r="494" spans="1:17" s="234" customFormat="1" ht="45">
      <c r="A494" s="27" t="s">
        <v>58</v>
      </c>
      <c r="B494" s="39">
        <v>8427</v>
      </c>
      <c r="C494" s="183" t="s">
        <v>33</v>
      </c>
      <c r="D494" s="184">
        <v>17974</v>
      </c>
      <c r="E494" s="26">
        <v>45870</v>
      </c>
      <c r="F494" s="26">
        <v>45900</v>
      </c>
      <c r="G494" s="247" t="s">
        <v>1358</v>
      </c>
      <c r="H494" s="34" t="s">
        <v>11</v>
      </c>
      <c r="I494" s="185">
        <v>0.01</v>
      </c>
      <c r="J494" s="186" t="s">
        <v>2420</v>
      </c>
      <c r="K494" s="203"/>
      <c r="L494" s="188"/>
      <c r="M494" s="189" t="s">
        <v>13</v>
      </c>
      <c r="N494" s="189" t="s">
        <v>2377</v>
      </c>
      <c r="O494" s="190" t="s">
        <v>2694</v>
      </c>
      <c r="P494" s="35">
        <v>45877</v>
      </c>
      <c r="Q494" s="22" t="s">
        <v>2771</v>
      </c>
    </row>
    <row r="495" spans="1:17" s="234" customFormat="1" ht="45">
      <c r="A495" s="27" t="s">
        <v>59</v>
      </c>
      <c r="B495" s="39">
        <v>8351</v>
      </c>
      <c r="C495" s="183" t="s">
        <v>33</v>
      </c>
      <c r="D495" s="184">
        <v>17851</v>
      </c>
      <c r="E495" s="26">
        <v>45870</v>
      </c>
      <c r="F495" s="26">
        <v>45900</v>
      </c>
      <c r="G495" s="22" t="s">
        <v>107</v>
      </c>
      <c r="H495" s="34" t="s">
        <v>11</v>
      </c>
      <c r="I495" s="185">
        <v>0.01</v>
      </c>
      <c r="J495" s="186">
        <v>4.0000000000000001E-3</v>
      </c>
      <c r="K495" s="203"/>
      <c r="L495" s="188"/>
      <c r="M495" s="189" t="s">
        <v>13</v>
      </c>
      <c r="N495" s="189" t="s">
        <v>2377</v>
      </c>
      <c r="O495" s="190" t="s">
        <v>2694</v>
      </c>
      <c r="P495" s="35">
        <v>45877</v>
      </c>
      <c r="Q495" s="22"/>
    </row>
    <row r="496" spans="1:17" s="234" customFormat="1" ht="45">
      <c r="A496" s="27" t="s">
        <v>59</v>
      </c>
      <c r="B496" s="39">
        <v>8352</v>
      </c>
      <c r="C496" s="183" t="s">
        <v>33</v>
      </c>
      <c r="D496" s="184">
        <v>16965</v>
      </c>
      <c r="E496" s="26">
        <v>45870</v>
      </c>
      <c r="F496" s="26">
        <v>45900</v>
      </c>
      <c r="G496" s="22" t="s">
        <v>107</v>
      </c>
      <c r="H496" s="34" t="s">
        <v>11</v>
      </c>
      <c r="I496" s="185">
        <v>0.01</v>
      </c>
      <c r="J496" s="186">
        <v>4.0000000000000001E-3</v>
      </c>
      <c r="K496" s="203"/>
      <c r="L496" s="188"/>
      <c r="M496" s="189" t="s">
        <v>13</v>
      </c>
      <c r="N496" s="189" t="s">
        <v>2377</v>
      </c>
      <c r="O496" s="190" t="s">
        <v>2694</v>
      </c>
      <c r="P496" s="35">
        <v>45877</v>
      </c>
      <c r="Q496" s="22"/>
    </row>
    <row r="497" spans="1:17" s="234" customFormat="1" ht="45">
      <c r="A497" s="27" t="s">
        <v>58</v>
      </c>
      <c r="B497" s="39">
        <v>8435</v>
      </c>
      <c r="C497" s="183" t="s">
        <v>33</v>
      </c>
      <c r="D497" s="184">
        <v>12776</v>
      </c>
      <c r="E497" s="26">
        <v>45870</v>
      </c>
      <c r="F497" s="26">
        <v>45900</v>
      </c>
      <c r="G497" s="258" t="s">
        <v>2781</v>
      </c>
      <c r="H497" s="34" t="s">
        <v>11</v>
      </c>
      <c r="I497" s="185">
        <v>0.01</v>
      </c>
      <c r="J497" s="186">
        <v>2E-3</v>
      </c>
      <c r="K497" s="237"/>
      <c r="L497" s="188"/>
      <c r="M497" s="189" t="s">
        <v>14</v>
      </c>
      <c r="N497" s="189" t="s">
        <v>68</v>
      </c>
      <c r="O497" s="190" t="s">
        <v>2695</v>
      </c>
      <c r="P497" s="35">
        <v>45877</v>
      </c>
      <c r="Q497" s="22"/>
    </row>
    <row r="498" spans="1:17" s="234" customFormat="1" ht="45">
      <c r="A498" s="27" t="s">
        <v>58</v>
      </c>
      <c r="B498" s="39">
        <v>8437</v>
      </c>
      <c r="C498" s="183" t="s">
        <v>33</v>
      </c>
      <c r="D498" s="184">
        <v>12288</v>
      </c>
      <c r="E498" s="26">
        <v>45870</v>
      </c>
      <c r="F498" s="26">
        <v>45900</v>
      </c>
      <c r="G498" s="258" t="s">
        <v>2781</v>
      </c>
      <c r="H498" s="34" t="s">
        <v>11</v>
      </c>
      <c r="I498" s="185">
        <v>0.01</v>
      </c>
      <c r="J498" s="186">
        <v>2E-3</v>
      </c>
      <c r="K498" s="237"/>
      <c r="L498" s="188"/>
      <c r="M498" s="189" t="s">
        <v>14</v>
      </c>
      <c r="N498" s="189" t="s">
        <v>68</v>
      </c>
      <c r="O498" s="190" t="s">
        <v>2695</v>
      </c>
      <c r="P498" s="35">
        <v>45877</v>
      </c>
      <c r="Q498" s="22"/>
    </row>
    <row r="499" spans="1:17" s="234" customFormat="1" ht="45">
      <c r="A499" s="27" t="s">
        <v>58</v>
      </c>
      <c r="B499" s="39">
        <v>8436</v>
      </c>
      <c r="C499" s="183" t="s">
        <v>33</v>
      </c>
      <c r="D499" s="184">
        <v>12288</v>
      </c>
      <c r="E499" s="26">
        <v>45870</v>
      </c>
      <c r="F499" s="26">
        <v>45900</v>
      </c>
      <c r="G499" s="247" t="s">
        <v>2703</v>
      </c>
      <c r="H499" s="34" t="s">
        <v>11</v>
      </c>
      <c r="I499" s="185">
        <v>0.01</v>
      </c>
      <c r="J499" s="186">
        <v>2E-3</v>
      </c>
      <c r="K499" s="203"/>
      <c r="L499" s="188"/>
      <c r="M499" s="189" t="s">
        <v>14</v>
      </c>
      <c r="N499" s="189" t="s">
        <v>68</v>
      </c>
      <c r="O499" s="190" t="s">
        <v>2695</v>
      </c>
      <c r="P499" s="35">
        <v>45877</v>
      </c>
      <c r="Q499" s="22"/>
    </row>
    <row r="500" spans="1:17" s="234" customFormat="1" ht="45">
      <c r="A500" s="27" t="s">
        <v>58</v>
      </c>
      <c r="B500" s="39">
        <v>8416</v>
      </c>
      <c r="C500" s="183" t="s">
        <v>33</v>
      </c>
      <c r="D500" s="184">
        <v>14722</v>
      </c>
      <c r="E500" s="26">
        <v>45870</v>
      </c>
      <c r="F500" s="26">
        <v>45900</v>
      </c>
      <c r="G500" s="247" t="s">
        <v>2854</v>
      </c>
      <c r="H500" s="34" t="s">
        <v>11</v>
      </c>
      <c r="I500" s="185">
        <v>10000</v>
      </c>
      <c r="J500" s="186">
        <v>2E-3</v>
      </c>
      <c r="K500" s="203"/>
      <c r="L500" s="188"/>
      <c r="M500" s="189" t="s">
        <v>14</v>
      </c>
      <c r="N500" s="189" t="s">
        <v>68</v>
      </c>
      <c r="O500" s="190" t="s">
        <v>2695</v>
      </c>
      <c r="P500" s="35">
        <v>45877</v>
      </c>
      <c r="Q500" s="22"/>
    </row>
    <row r="501" spans="1:17" s="234" customFormat="1" ht="45">
      <c r="A501" s="27" t="s">
        <v>58</v>
      </c>
      <c r="B501" s="39">
        <v>8412</v>
      </c>
      <c r="C501" s="183" t="s">
        <v>33</v>
      </c>
      <c r="D501" s="184">
        <v>14722</v>
      </c>
      <c r="E501" s="26">
        <v>45870</v>
      </c>
      <c r="F501" s="26">
        <v>45900</v>
      </c>
      <c r="G501" s="247" t="s">
        <v>1619</v>
      </c>
      <c r="H501" s="34" t="s">
        <v>11</v>
      </c>
      <c r="I501" s="185">
        <v>10000</v>
      </c>
      <c r="J501" s="186">
        <v>5.0000000000000001E-3</v>
      </c>
      <c r="K501" s="203"/>
      <c r="L501" s="188"/>
      <c r="M501" s="189" t="s">
        <v>14</v>
      </c>
      <c r="N501" s="189" t="s">
        <v>68</v>
      </c>
      <c r="O501" s="190" t="s">
        <v>2695</v>
      </c>
      <c r="P501" s="35">
        <v>45877</v>
      </c>
      <c r="Q501" s="22"/>
    </row>
    <row r="502" spans="1:17" s="234" customFormat="1" ht="45">
      <c r="A502" s="27" t="s">
        <v>58</v>
      </c>
      <c r="B502" s="39">
        <v>8415</v>
      </c>
      <c r="C502" s="183" t="s">
        <v>33</v>
      </c>
      <c r="D502" s="184">
        <v>15366</v>
      </c>
      <c r="E502" s="26">
        <v>45870</v>
      </c>
      <c r="F502" s="26">
        <v>45900</v>
      </c>
      <c r="G502" s="247" t="s">
        <v>2855</v>
      </c>
      <c r="H502" s="34" t="s">
        <v>11</v>
      </c>
      <c r="I502" s="185">
        <v>1000</v>
      </c>
      <c r="J502" s="186">
        <v>3.5000000000000001E-3</v>
      </c>
      <c r="K502" s="203"/>
      <c r="L502" s="188"/>
      <c r="M502" s="189" t="s">
        <v>14</v>
      </c>
      <c r="N502" s="189" t="s">
        <v>68</v>
      </c>
      <c r="O502" s="190" t="s">
        <v>2695</v>
      </c>
      <c r="P502" s="35">
        <v>45877</v>
      </c>
      <c r="Q502" s="22"/>
    </row>
    <row r="503" spans="1:17" s="234" customFormat="1" ht="45">
      <c r="A503" s="27" t="s">
        <v>58</v>
      </c>
      <c r="B503" s="39">
        <v>8369</v>
      </c>
      <c r="C503" s="183" t="s">
        <v>33</v>
      </c>
      <c r="D503" s="184">
        <v>12288</v>
      </c>
      <c r="E503" s="26">
        <v>45870</v>
      </c>
      <c r="F503" s="26">
        <v>45900</v>
      </c>
      <c r="G503" s="247" t="s">
        <v>1857</v>
      </c>
      <c r="H503" s="34" t="s">
        <v>11</v>
      </c>
      <c r="I503" s="185">
        <v>1000</v>
      </c>
      <c r="J503" s="186">
        <v>5.0000000000000001E-3</v>
      </c>
      <c r="K503" s="203"/>
      <c r="L503" s="188"/>
      <c r="M503" s="189" t="s">
        <v>14</v>
      </c>
      <c r="N503" s="189" t="s">
        <v>68</v>
      </c>
      <c r="O503" s="190" t="s">
        <v>2695</v>
      </c>
      <c r="P503" s="35">
        <v>45877</v>
      </c>
      <c r="Q503" s="22"/>
    </row>
    <row r="504" spans="1:17" s="234" customFormat="1" ht="45">
      <c r="A504" s="27" t="s">
        <v>58</v>
      </c>
      <c r="B504" s="39">
        <v>8419</v>
      </c>
      <c r="C504" s="183" t="s">
        <v>33</v>
      </c>
      <c r="D504" s="184">
        <v>12288</v>
      </c>
      <c r="E504" s="26">
        <v>45870</v>
      </c>
      <c r="F504" s="26">
        <v>45900</v>
      </c>
      <c r="G504" s="247" t="s">
        <v>2830</v>
      </c>
      <c r="H504" s="34" t="s">
        <v>11</v>
      </c>
      <c r="I504" s="185">
        <v>1000</v>
      </c>
      <c r="J504" s="186">
        <v>0.02</v>
      </c>
      <c r="K504" s="203"/>
      <c r="L504" s="188"/>
      <c r="M504" s="189" t="s">
        <v>14</v>
      </c>
      <c r="N504" s="189" t="s">
        <v>68</v>
      </c>
      <c r="O504" s="190" t="s">
        <v>2695</v>
      </c>
      <c r="P504" s="35">
        <v>45877</v>
      </c>
      <c r="Q504" s="22"/>
    </row>
    <row r="505" spans="1:17" s="234" customFormat="1" ht="45">
      <c r="A505" s="27" t="s">
        <v>58</v>
      </c>
      <c r="B505" s="39">
        <v>8420</v>
      </c>
      <c r="C505" s="183" t="s">
        <v>33</v>
      </c>
      <c r="D505" s="184">
        <v>12288</v>
      </c>
      <c r="E505" s="26">
        <v>45870</v>
      </c>
      <c r="F505" s="26">
        <v>45900</v>
      </c>
      <c r="G505" s="247" t="s">
        <v>2196</v>
      </c>
      <c r="H505" s="34" t="s">
        <v>11</v>
      </c>
      <c r="I505" s="185">
        <v>1000</v>
      </c>
      <c r="J505" s="186">
        <v>1.7500000000000002E-2</v>
      </c>
      <c r="K505" s="203"/>
      <c r="L505" s="188"/>
      <c r="M505" s="189" t="s">
        <v>14</v>
      </c>
      <c r="N505" s="189" t="s">
        <v>68</v>
      </c>
      <c r="O505" s="190" t="s">
        <v>2695</v>
      </c>
      <c r="P505" s="35">
        <v>45877</v>
      </c>
      <c r="Q505" s="22"/>
    </row>
    <row r="506" spans="1:17" s="234" customFormat="1" ht="45">
      <c r="A506" s="27" t="s">
        <v>58</v>
      </c>
      <c r="B506" s="39">
        <v>8414</v>
      </c>
      <c r="C506" s="183" t="s">
        <v>33</v>
      </c>
      <c r="D506" s="184">
        <v>17154</v>
      </c>
      <c r="E506" s="26">
        <v>45870</v>
      </c>
      <c r="F506" s="26">
        <v>45900</v>
      </c>
      <c r="G506" s="247" t="s">
        <v>2415</v>
      </c>
      <c r="H506" s="34" t="s">
        <v>11</v>
      </c>
      <c r="I506" s="185">
        <v>1000</v>
      </c>
      <c r="J506" s="186">
        <v>2.5000000000000001E-3</v>
      </c>
      <c r="K506" s="203"/>
      <c r="L506" s="188"/>
      <c r="M506" s="189" t="s">
        <v>14</v>
      </c>
      <c r="N506" s="189" t="s">
        <v>68</v>
      </c>
      <c r="O506" s="190" t="s">
        <v>2695</v>
      </c>
      <c r="P506" s="35">
        <v>45877</v>
      </c>
      <c r="Q506" s="22"/>
    </row>
    <row r="507" spans="1:17" s="234" customFormat="1" ht="45">
      <c r="A507" s="27" t="s">
        <v>59</v>
      </c>
      <c r="B507" s="39">
        <v>8353</v>
      </c>
      <c r="C507" s="183" t="s">
        <v>33</v>
      </c>
      <c r="D507" s="184">
        <v>9212</v>
      </c>
      <c r="E507" s="26">
        <v>45870</v>
      </c>
      <c r="F507" s="26">
        <v>45900</v>
      </c>
      <c r="G507" s="22" t="s">
        <v>107</v>
      </c>
      <c r="H507" s="34" t="s">
        <v>11</v>
      </c>
      <c r="I507" s="185">
        <v>1000</v>
      </c>
      <c r="J507" s="186">
        <v>7.4999999999999997E-3</v>
      </c>
      <c r="K507" s="203"/>
      <c r="L507" s="188"/>
      <c r="M507" s="189" t="s">
        <v>14</v>
      </c>
      <c r="N507" s="189" t="s">
        <v>68</v>
      </c>
      <c r="O507" s="190" t="s">
        <v>2695</v>
      </c>
      <c r="P507" s="35">
        <v>45877</v>
      </c>
      <c r="Q507" s="22"/>
    </row>
    <row r="508" spans="1:17" s="234" customFormat="1" ht="45">
      <c r="A508" s="27" t="s">
        <v>58</v>
      </c>
      <c r="B508" s="39">
        <v>8402</v>
      </c>
      <c r="C508" s="183" t="s">
        <v>33</v>
      </c>
      <c r="D508" s="184">
        <v>9212</v>
      </c>
      <c r="E508" s="26">
        <v>45870</v>
      </c>
      <c r="F508" s="26">
        <v>45900</v>
      </c>
      <c r="G508" s="247" t="s">
        <v>2197</v>
      </c>
      <c r="H508" s="34" t="s">
        <v>11</v>
      </c>
      <c r="I508" s="185">
        <v>1000</v>
      </c>
      <c r="J508" s="186">
        <v>1.4999999999999999E-2</v>
      </c>
      <c r="K508" s="203"/>
      <c r="L508" s="188"/>
      <c r="M508" s="189" t="s">
        <v>14</v>
      </c>
      <c r="N508" s="189" t="s">
        <v>68</v>
      </c>
      <c r="O508" s="190" t="s">
        <v>2695</v>
      </c>
      <c r="P508" s="35">
        <v>45877</v>
      </c>
      <c r="Q508" s="22"/>
    </row>
    <row r="509" spans="1:17" s="234" customFormat="1" ht="45">
      <c r="A509" s="27" t="s">
        <v>58</v>
      </c>
      <c r="B509" s="39">
        <v>8428</v>
      </c>
      <c r="C509" s="183" t="s">
        <v>33</v>
      </c>
      <c r="D509" s="184">
        <v>11730</v>
      </c>
      <c r="E509" s="26">
        <v>45870</v>
      </c>
      <c r="F509" s="26">
        <v>45900</v>
      </c>
      <c r="G509" s="247" t="s">
        <v>2198</v>
      </c>
      <c r="H509" s="34" t="s">
        <v>11</v>
      </c>
      <c r="I509" s="185">
        <v>1000</v>
      </c>
      <c r="J509" s="186">
        <v>5.0000000000000001E-3</v>
      </c>
      <c r="K509" s="203"/>
      <c r="L509" s="188"/>
      <c r="M509" s="189" t="s">
        <v>14</v>
      </c>
      <c r="N509" s="189" t="s">
        <v>68</v>
      </c>
      <c r="O509" s="190" t="s">
        <v>2695</v>
      </c>
      <c r="P509" s="35">
        <v>45877</v>
      </c>
      <c r="Q509" s="22"/>
    </row>
    <row r="510" spans="1:17" s="234" customFormat="1" ht="45">
      <c r="A510" s="27" t="s">
        <v>58</v>
      </c>
      <c r="B510" s="39">
        <v>8444</v>
      </c>
      <c r="C510" s="183" t="s">
        <v>33</v>
      </c>
      <c r="D510" s="184">
        <v>14722</v>
      </c>
      <c r="E510" s="26">
        <v>45870</v>
      </c>
      <c r="F510" s="26">
        <v>45900</v>
      </c>
      <c r="G510" s="247" t="s">
        <v>2701</v>
      </c>
      <c r="H510" s="34" t="s">
        <v>11</v>
      </c>
      <c r="I510" s="185">
        <v>1000</v>
      </c>
      <c r="J510" s="186">
        <v>5.0000000000000001E-3</v>
      </c>
      <c r="K510" s="203"/>
      <c r="L510" s="188"/>
      <c r="M510" s="189" t="s">
        <v>14</v>
      </c>
      <c r="N510" s="189" t="s">
        <v>68</v>
      </c>
      <c r="O510" s="190" t="s">
        <v>2695</v>
      </c>
      <c r="P510" s="35">
        <v>45877</v>
      </c>
      <c r="Q510" s="22"/>
    </row>
    <row r="511" spans="1:17" s="234" customFormat="1" ht="45">
      <c r="A511" s="27" t="s">
        <v>58</v>
      </c>
      <c r="B511" s="39">
        <v>8413</v>
      </c>
      <c r="C511" s="183" t="s">
        <v>33</v>
      </c>
      <c r="D511" s="184">
        <v>11730</v>
      </c>
      <c r="E511" s="26">
        <v>45870</v>
      </c>
      <c r="F511" s="26">
        <v>45900</v>
      </c>
      <c r="G511" s="247" t="s">
        <v>2704</v>
      </c>
      <c r="H511" s="34" t="s">
        <v>11</v>
      </c>
      <c r="I511" s="185">
        <v>1000</v>
      </c>
      <c r="J511" s="186">
        <v>2.5000000000000001E-3</v>
      </c>
      <c r="K511" s="203"/>
      <c r="L511" s="188"/>
      <c r="M511" s="189" t="s">
        <v>14</v>
      </c>
      <c r="N511" s="189" t="s">
        <v>68</v>
      </c>
      <c r="O511" s="190" t="s">
        <v>2695</v>
      </c>
      <c r="P511" s="35">
        <v>45877</v>
      </c>
      <c r="Q511" s="22"/>
    </row>
    <row r="512" spans="1:17" s="234" customFormat="1" ht="45">
      <c r="A512" s="27" t="s">
        <v>58</v>
      </c>
      <c r="B512" s="39">
        <v>8431</v>
      </c>
      <c r="C512" s="183" t="s">
        <v>33</v>
      </c>
      <c r="D512" s="184">
        <v>9212</v>
      </c>
      <c r="E512" s="26">
        <v>45870</v>
      </c>
      <c r="F512" s="26">
        <v>45900</v>
      </c>
      <c r="G512" s="247" t="s">
        <v>1944</v>
      </c>
      <c r="H512" s="34" t="s">
        <v>11</v>
      </c>
      <c r="I512" s="185">
        <v>1000</v>
      </c>
      <c r="J512" s="186">
        <v>5.0000000000000001E-3</v>
      </c>
      <c r="K512" s="203"/>
      <c r="L512" s="188"/>
      <c r="M512" s="189" t="s">
        <v>14</v>
      </c>
      <c r="N512" s="189" t="s">
        <v>68</v>
      </c>
      <c r="O512" s="190" t="s">
        <v>2695</v>
      </c>
      <c r="P512" s="35">
        <v>45877</v>
      </c>
      <c r="Q512" s="22"/>
    </row>
    <row r="513" spans="1:17" s="234" customFormat="1">
      <c r="A513" s="27" t="s">
        <v>58</v>
      </c>
      <c r="B513" s="39">
        <v>8472</v>
      </c>
      <c r="C513" s="183" t="s">
        <v>33</v>
      </c>
      <c r="D513" s="184">
        <v>6869</v>
      </c>
      <c r="E513" s="26">
        <v>45870</v>
      </c>
      <c r="F513" s="26">
        <v>45900</v>
      </c>
      <c r="G513" s="247" t="s">
        <v>2706</v>
      </c>
      <c r="H513" s="34" t="s">
        <v>11</v>
      </c>
      <c r="I513" s="185">
        <v>50000</v>
      </c>
      <c r="J513" s="186">
        <v>5.0000000000000001E-3</v>
      </c>
      <c r="K513" s="203"/>
      <c r="L513" s="188"/>
      <c r="M513" s="189" t="s">
        <v>18</v>
      </c>
      <c r="N513" s="189" t="s">
        <v>74</v>
      </c>
      <c r="O513" s="190">
        <v>1759679</v>
      </c>
      <c r="P513" s="35">
        <v>45896</v>
      </c>
      <c r="Q513" s="22"/>
    </row>
    <row r="514" spans="1:17" s="234" customFormat="1" ht="30">
      <c r="A514" s="27" t="s">
        <v>59</v>
      </c>
      <c r="B514" s="39">
        <v>8462</v>
      </c>
      <c r="C514" s="183" t="s">
        <v>33</v>
      </c>
      <c r="D514" s="184">
        <v>17303</v>
      </c>
      <c r="E514" s="26">
        <v>45891</v>
      </c>
      <c r="F514" s="26">
        <v>45900</v>
      </c>
      <c r="G514" s="247" t="s">
        <v>2796</v>
      </c>
      <c r="H514" s="34" t="s">
        <v>11</v>
      </c>
      <c r="I514" s="185">
        <v>1000</v>
      </c>
      <c r="J514" s="186">
        <v>2.5000000000000001E-2</v>
      </c>
      <c r="K514" s="203"/>
      <c r="L514" s="188"/>
      <c r="M514" s="189" t="s">
        <v>27</v>
      </c>
      <c r="N514" s="189" t="s">
        <v>69</v>
      </c>
      <c r="O514" s="190">
        <v>1758601</v>
      </c>
      <c r="P514" s="35">
        <v>45895</v>
      </c>
      <c r="Q514" s="22"/>
    </row>
    <row r="515" spans="1:17" s="234" customFormat="1" ht="30">
      <c r="A515" s="27" t="s">
        <v>58</v>
      </c>
      <c r="B515" s="39">
        <v>8471</v>
      </c>
      <c r="C515" s="183" t="s">
        <v>33</v>
      </c>
      <c r="D515" s="184">
        <v>17303</v>
      </c>
      <c r="E515" s="26">
        <v>45891</v>
      </c>
      <c r="F515" s="26">
        <v>45900</v>
      </c>
      <c r="G515" s="247" t="s">
        <v>2856</v>
      </c>
      <c r="H515" s="34" t="s">
        <v>11</v>
      </c>
      <c r="I515" s="185">
        <v>1000</v>
      </c>
      <c r="J515" s="186">
        <v>1.2500000000000001E-2</v>
      </c>
      <c r="K515" s="203"/>
      <c r="L515" s="188"/>
      <c r="M515" s="189" t="s">
        <v>27</v>
      </c>
      <c r="N515" s="189" t="s">
        <v>69</v>
      </c>
      <c r="O515" s="190">
        <v>1758601</v>
      </c>
      <c r="P515" s="35">
        <v>45895</v>
      </c>
      <c r="Q515" s="22"/>
    </row>
    <row r="516" spans="1:17" s="234" customFormat="1" ht="30">
      <c r="A516" s="27" t="s">
        <v>58</v>
      </c>
      <c r="B516" s="39">
        <v>8470</v>
      </c>
      <c r="C516" s="183" t="s">
        <v>33</v>
      </c>
      <c r="D516" s="184">
        <v>6961</v>
      </c>
      <c r="E516" s="26">
        <v>45870</v>
      </c>
      <c r="F516" s="26">
        <v>45900</v>
      </c>
      <c r="G516" s="247" t="s">
        <v>2707</v>
      </c>
      <c r="H516" s="34" t="s">
        <v>11</v>
      </c>
      <c r="I516" s="185">
        <v>100000</v>
      </c>
      <c r="J516" s="186">
        <v>1.4999999999999999E-2</v>
      </c>
      <c r="K516" s="203"/>
      <c r="L516" s="188"/>
      <c r="M516" s="189" t="s">
        <v>19</v>
      </c>
      <c r="N516" s="189" t="s">
        <v>97</v>
      </c>
      <c r="O516" s="190">
        <v>1759370</v>
      </c>
      <c r="P516" s="35">
        <v>45895</v>
      </c>
      <c r="Q516" s="22"/>
    </row>
    <row r="517" spans="1:17" s="234" customFormat="1">
      <c r="A517" s="27" t="s">
        <v>59</v>
      </c>
      <c r="B517" s="39">
        <v>8450</v>
      </c>
      <c r="C517" s="183" t="s">
        <v>33</v>
      </c>
      <c r="D517" s="184">
        <v>15899</v>
      </c>
      <c r="E517" s="26">
        <v>45870</v>
      </c>
      <c r="F517" s="26">
        <v>45900</v>
      </c>
      <c r="G517" s="22" t="s">
        <v>107</v>
      </c>
      <c r="H517" s="34" t="s">
        <v>11</v>
      </c>
      <c r="I517" s="185">
        <v>0.01</v>
      </c>
      <c r="J517" s="186">
        <v>5.0000000000000001E-3</v>
      </c>
      <c r="K517" s="203"/>
      <c r="L517" s="188"/>
      <c r="M517" s="189" t="s">
        <v>32</v>
      </c>
      <c r="N517" s="189" t="s">
        <v>67</v>
      </c>
      <c r="O517" s="190">
        <v>1759117</v>
      </c>
      <c r="P517" s="35">
        <v>45895</v>
      </c>
      <c r="Q517" s="22"/>
    </row>
    <row r="518" spans="1:17" s="234" customFormat="1">
      <c r="A518" s="27" t="s">
        <v>58</v>
      </c>
      <c r="B518" s="39">
        <v>8469</v>
      </c>
      <c r="C518" s="183" t="s">
        <v>33</v>
      </c>
      <c r="D518" s="184">
        <v>15899</v>
      </c>
      <c r="E518" s="26">
        <v>45870</v>
      </c>
      <c r="F518" s="26">
        <v>45900</v>
      </c>
      <c r="G518" s="247" t="s">
        <v>2708</v>
      </c>
      <c r="H518" s="34" t="s">
        <v>11</v>
      </c>
      <c r="I518" s="185">
        <v>0.01</v>
      </c>
      <c r="J518" s="186">
        <v>3.5000000000000003E-2</v>
      </c>
      <c r="K518" s="203"/>
      <c r="L518" s="188"/>
      <c r="M518" s="189" t="s">
        <v>32</v>
      </c>
      <c r="N518" s="189" t="s">
        <v>67</v>
      </c>
      <c r="O518" s="190">
        <v>1759117</v>
      </c>
      <c r="P518" s="35">
        <v>45895</v>
      </c>
      <c r="Q518" s="22"/>
    </row>
    <row r="519" spans="1:17" s="234" customFormat="1" ht="30">
      <c r="A519" s="27" t="s">
        <v>58</v>
      </c>
      <c r="B519" s="39">
        <v>8468</v>
      </c>
      <c r="C519" s="183" t="s">
        <v>33</v>
      </c>
      <c r="D519" s="184">
        <v>17303</v>
      </c>
      <c r="E519" s="26">
        <v>45891</v>
      </c>
      <c r="F519" s="26">
        <v>45900</v>
      </c>
      <c r="G519" s="247" t="s">
        <v>2851</v>
      </c>
      <c r="H519" s="34" t="s">
        <v>11</v>
      </c>
      <c r="I519" s="185">
        <v>1000</v>
      </c>
      <c r="J519" s="186">
        <v>1.2500000000000001E-2</v>
      </c>
      <c r="K519" s="203"/>
      <c r="L519" s="188"/>
      <c r="M519" s="189" t="s">
        <v>27</v>
      </c>
      <c r="N519" s="189" t="s">
        <v>69</v>
      </c>
      <c r="O519" s="190">
        <v>1758601</v>
      </c>
      <c r="P519" s="35">
        <v>45895</v>
      </c>
      <c r="Q519" s="22"/>
    </row>
    <row r="520" spans="1:17" s="234" customFormat="1" ht="30">
      <c r="A520" s="27" t="s">
        <v>59</v>
      </c>
      <c r="B520" s="39">
        <v>8457</v>
      </c>
      <c r="C520" s="183" t="s">
        <v>33</v>
      </c>
      <c r="D520" s="184">
        <v>16130</v>
      </c>
      <c r="E520" s="26">
        <v>45870</v>
      </c>
      <c r="F520" s="26">
        <v>45900</v>
      </c>
      <c r="G520" s="247" t="s">
        <v>2718</v>
      </c>
      <c r="H520" s="34" t="s">
        <v>11</v>
      </c>
      <c r="I520" s="185">
        <v>10000</v>
      </c>
      <c r="J520" s="186">
        <v>0.01</v>
      </c>
      <c r="K520" s="203"/>
      <c r="L520" s="188"/>
      <c r="M520" s="189" t="s">
        <v>27</v>
      </c>
      <c r="N520" s="189" t="s">
        <v>173</v>
      </c>
      <c r="O520" s="190">
        <v>1746672</v>
      </c>
      <c r="P520" s="35">
        <v>45876</v>
      </c>
      <c r="Q520" s="22"/>
    </row>
    <row r="521" spans="1:17" s="234" customFormat="1" ht="30">
      <c r="A521" s="27" t="s">
        <v>59</v>
      </c>
      <c r="B521" s="39">
        <v>8458</v>
      </c>
      <c r="C521" s="183" t="s">
        <v>33</v>
      </c>
      <c r="D521" s="184">
        <v>16130</v>
      </c>
      <c r="E521" s="26">
        <v>45870</v>
      </c>
      <c r="F521" s="26">
        <v>45900</v>
      </c>
      <c r="G521" s="247" t="s">
        <v>2857</v>
      </c>
      <c r="H521" s="34" t="s">
        <v>11</v>
      </c>
      <c r="I521" s="185">
        <v>10000</v>
      </c>
      <c r="J521" s="186">
        <v>2E-3</v>
      </c>
      <c r="K521" s="203"/>
      <c r="L521" s="188"/>
      <c r="M521" s="189" t="s">
        <v>27</v>
      </c>
      <c r="N521" s="189" t="s">
        <v>173</v>
      </c>
      <c r="O521" s="190">
        <v>1746672</v>
      </c>
      <c r="P521" s="35">
        <v>45876</v>
      </c>
      <c r="Q521" s="22"/>
    </row>
    <row r="522" spans="1:17" s="234" customFormat="1" ht="30">
      <c r="A522" s="27" t="s">
        <v>59</v>
      </c>
      <c r="B522" s="39">
        <v>8459</v>
      </c>
      <c r="C522" s="183" t="s">
        <v>33</v>
      </c>
      <c r="D522" s="184">
        <v>16130</v>
      </c>
      <c r="E522" s="26">
        <v>45870</v>
      </c>
      <c r="F522" s="26">
        <v>45900</v>
      </c>
      <c r="G522" s="247" t="s">
        <v>2719</v>
      </c>
      <c r="H522" s="34" t="s">
        <v>11</v>
      </c>
      <c r="I522" s="185">
        <v>10000</v>
      </c>
      <c r="J522" s="186">
        <v>0.03</v>
      </c>
      <c r="K522" s="203"/>
      <c r="L522" s="188"/>
      <c r="M522" s="189" t="s">
        <v>27</v>
      </c>
      <c r="N522" s="189" t="s">
        <v>173</v>
      </c>
      <c r="O522" s="190">
        <v>1746672</v>
      </c>
      <c r="P522" s="35">
        <v>45876</v>
      </c>
      <c r="Q522" s="22"/>
    </row>
    <row r="523" spans="1:17" s="234" customFormat="1" ht="30">
      <c r="A523" s="27" t="s">
        <v>58</v>
      </c>
      <c r="B523" s="39">
        <v>8467</v>
      </c>
      <c r="C523" s="183" t="s">
        <v>33</v>
      </c>
      <c r="D523" s="184">
        <v>17303</v>
      </c>
      <c r="E523" s="26">
        <v>45891</v>
      </c>
      <c r="F523" s="26">
        <v>45900</v>
      </c>
      <c r="G523" s="247" t="s">
        <v>2713</v>
      </c>
      <c r="H523" s="34" t="s">
        <v>11</v>
      </c>
      <c r="I523" s="185">
        <v>1000</v>
      </c>
      <c r="J523" s="186">
        <v>2E-3</v>
      </c>
      <c r="K523" s="203"/>
      <c r="L523" s="188"/>
      <c r="M523" s="189" t="s">
        <v>27</v>
      </c>
      <c r="N523" s="189" t="s">
        <v>69</v>
      </c>
      <c r="O523" s="190">
        <v>1758601</v>
      </c>
      <c r="P523" s="35">
        <v>45895</v>
      </c>
      <c r="Q523" s="22"/>
    </row>
    <row r="524" spans="1:17" s="234" customFormat="1" ht="30">
      <c r="A524" s="27" t="s">
        <v>58</v>
      </c>
      <c r="B524" s="39">
        <v>8466</v>
      </c>
      <c r="C524" s="183" t="s">
        <v>33</v>
      </c>
      <c r="D524" s="184">
        <v>16029</v>
      </c>
      <c r="E524" s="26">
        <v>45887</v>
      </c>
      <c r="F524" s="26">
        <v>45900</v>
      </c>
      <c r="G524" s="247" t="s">
        <v>2858</v>
      </c>
      <c r="H524" s="34" t="s">
        <v>11</v>
      </c>
      <c r="I524" s="185">
        <v>0.01</v>
      </c>
      <c r="J524" s="186">
        <v>1.4999999999999999E-2</v>
      </c>
      <c r="K524" s="203"/>
      <c r="L524" s="188"/>
      <c r="M524" s="189" t="s">
        <v>14</v>
      </c>
      <c r="N524" s="189" t="s">
        <v>68</v>
      </c>
      <c r="O524" s="190">
        <v>1757724</v>
      </c>
      <c r="P524" s="35">
        <v>45894</v>
      </c>
      <c r="Q524" s="22"/>
    </row>
    <row r="525" spans="1:17" s="234" customFormat="1" ht="30">
      <c r="A525" s="27" t="s">
        <v>58</v>
      </c>
      <c r="B525" s="39">
        <v>8465</v>
      </c>
      <c r="C525" s="183" t="s">
        <v>33</v>
      </c>
      <c r="D525" s="184">
        <v>17303</v>
      </c>
      <c r="E525" s="26">
        <v>45891</v>
      </c>
      <c r="F525" s="26">
        <v>45900</v>
      </c>
      <c r="G525" s="247" t="s">
        <v>2858</v>
      </c>
      <c r="H525" s="34" t="s">
        <v>11</v>
      </c>
      <c r="I525" s="185">
        <v>1000</v>
      </c>
      <c r="J525" s="186">
        <v>0.02</v>
      </c>
      <c r="K525" s="203"/>
      <c r="L525" s="188"/>
      <c r="M525" s="189" t="s">
        <v>27</v>
      </c>
      <c r="N525" s="189" t="s">
        <v>69</v>
      </c>
      <c r="O525" s="190">
        <v>1758601</v>
      </c>
      <c r="P525" s="35">
        <v>45895</v>
      </c>
      <c r="Q525" s="22"/>
    </row>
    <row r="526" spans="1:17" s="234" customFormat="1" ht="30">
      <c r="A526" s="27" t="s">
        <v>58</v>
      </c>
      <c r="B526" s="39">
        <v>8464</v>
      </c>
      <c r="C526" s="183" t="s">
        <v>33</v>
      </c>
      <c r="D526" s="184">
        <v>17303</v>
      </c>
      <c r="E526" s="26">
        <v>45891</v>
      </c>
      <c r="F526" s="26">
        <v>45900</v>
      </c>
      <c r="G526" s="247" t="s">
        <v>2715</v>
      </c>
      <c r="H526" s="34" t="s">
        <v>11</v>
      </c>
      <c r="I526" s="185">
        <v>1000</v>
      </c>
      <c r="J526" s="186">
        <v>5.0000000000000001E-3</v>
      </c>
      <c r="K526" s="203"/>
      <c r="L526" s="188"/>
      <c r="M526" s="189" t="s">
        <v>27</v>
      </c>
      <c r="N526" s="189" t="s">
        <v>69</v>
      </c>
      <c r="O526" s="190">
        <v>1758601</v>
      </c>
      <c r="P526" s="35">
        <v>45895</v>
      </c>
      <c r="Q526" s="22"/>
    </row>
    <row r="527" spans="1:17" s="234" customFormat="1" ht="30">
      <c r="A527" s="27" t="s">
        <v>58</v>
      </c>
      <c r="B527" s="39">
        <v>8463</v>
      </c>
      <c r="C527" s="183" t="s">
        <v>33</v>
      </c>
      <c r="D527" s="184">
        <v>17303</v>
      </c>
      <c r="E527" s="26">
        <v>45891</v>
      </c>
      <c r="F527" s="26">
        <v>45900</v>
      </c>
      <c r="G527" s="247" t="s">
        <v>2714</v>
      </c>
      <c r="H527" s="34" t="s">
        <v>11</v>
      </c>
      <c r="I527" s="185">
        <v>1000</v>
      </c>
      <c r="J527" s="186">
        <v>5.0000000000000001E-3</v>
      </c>
      <c r="K527" s="203"/>
      <c r="L527" s="188"/>
      <c r="M527" s="189" t="s">
        <v>27</v>
      </c>
      <c r="N527" s="189" t="s">
        <v>69</v>
      </c>
      <c r="O527" s="190">
        <v>1758601</v>
      </c>
      <c r="P527" s="35">
        <v>45895</v>
      </c>
      <c r="Q527" s="22"/>
    </row>
    <row r="528" spans="1:17" s="234" customFormat="1" ht="30">
      <c r="A528" s="27" t="s">
        <v>58</v>
      </c>
      <c r="B528" s="39">
        <v>8474</v>
      </c>
      <c r="C528" s="183" t="s">
        <v>33</v>
      </c>
      <c r="D528" s="184">
        <v>17303</v>
      </c>
      <c r="E528" s="26">
        <v>45891</v>
      </c>
      <c r="F528" s="26">
        <v>45900</v>
      </c>
      <c r="G528" s="247" t="s">
        <v>183</v>
      </c>
      <c r="H528" s="34" t="s">
        <v>11</v>
      </c>
      <c r="I528" s="185">
        <v>1000</v>
      </c>
      <c r="J528" s="186">
        <v>1.9E-2</v>
      </c>
      <c r="K528" s="203"/>
      <c r="L528" s="188"/>
      <c r="M528" s="189" t="s">
        <v>27</v>
      </c>
      <c r="N528" s="189" t="s">
        <v>69</v>
      </c>
      <c r="O528" s="190">
        <v>1758601</v>
      </c>
      <c r="P528" s="35">
        <v>45895</v>
      </c>
      <c r="Q528" s="22"/>
    </row>
    <row r="529" spans="1:17" s="234" customFormat="1" ht="30">
      <c r="A529" s="27" t="s">
        <v>59</v>
      </c>
      <c r="B529" s="39">
        <v>8460</v>
      </c>
      <c r="C529" s="183" t="s">
        <v>33</v>
      </c>
      <c r="D529" s="184">
        <v>17303</v>
      </c>
      <c r="E529" s="26">
        <v>45891</v>
      </c>
      <c r="F529" s="26">
        <v>45900</v>
      </c>
      <c r="G529" s="247" t="s">
        <v>2795</v>
      </c>
      <c r="H529" s="34" t="s">
        <v>11</v>
      </c>
      <c r="I529" s="185">
        <v>1000</v>
      </c>
      <c r="J529" s="186">
        <v>5.0000000000000001E-3</v>
      </c>
      <c r="K529" s="203"/>
      <c r="L529" s="188"/>
      <c r="M529" s="189" t="s">
        <v>27</v>
      </c>
      <c r="N529" s="189" t="s">
        <v>69</v>
      </c>
      <c r="O529" s="190">
        <v>1758601</v>
      </c>
      <c r="P529" s="35">
        <v>45895</v>
      </c>
      <c r="Q529" s="22"/>
    </row>
    <row r="530" spans="1:17" s="234" customFormat="1" ht="45">
      <c r="A530" s="27" t="s">
        <v>59</v>
      </c>
      <c r="B530" s="39">
        <v>8473</v>
      </c>
      <c r="C530" s="183" t="s">
        <v>33</v>
      </c>
      <c r="D530" s="184">
        <v>6218</v>
      </c>
      <c r="E530" s="26">
        <v>45889</v>
      </c>
      <c r="F530" s="26">
        <v>45900</v>
      </c>
      <c r="G530" s="247" t="s">
        <v>2859</v>
      </c>
      <c r="H530" s="34" t="s">
        <v>2717</v>
      </c>
      <c r="I530" s="185">
        <v>0.01</v>
      </c>
      <c r="J530" s="186">
        <v>3.0000000000000001E-3</v>
      </c>
      <c r="K530" s="203"/>
      <c r="L530" s="188"/>
      <c r="M530" s="189" t="s">
        <v>168</v>
      </c>
      <c r="N530" s="189" t="s">
        <v>65</v>
      </c>
      <c r="O530" s="190">
        <v>1757082</v>
      </c>
      <c r="P530" s="35">
        <v>45891</v>
      </c>
      <c r="Q530" s="22"/>
    </row>
    <row r="531" spans="1:17" s="234" customFormat="1" ht="45">
      <c r="A531" s="27" t="s">
        <v>58</v>
      </c>
      <c r="B531" s="39">
        <v>8475</v>
      </c>
      <c r="C531" s="183" t="s">
        <v>33</v>
      </c>
      <c r="D531" s="184">
        <v>15899</v>
      </c>
      <c r="E531" s="26">
        <v>45870</v>
      </c>
      <c r="F531" s="26">
        <v>45900</v>
      </c>
      <c r="G531" s="247" t="s">
        <v>2721</v>
      </c>
      <c r="H531" s="34" t="s">
        <v>11</v>
      </c>
      <c r="I531" s="185">
        <v>0.01</v>
      </c>
      <c r="J531" s="186">
        <v>5.0000000000000001E-3</v>
      </c>
      <c r="K531" s="203"/>
      <c r="L531" s="188"/>
      <c r="M531" s="189" t="s">
        <v>32</v>
      </c>
      <c r="N531" s="189" t="s">
        <v>67</v>
      </c>
      <c r="O531" s="190">
        <v>1759117</v>
      </c>
      <c r="P531" s="35">
        <v>45895</v>
      </c>
      <c r="Q531" s="22"/>
    </row>
    <row r="532" spans="1:17" s="234" customFormat="1">
      <c r="A532" s="27" t="s">
        <v>58</v>
      </c>
      <c r="B532" s="39">
        <v>8476</v>
      </c>
      <c r="C532" s="183" t="s">
        <v>33</v>
      </c>
      <c r="D532" s="184">
        <v>15899</v>
      </c>
      <c r="E532" s="26">
        <v>45870</v>
      </c>
      <c r="F532" s="26">
        <v>45900</v>
      </c>
      <c r="G532" s="247" t="s">
        <v>2709</v>
      </c>
      <c r="H532" s="34" t="s">
        <v>11</v>
      </c>
      <c r="I532" s="185">
        <v>0.01</v>
      </c>
      <c r="J532" s="186">
        <v>1.4999999999999999E-2</v>
      </c>
      <c r="K532" s="203"/>
      <c r="L532" s="188"/>
      <c r="M532" s="189" t="s">
        <v>32</v>
      </c>
      <c r="N532" s="189" t="s">
        <v>67</v>
      </c>
      <c r="O532" s="190">
        <v>1759117</v>
      </c>
      <c r="P532" s="35">
        <v>45895</v>
      </c>
      <c r="Q532" s="22"/>
    </row>
    <row r="533" spans="1:17" s="234" customFormat="1">
      <c r="A533" s="27" t="s">
        <v>59</v>
      </c>
      <c r="B533" s="39">
        <v>8477</v>
      </c>
      <c r="C533" s="183" t="s">
        <v>33</v>
      </c>
      <c r="D533" s="184">
        <v>17927</v>
      </c>
      <c r="E533" s="26">
        <v>45870</v>
      </c>
      <c r="F533" s="26">
        <v>45900</v>
      </c>
      <c r="G533" s="247" t="s">
        <v>2716</v>
      </c>
      <c r="H533" s="34" t="s">
        <v>11</v>
      </c>
      <c r="I533" s="185">
        <v>200000</v>
      </c>
      <c r="J533" s="186">
        <v>1.5E-3</v>
      </c>
      <c r="K533" s="203"/>
      <c r="L533" s="188"/>
      <c r="M533" s="189" t="s">
        <v>25</v>
      </c>
      <c r="N533" s="189" t="s">
        <v>171</v>
      </c>
      <c r="O533" s="190">
        <v>1757504</v>
      </c>
      <c r="P533" s="35">
        <v>45894</v>
      </c>
      <c r="Q533" s="22"/>
    </row>
    <row r="534" spans="1:17" s="234" customFormat="1">
      <c r="A534" s="27" t="s">
        <v>59</v>
      </c>
      <c r="B534" s="39">
        <v>8449</v>
      </c>
      <c r="C534" s="183" t="s">
        <v>33</v>
      </c>
      <c r="D534" s="184">
        <v>16239</v>
      </c>
      <c r="E534" s="26">
        <v>45870</v>
      </c>
      <c r="F534" s="26">
        <v>45900</v>
      </c>
      <c r="G534" s="22" t="s">
        <v>107</v>
      </c>
      <c r="H534" s="34" t="s">
        <v>11</v>
      </c>
      <c r="I534" s="185">
        <v>0.01</v>
      </c>
      <c r="J534" s="186">
        <v>7.4999999999999997E-3</v>
      </c>
      <c r="K534" s="203"/>
      <c r="L534" s="188"/>
      <c r="M534" s="189" t="s">
        <v>16</v>
      </c>
      <c r="N534" s="189" t="s">
        <v>78</v>
      </c>
      <c r="O534" s="190">
        <v>1757958</v>
      </c>
      <c r="P534" s="35">
        <v>45894</v>
      </c>
      <c r="Q534" s="22"/>
    </row>
    <row r="535" spans="1:17" s="234" customFormat="1">
      <c r="A535" s="27" t="s">
        <v>58</v>
      </c>
      <c r="B535" s="39">
        <v>8478</v>
      </c>
      <c r="C535" s="183" t="s">
        <v>33</v>
      </c>
      <c r="D535" s="184">
        <v>15899</v>
      </c>
      <c r="E535" s="26">
        <v>45870</v>
      </c>
      <c r="F535" s="26">
        <v>45900</v>
      </c>
      <c r="G535" s="247" t="s">
        <v>2782</v>
      </c>
      <c r="H535" s="34" t="s">
        <v>11</v>
      </c>
      <c r="I535" s="185">
        <v>0.01</v>
      </c>
      <c r="J535" s="186">
        <v>5.0000000000000001E-3</v>
      </c>
      <c r="K535" s="203"/>
      <c r="L535" s="188"/>
      <c r="M535" s="189" t="s">
        <v>32</v>
      </c>
      <c r="N535" s="189" t="s">
        <v>67</v>
      </c>
      <c r="O535" s="190">
        <v>1759117</v>
      </c>
      <c r="P535" s="35">
        <v>45895</v>
      </c>
      <c r="Q535" s="22"/>
    </row>
    <row r="536" spans="1:17" s="234" customFormat="1">
      <c r="A536" s="27" t="s">
        <v>58</v>
      </c>
      <c r="B536" s="39">
        <v>8479</v>
      </c>
      <c r="C536" s="183" t="s">
        <v>33</v>
      </c>
      <c r="D536" s="184">
        <v>15899</v>
      </c>
      <c r="E536" s="26">
        <v>45870</v>
      </c>
      <c r="F536" s="26">
        <v>45900</v>
      </c>
      <c r="G536" s="247" t="s">
        <v>2710</v>
      </c>
      <c r="H536" s="34" t="s">
        <v>11</v>
      </c>
      <c r="I536" s="185">
        <v>0.01</v>
      </c>
      <c r="J536" s="186">
        <v>2E-3</v>
      </c>
      <c r="K536" s="203"/>
      <c r="L536" s="188"/>
      <c r="M536" s="189" t="s">
        <v>32</v>
      </c>
      <c r="N536" s="189" t="s">
        <v>67</v>
      </c>
      <c r="O536" s="190">
        <v>1759117</v>
      </c>
      <c r="P536" s="35">
        <v>45895</v>
      </c>
      <c r="Q536" s="22"/>
    </row>
    <row r="537" spans="1:17" s="234" customFormat="1" ht="30">
      <c r="A537" s="27" t="s">
        <v>58</v>
      </c>
      <c r="B537" s="39">
        <v>8480</v>
      </c>
      <c r="C537" s="183" t="s">
        <v>33</v>
      </c>
      <c r="D537" s="184">
        <v>17303</v>
      </c>
      <c r="E537" s="26">
        <v>45891</v>
      </c>
      <c r="F537" s="26">
        <v>45900</v>
      </c>
      <c r="G537" s="247" t="s">
        <v>2712</v>
      </c>
      <c r="H537" s="34" t="s">
        <v>11</v>
      </c>
      <c r="I537" s="185">
        <v>1000</v>
      </c>
      <c r="J537" s="186">
        <v>1.4999999999999999E-2</v>
      </c>
      <c r="K537" s="203"/>
      <c r="L537" s="188"/>
      <c r="M537" s="189" t="s">
        <v>27</v>
      </c>
      <c r="N537" s="189" t="s">
        <v>69</v>
      </c>
      <c r="O537" s="190">
        <v>1758601</v>
      </c>
      <c r="P537" s="35">
        <v>45895</v>
      </c>
      <c r="Q537" s="22"/>
    </row>
    <row r="538" spans="1:17" s="234" customFormat="1" ht="30">
      <c r="A538" s="27" t="s">
        <v>59</v>
      </c>
      <c r="B538" s="39">
        <v>8448</v>
      </c>
      <c r="C538" s="183" t="s">
        <v>33</v>
      </c>
      <c r="D538" s="184">
        <v>12610</v>
      </c>
      <c r="E538" s="26">
        <v>45870</v>
      </c>
      <c r="F538" s="26">
        <v>45900</v>
      </c>
      <c r="G538" s="22" t="s">
        <v>107</v>
      </c>
      <c r="H538" s="34" t="s">
        <v>11</v>
      </c>
      <c r="I538" s="185">
        <v>100000</v>
      </c>
      <c r="J538" s="186">
        <v>2E-3</v>
      </c>
      <c r="K538" s="203"/>
      <c r="L538" s="188"/>
      <c r="M538" s="189" t="s">
        <v>175</v>
      </c>
      <c r="N538" s="189" t="s">
        <v>1122</v>
      </c>
      <c r="O538" s="190">
        <v>1757508</v>
      </c>
      <c r="P538" s="35">
        <v>45894</v>
      </c>
      <c r="Q538" s="22"/>
    </row>
    <row r="539" spans="1:17" s="234" customFormat="1" ht="30">
      <c r="A539" s="27" t="s">
        <v>58</v>
      </c>
      <c r="B539" s="39">
        <v>8461</v>
      </c>
      <c r="C539" s="183" t="s">
        <v>33</v>
      </c>
      <c r="D539" s="184">
        <v>12610</v>
      </c>
      <c r="E539" s="26">
        <v>45870</v>
      </c>
      <c r="F539" s="26">
        <v>45900</v>
      </c>
      <c r="G539" s="247" t="s">
        <v>2783</v>
      </c>
      <c r="H539" s="34" t="s">
        <v>11</v>
      </c>
      <c r="I539" s="185">
        <v>100000</v>
      </c>
      <c r="J539" s="186">
        <v>3.0000000000000001E-3</v>
      </c>
      <c r="K539" s="203"/>
      <c r="L539" s="188"/>
      <c r="M539" s="189" t="s">
        <v>175</v>
      </c>
      <c r="N539" s="189" t="s">
        <v>1122</v>
      </c>
      <c r="O539" s="190">
        <v>1757508</v>
      </c>
      <c r="P539" s="35">
        <v>45894</v>
      </c>
      <c r="Q539" s="22"/>
    </row>
    <row r="540" spans="1:17" s="234" customFormat="1" ht="30">
      <c r="A540" s="27" t="s">
        <v>58</v>
      </c>
      <c r="B540" s="39">
        <v>8451</v>
      </c>
      <c r="C540" s="183" t="s">
        <v>33</v>
      </c>
      <c r="D540" s="184">
        <v>12610</v>
      </c>
      <c r="E540" s="26">
        <v>45870</v>
      </c>
      <c r="F540" s="26">
        <v>45900</v>
      </c>
      <c r="G540" s="247" t="s">
        <v>2784</v>
      </c>
      <c r="H540" s="34" t="s">
        <v>11</v>
      </c>
      <c r="I540" s="185">
        <v>100000</v>
      </c>
      <c r="J540" s="186">
        <v>2E-3</v>
      </c>
      <c r="K540" s="203"/>
      <c r="L540" s="188"/>
      <c r="M540" s="189" t="s">
        <v>175</v>
      </c>
      <c r="N540" s="189" t="s">
        <v>1122</v>
      </c>
      <c r="O540" s="190">
        <v>1757508</v>
      </c>
      <c r="P540" s="35">
        <v>45894</v>
      </c>
      <c r="Q540" s="22"/>
    </row>
    <row r="541" spans="1:17" s="234" customFormat="1" ht="30">
      <c r="A541" s="27" t="s">
        <v>59</v>
      </c>
      <c r="B541" s="39">
        <v>8447</v>
      </c>
      <c r="C541" s="183" t="s">
        <v>33</v>
      </c>
      <c r="D541" s="184">
        <v>17515</v>
      </c>
      <c r="E541" s="26">
        <v>45883</v>
      </c>
      <c r="F541" s="26">
        <v>45900</v>
      </c>
      <c r="G541" s="22" t="s">
        <v>107</v>
      </c>
      <c r="H541" s="34" t="s">
        <v>11</v>
      </c>
      <c r="I541" s="185">
        <v>1000</v>
      </c>
      <c r="J541" s="186">
        <v>5.0000000000000001E-3</v>
      </c>
      <c r="K541" s="203"/>
      <c r="L541" s="188"/>
      <c r="M541" s="189" t="s">
        <v>175</v>
      </c>
      <c r="N541" s="189" t="s">
        <v>1122</v>
      </c>
      <c r="O541" s="190">
        <v>1757294</v>
      </c>
      <c r="P541" s="35">
        <v>45891</v>
      </c>
      <c r="Q541" s="22"/>
    </row>
    <row r="542" spans="1:17" s="234" customFormat="1">
      <c r="A542" s="27" t="s">
        <v>58</v>
      </c>
      <c r="B542" s="39">
        <v>8452</v>
      </c>
      <c r="C542" s="183" t="s">
        <v>33</v>
      </c>
      <c r="D542" s="184">
        <v>7274</v>
      </c>
      <c r="E542" s="26">
        <v>45878</v>
      </c>
      <c r="F542" s="26">
        <v>45900</v>
      </c>
      <c r="G542" s="247" t="s">
        <v>2711</v>
      </c>
      <c r="H542" s="34" t="s">
        <v>11</v>
      </c>
      <c r="I542" s="185">
        <v>1000</v>
      </c>
      <c r="J542" s="186">
        <v>2E-3</v>
      </c>
      <c r="K542" s="203"/>
      <c r="L542" s="188"/>
      <c r="M542" s="189" t="s">
        <v>30</v>
      </c>
      <c r="N542" s="189" t="s">
        <v>82</v>
      </c>
      <c r="O542" s="190">
        <v>1758676</v>
      </c>
      <c r="P542" s="35">
        <v>45895</v>
      </c>
      <c r="Q542" s="22"/>
    </row>
    <row r="543" spans="1:17" s="234" customFormat="1" ht="30">
      <c r="A543" s="27" t="s">
        <v>59</v>
      </c>
      <c r="B543" s="39">
        <v>8446</v>
      </c>
      <c r="C543" s="183" t="s">
        <v>33</v>
      </c>
      <c r="D543" s="184">
        <v>13694</v>
      </c>
      <c r="E543" s="26">
        <v>45870</v>
      </c>
      <c r="F543" s="26">
        <v>45900</v>
      </c>
      <c r="G543" s="247" t="s">
        <v>2770</v>
      </c>
      <c r="H543" s="34" t="s">
        <v>11</v>
      </c>
      <c r="I543" s="185">
        <v>100000</v>
      </c>
      <c r="J543" s="186">
        <v>4.0000000000000001E-3</v>
      </c>
      <c r="K543" s="203"/>
      <c r="L543" s="188"/>
      <c r="M543" s="189" t="s">
        <v>39</v>
      </c>
      <c r="N543" s="189" t="s">
        <v>219</v>
      </c>
      <c r="O543" s="190">
        <v>1756972</v>
      </c>
      <c r="P543" s="35">
        <v>45891</v>
      </c>
      <c r="Q543" s="22"/>
    </row>
    <row r="544" spans="1:17" s="234" customFormat="1">
      <c r="A544" s="27" t="s">
        <v>58</v>
      </c>
      <c r="B544" s="39">
        <v>8453</v>
      </c>
      <c r="C544" s="183" t="s">
        <v>33</v>
      </c>
      <c r="D544" s="184">
        <v>15026</v>
      </c>
      <c r="E544" s="26">
        <v>45878</v>
      </c>
      <c r="F544" s="26">
        <v>45900</v>
      </c>
      <c r="G544" s="247" t="s">
        <v>2711</v>
      </c>
      <c r="H544" s="34" t="s">
        <v>11</v>
      </c>
      <c r="I544" s="185">
        <v>1000</v>
      </c>
      <c r="J544" s="186">
        <v>2E-3</v>
      </c>
      <c r="K544" s="203"/>
      <c r="L544" s="188"/>
      <c r="M544" s="189" t="s">
        <v>18</v>
      </c>
      <c r="N544" s="189" t="s">
        <v>2376</v>
      </c>
      <c r="O544" s="190">
        <v>1758669</v>
      </c>
      <c r="P544" s="35">
        <v>45895</v>
      </c>
      <c r="Q544" s="22"/>
    </row>
    <row r="545" spans="1:17" s="234" customFormat="1" ht="45">
      <c r="A545" s="27" t="s">
        <v>59</v>
      </c>
      <c r="B545" s="39">
        <v>8445</v>
      </c>
      <c r="C545" s="183" t="s">
        <v>33</v>
      </c>
      <c r="D545" s="184" t="s">
        <v>201</v>
      </c>
      <c r="E545" s="26">
        <v>45894</v>
      </c>
      <c r="F545" s="26">
        <v>45900</v>
      </c>
      <c r="G545" s="22" t="s">
        <v>107</v>
      </c>
      <c r="H545" s="34" t="s">
        <v>11</v>
      </c>
      <c r="I545" s="185">
        <v>0.01</v>
      </c>
      <c r="J545" s="186">
        <v>7.4999999999999997E-3</v>
      </c>
      <c r="K545" s="203"/>
      <c r="L545" s="188"/>
      <c r="M545" s="189" t="s">
        <v>30</v>
      </c>
      <c r="N545" s="189" t="s">
        <v>82</v>
      </c>
      <c r="O545" s="190" t="s">
        <v>2720</v>
      </c>
      <c r="P545" s="35">
        <v>45895</v>
      </c>
      <c r="Q545" s="22"/>
    </row>
    <row r="546" spans="1:17" s="234" customFormat="1" ht="75">
      <c r="A546" s="27" t="s">
        <v>58</v>
      </c>
      <c r="B546" s="39">
        <v>8376</v>
      </c>
      <c r="C546" s="183" t="s">
        <v>33</v>
      </c>
      <c r="D546" s="184">
        <v>18016</v>
      </c>
      <c r="E546" s="26">
        <v>45860</v>
      </c>
      <c r="F546" s="26">
        <v>45900</v>
      </c>
      <c r="G546" s="248" t="s">
        <v>2860</v>
      </c>
      <c r="H546" s="34" t="s">
        <v>11</v>
      </c>
      <c r="I546" s="185">
        <v>1000</v>
      </c>
      <c r="J546" s="186">
        <v>0.04</v>
      </c>
      <c r="K546" s="203"/>
      <c r="L546" s="188"/>
      <c r="M546" s="189" t="s">
        <v>27</v>
      </c>
      <c r="N546" s="189" t="s">
        <v>69</v>
      </c>
      <c r="O546" s="190" t="s">
        <v>2683</v>
      </c>
      <c r="P546" s="35">
        <v>45901</v>
      </c>
      <c r="Q546" s="22"/>
    </row>
    <row r="547" spans="1:17" s="234" customFormat="1" ht="75">
      <c r="A547" s="27" t="s">
        <v>58</v>
      </c>
      <c r="B547" s="39">
        <v>8400</v>
      </c>
      <c r="C547" s="183" t="s">
        <v>33</v>
      </c>
      <c r="D547" s="184">
        <v>18016</v>
      </c>
      <c r="E547" s="26">
        <v>45860</v>
      </c>
      <c r="F547" s="26">
        <v>45900</v>
      </c>
      <c r="G547" s="249" t="s">
        <v>2861</v>
      </c>
      <c r="H547" s="34" t="s">
        <v>11</v>
      </c>
      <c r="I547" s="185">
        <v>1000</v>
      </c>
      <c r="J547" s="186">
        <v>1.7000000000000001E-2</v>
      </c>
      <c r="K547" s="203"/>
      <c r="L547" s="188"/>
      <c r="M547" s="189" t="s">
        <v>27</v>
      </c>
      <c r="N547" s="189" t="s">
        <v>69</v>
      </c>
      <c r="O547" s="190" t="s">
        <v>2683</v>
      </c>
      <c r="P547" s="35">
        <v>45901</v>
      </c>
      <c r="Q547" s="22"/>
    </row>
    <row r="548" spans="1:17" s="234" customFormat="1" ht="60">
      <c r="A548" s="27" t="s">
        <v>58</v>
      </c>
      <c r="B548" s="39">
        <v>8482</v>
      </c>
      <c r="C548" s="183" t="s">
        <v>33</v>
      </c>
      <c r="D548" s="184">
        <v>13113</v>
      </c>
      <c r="E548" s="26">
        <v>45870</v>
      </c>
      <c r="F548" s="26">
        <v>45900</v>
      </c>
      <c r="G548" s="247" t="s">
        <v>2831</v>
      </c>
      <c r="H548" s="34" t="s">
        <v>11</v>
      </c>
      <c r="I548" s="185">
        <v>0.01</v>
      </c>
      <c r="J548" s="186">
        <v>7.0000000000000001E-3</v>
      </c>
      <c r="K548" s="203"/>
      <c r="L548" s="188"/>
      <c r="M548" s="189" t="s">
        <v>34</v>
      </c>
      <c r="N548" s="189" t="s">
        <v>151</v>
      </c>
      <c r="O548" s="190">
        <v>1752720</v>
      </c>
      <c r="P548" s="35">
        <v>45898</v>
      </c>
      <c r="Q548" s="22"/>
    </row>
    <row r="549" spans="1:17" s="234" customFormat="1" ht="30">
      <c r="A549" s="27" t="s">
        <v>58</v>
      </c>
      <c r="B549" s="39">
        <v>8483</v>
      </c>
      <c r="C549" s="183" t="s">
        <v>33</v>
      </c>
      <c r="D549" s="184">
        <v>13113</v>
      </c>
      <c r="E549" s="26">
        <v>45870</v>
      </c>
      <c r="F549" s="26">
        <v>45900</v>
      </c>
      <c r="G549" s="247" t="s">
        <v>2785</v>
      </c>
      <c r="H549" s="34" t="s">
        <v>11</v>
      </c>
      <c r="I549" s="185">
        <v>0.01</v>
      </c>
      <c r="J549" s="186">
        <v>1.2E-2</v>
      </c>
      <c r="K549" s="203"/>
      <c r="L549" s="188"/>
      <c r="M549" s="189" t="s">
        <v>34</v>
      </c>
      <c r="N549" s="189" t="s">
        <v>151</v>
      </c>
      <c r="O549" s="190">
        <v>1752720</v>
      </c>
      <c r="P549" s="35">
        <v>45898</v>
      </c>
      <c r="Q549" s="22"/>
    </row>
    <row r="550" spans="1:17" s="234" customFormat="1">
      <c r="A550" s="27" t="s">
        <v>58</v>
      </c>
      <c r="B550" s="39">
        <v>8481</v>
      </c>
      <c r="C550" s="183" t="s">
        <v>33</v>
      </c>
      <c r="D550" s="184">
        <v>8708</v>
      </c>
      <c r="E550" s="26">
        <v>45896</v>
      </c>
      <c r="F550" s="26">
        <v>45900</v>
      </c>
      <c r="G550" s="247" t="s">
        <v>2786</v>
      </c>
      <c r="H550" s="34" t="s">
        <v>11</v>
      </c>
      <c r="I550" s="185">
        <v>0.01</v>
      </c>
      <c r="J550" s="186">
        <v>0.01</v>
      </c>
      <c r="K550" s="203"/>
      <c r="L550" s="188"/>
      <c r="M550" s="189" t="s">
        <v>32</v>
      </c>
      <c r="N550" s="189" t="s">
        <v>67</v>
      </c>
      <c r="O550" s="190">
        <v>1762241</v>
      </c>
      <c r="P550" s="35">
        <v>45898</v>
      </c>
      <c r="Q550" s="22"/>
    </row>
    <row r="551" spans="1:17" s="234" customFormat="1" ht="30">
      <c r="A551" s="27" t="s">
        <v>59</v>
      </c>
      <c r="B551" s="39">
        <v>8485</v>
      </c>
      <c r="C551" s="183" t="s">
        <v>33</v>
      </c>
      <c r="D551" s="184">
        <v>18085</v>
      </c>
      <c r="E551" s="26">
        <v>45895</v>
      </c>
      <c r="F551" s="26">
        <v>45900</v>
      </c>
      <c r="G551" s="22" t="s">
        <v>107</v>
      </c>
      <c r="H551" s="34" t="s">
        <v>11</v>
      </c>
      <c r="I551" s="185">
        <v>1000</v>
      </c>
      <c r="J551" s="186">
        <v>7.4999999999999997E-3</v>
      </c>
      <c r="K551" s="203"/>
      <c r="L551" s="188"/>
      <c r="M551" s="189" t="s">
        <v>27</v>
      </c>
      <c r="N551" s="189" t="s">
        <v>69</v>
      </c>
      <c r="O551" s="190">
        <v>1760844</v>
      </c>
      <c r="P551" s="35">
        <v>45897</v>
      </c>
      <c r="Q551" s="22"/>
    </row>
    <row r="552" spans="1:17" s="234" customFormat="1" ht="30">
      <c r="A552" s="27" t="s">
        <v>58</v>
      </c>
      <c r="B552" s="39">
        <v>8486</v>
      </c>
      <c r="C552" s="183" t="s">
        <v>33</v>
      </c>
      <c r="D552" s="184">
        <v>17515</v>
      </c>
      <c r="E552" s="26">
        <v>45870</v>
      </c>
      <c r="F552" s="26">
        <v>45900</v>
      </c>
      <c r="G552" s="247" t="s">
        <v>2862</v>
      </c>
      <c r="H552" s="34" t="s">
        <v>11</v>
      </c>
      <c r="I552" s="185">
        <v>0.01</v>
      </c>
      <c r="J552" s="186">
        <v>2E-3</v>
      </c>
      <c r="K552" s="203"/>
      <c r="L552" s="188"/>
      <c r="M552" s="189" t="s">
        <v>175</v>
      </c>
      <c r="N552" s="189" t="s">
        <v>1122</v>
      </c>
      <c r="O552" s="190">
        <v>1760827</v>
      </c>
      <c r="P552" s="35">
        <v>45897</v>
      </c>
      <c r="Q552" s="22"/>
    </row>
    <row r="553" spans="1:17" s="234" customFormat="1" ht="30">
      <c r="A553" s="27" t="s">
        <v>58</v>
      </c>
      <c r="B553" s="39">
        <v>8487</v>
      </c>
      <c r="C553" s="183" t="s">
        <v>33</v>
      </c>
      <c r="D553" s="184">
        <v>17303</v>
      </c>
      <c r="E553" s="26">
        <v>45870</v>
      </c>
      <c r="F553" s="26">
        <v>45900</v>
      </c>
      <c r="G553" s="247" t="s">
        <v>2863</v>
      </c>
      <c r="H553" s="34" t="s">
        <v>11</v>
      </c>
      <c r="I553" s="185">
        <v>1000</v>
      </c>
      <c r="J553" s="186">
        <v>2.5999999999999999E-3</v>
      </c>
      <c r="K553" s="203"/>
      <c r="L553" s="188"/>
      <c r="M553" s="189" t="s">
        <v>27</v>
      </c>
      <c r="N553" s="189" t="s">
        <v>69</v>
      </c>
      <c r="O553" s="190">
        <v>1760656</v>
      </c>
      <c r="P553" s="35">
        <v>45897</v>
      </c>
      <c r="Q553" s="22"/>
    </row>
    <row r="554" spans="1:17" s="234" customFormat="1" ht="60">
      <c r="A554" s="27" t="s">
        <v>58</v>
      </c>
      <c r="B554" s="39">
        <v>8489</v>
      </c>
      <c r="C554" s="183" t="s">
        <v>33</v>
      </c>
      <c r="D554" s="184">
        <v>12932</v>
      </c>
      <c r="E554" s="26">
        <v>45870</v>
      </c>
      <c r="F554" s="26">
        <v>45899</v>
      </c>
      <c r="G554" s="247" t="s">
        <v>1404</v>
      </c>
      <c r="H554" s="34" t="s">
        <v>11</v>
      </c>
      <c r="I554" s="185">
        <v>0.01</v>
      </c>
      <c r="J554" s="186">
        <v>3.6999999999999998E-2</v>
      </c>
      <c r="K554" s="203"/>
      <c r="L554" s="188"/>
      <c r="M554" s="189" t="s">
        <v>14</v>
      </c>
      <c r="N554" s="189" t="s">
        <v>71</v>
      </c>
      <c r="O554" s="190" t="s">
        <v>2870</v>
      </c>
      <c r="P554" s="35">
        <v>45902</v>
      </c>
      <c r="Q554" s="22"/>
    </row>
    <row r="555" spans="1:17" s="234" customFormat="1" ht="60">
      <c r="A555" s="27" t="s">
        <v>58</v>
      </c>
      <c r="B555" s="39">
        <v>8490</v>
      </c>
      <c r="C555" s="183" t="s">
        <v>33</v>
      </c>
      <c r="D555" s="184">
        <v>12932</v>
      </c>
      <c r="E555" s="26">
        <v>45870</v>
      </c>
      <c r="F555" s="26">
        <v>45899</v>
      </c>
      <c r="G555" s="247" t="s">
        <v>711</v>
      </c>
      <c r="H555" s="34" t="s">
        <v>11</v>
      </c>
      <c r="I555" s="185">
        <v>0.01</v>
      </c>
      <c r="J555" s="186">
        <v>0.01</v>
      </c>
      <c r="K555" s="203"/>
      <c r="L555" s="188"/>
      <c r="M555" s="189" t="s">
        <v>14</v>
      </c>
      <c r="N555" s="189" t="s">
        <v>71</v>
      </c>
      <c r="O555" s="190" t="s">
        <v>2870</v>
      </c>
      <c r="P555" s="35">
        <v>45902</v>
      </c>
      <c r="Q555" s="22"/>
    </row>
    <row r="556" spans="1:17" s="234" customFormat="1" ht="60">
      <c r="A556" s="27" t="s">
        <v>58</v>
      </c>
      <c r="B556" s="39">
        <v>8491</v>
      </c>
      <c r="C556" s="183" t="s">
        <v>33</v>
      </c>
      <c r="D556" s="184">
        <v>7150</v>
      </c>
      <c r="E556" s="26">
        <v>45870</v>
      </c>
      <c r="F556" s="26">
        <v>45899</v>
      </c>
      <c r="G556" s="247" t="s">
        <v>711</v>
      </c>
      <c r="H556" s="34" t="s">
        <v>11</v>
      </c>
      <c r="I556" s="185">
        <v>0.01</v>
      </c>
      <c r="J556" s="186">
        <v>5.0000000000000001E-3</v>
      </c>
      <c r="K556" s="203"/>
      <c r="L556" s="188"/>
      <c r="M556" s="189" t="s">
        <v>14</v>
      </c>
      <c r="N556" s="189" t="s">
        <v>71</v>
      </c>
      <c r="O556" s="190" t="s">
        <v>2870</v>
      </c>
      <c r="P556" s="35">
        <v>45902</v>
      </c>
      <c r="Q556" s="22"/>
    </row>
    <row r="557" spans="1:17" s="234" customFormat="1" ht="60">
      <c r="A557" s="27" t="s">
        <v>58</v>
      </c>
      <c r="B557" s="39">
        <v>8492</v>
      </c>
      <c r="C557" s="183" t="s">
        <v>33</v>
      </c>
      <c r="D557" s="184">
        <v>8571</v>
      </c>
      <c r="E557" s="26">
        <v>45870</v>
      </c>
      <c r="F557" s="26">
        <v>45899</v>
      </c>
      <c r="G557" s="247" t="s">
        <v>711</v>
      </c>
      <c r="H557" s="34" t="s">
        <v>11</v>
      </c>
      <c r="I557" s="185">
        <v>0.01</v>
      </c>
      <c r="J557" s="186">
        <v>5.0000000000000001E-3</v>
      </c>
      <c r="K557" s="203"/>
      <c r="L557" s="188"/>
      <c r="M557" s="189" t="s">
        <v>14</v>
      </c>
      <c r="N557" s="189" t="s">
        <v>71</v>
      </c>
      <c r="O557" s="190" t="s">
        <v>2870</v>
      </c>
      <c r="P557" s="35">
        <v>45902</v>
      </c>
      <c r="Q557" s="22"/>
    </row>
    <row r="558" spans="1:17" s="234" customFormat="1" ht="60">
      <c r="A558" s="27" t="s">
        <v>58</v>
      </c>
      <c r="B558" s="39">
        <v>8493</v>
      </c>
      <c r="C558" s="183" t="s">
        <v>33</v>
      </c>
      <c r="D558" s="184" t="s">
        <v>968</v>
      </c>
      <c r="E558" s="26">
        <v>45870</v>
      </c>
      <c r="F558" s="26">
        <v>45899</v>
      </c>
      <c r="G558" s="247" t="s">
        <v>1404</v>
      </c>
      <c r="H558" s="34" t="s">
        <v>11</v>
      </c>
      <c r="I558" s="185">
        <v>0.01</v>
      </c>
      <c r="J558" s="186">
        <v>0.03</v>
      </c>
      <c r="K558" s="203"/>
      <c r="L558" s="188"/>
      <c r="M558" s="189" t="s">
        <v>14</v>
      </c>
      <c r="N558" s="189" t="s">
        <v>71</v>
      </c>
      <c r="O558" s="190" t="s">
        <v>2870</v>
      </c>
      <c r="P558" s="35">
        <v>45902</v>
      </c>
      <c r="Q558" s="22"/>
    </row>
    <row r="559" spans="1:17" s="234" customFormat="1" ht="60">
      <c r="A559" s="27" t="s">
        <v>58</v>
      </c>
      <c r="B559" s="39">
        <v>8494</v>
      </c>
      <c r="C559" s="183" t="s">
        <v>33</v>
      </c>
      <c r="D559" s="184" t="s">
        <v>968</v>
      </c>
      <c r="E559" s="26">
        <v>45870</v>
      </c>
      <c r="F559" s="26">
        <v>45899</v>
      </c>
      <c r="G559" s="247" t="s">
        <v>711</v>
      </c>
      <c r="H559" s="34" t="s">
        <v>11</v>
      </c>
      <c r="I559" s="185">
        <v>0.01</v>
      </c>
      <c r="J559" s="186">
        <v>3.0000000000000001E-3</v>
      </c>
      <c r="K559" s="203"/>
      <c r="L559" s="188"/>
      <c r="M559" s="189" t="s">
        <v>14</v>
      </c>
      <c r="N559" s="189" t="s">
        <v>71</v>
      </c>
      <c r="O559" s="190" t="s">
        <v>2870</v>
      </c>
      <c r="P559" s="35">
        <v>45902</v>
      </c>
      <c r="Q559" s="22"/>
    </row>
  </sheetData>
  <autoFilter ref="A2:Q2" xr:uid="{D53E78A6-3773-4480-B945-AFE49F77D149}"/>
  <mergeCells count="2">
    <mergeCell ref="B1:C1"/>
    <mergeCell ref="E1:Q1"/>
  </mergeCells>
  <conditionalFormatting sqref="A3:Q559">
    <cfRule type="expression" dxfId="10" priority="1">
      <formula>$A3="2- MANUAL"</formula>
    </cfRule>
  </conditionalFormatting>
  <dataValidations count="1">
    <dataValidation type="list" allowBlank="1" showErrorMessage="1" sqref="A3:A559" xr:uid="{3B89033E-A364-48F4-AEFF-076486FE977B}">
      <formula1>"1- AUTOMÁTICO,2- MANUAL"</formula1>
      <formula2>0</formula2>
    </dataValidation>
  </dataValidation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31C7-2ED3-454D-878B-3A69CF469467}">
  <dimension ref="A1:U444"/>
  <sheetViews>
    <sheetView workbookViewId="0">
      <selection activeCell="F21" sqref="F21"/>
    </sheetView>
  </sheetViews>
  <sheetFormatPr defaultRowHeight="15"/>
  <cols>
    <col min="2" max="2" width="11.5703125" bestFit="1" customWidth="1"/>
    <col min="3" max="3" width="26.7109375" style="50" bestFit="1" customWidth="1"/>
    <col min="4" max="4" width="18.42578125" customWidth="1"/>
    <col min="5" max="5" width="10.7109375" bestFit="1" customWidth="1"/>
    <col min="6" max="6" width="22.5703125" bestFit="1" customWidth="1"/>
    <col min="7" max="7" width="14.42578125" bestFit="1" customWidth="1"/>
    <col min="8" max="8" width="24.28515625" style="50" bestFit="1" customWidth="1"/>
    <col min="9" max="9" width="24.28515625" style="50" customWidth="1"/>
    <col min="10" max="10" width="25.140625" bestFit="1" customWidth="1"/>
    <col min="11" max="11" width="102.42578125" bestFit="1" customWidth="1"/>
    <col min="12" max="12" width="251.8554687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894</v>
      </c>
      <c r="B2" s="21"/>
      <c r="C2" s="9">
        <v>10452</v>
      </c>
      <c r="D2" s="26">
        <v>45748</v>
      </c>
      <c r="E2" s="26">
        <v>45777</v>
      </c>
      <c r="F2" s="40" t="s">
        <v>11</v>
      </c>
      <c r="G2" s="19">
        <v>200000</v>
      </c>
      <c r="H2" s="77">
        <v>2E-3</v>
      </c>
      <c r="I2" s="81" t="s">
        <v>13</v>
      </c>
      <c r="J2" s="3">
        <v>45756</v>
      </c>
      <c r="K2" s="18" t="s">
        <v>1222</v>
      </c>
      <c r="L2" s="22" t="s">
        <v>107</v>
      </c>
    </row>
    <row r="3" spans="1:21">
      <c r="A3" s="37">
        <v>895</v>
      </c>
      <c r="B3" s="21"/>
      <c r="C3" s="9">
        <v>10452</v>
      </c>
      <c r="D3" s="26">
        <v>45748</v>
      </c>
      <c r="E3" s="26">
        <v>45777</v>
      </c>
      <c r="F3" s="40" t="s">
        <v>11</v>
      </c>
      <c r="G3" s="19">
        <v>300000</v>
      </c>
      <c r="H3" s="77">
        <v>3.0000000000000001E-3</v>
      </c>
      <c r="I3" s="81" t="s">
        <v>13</v>
      </c>
      <c r="J3" s="3">
        <v>45756</v>
      </c>
      <c r="K3" s="18" t="s">
        <v>1222</v>
      </c>
      <c r="L3" s="22" t="s">
        <v>107</v>
      </c>
    </row>
    <row r="4" spans="1:21">
      <c r="A4" s="37">
        <v>896</v>
      </c>
      <c r="B4" s="21"/>
      <c r="C4" s="9">
        <v>10452</v>
      </c>
      <c r="D4" s="26">
        <v>45748</v>
      </c>
      <c r="E4" s="26">
        <v>45777</v>
      </c>
      <c r="F4" s="40" t="s">
        <v>11</v>
      </c>
      <c r="G4" s="19">
        <v>400000</v>
      </c>
      <c r="H4" s="77">
        <v>4.0000000000000001E-3</v>
      </c>
      <c r="I4" s="81" t="s">
        <v>13</v>
      </c>
      <c r="J4" s="3">
        <v>45756</v>
      </c>
      <c r="K4" s="18" t="s">
        <v>1222</v>
      </c>
      <c r="L4" s="22" t="s">
        <v>107</v>
      </c>
    </row>
    <row r="5" spans="1:21">
      <c r="A5" s="37">
        <v>897</v>
      </c>
      <c r="B5" s="21"/>
      <c r="C5" s="9">
        <v>10452</v>
      </c>
      <c r="D5" s="26">
        <v>45748</v>
      </c>
      <c r="E5" s="26">
        <v>45777</v>
      </c>
      <c r="F5" s="40" t="s">
        <v>11</v>
      </c>
      <c r="G5" s="19">
        <v>500000</v>
      </c>
      <c r="H5" s="77">
        <v>5.0000000000000001E-3</v>
      </c>
      <c r="I5" s="81" t="s">
        <v>13</v>
      </c>
      <c r="J5" s="3">
        <v>45756</v>
      </c>
      <c r="K5" s="18" t="s">
        <v>1222</v>
      </c>
      <c r="L5" s="22" t="s">
        <v>107</v>
      </c>
    </row>
    <row r="6" spans="1:21">
      <c r="A6" s="37">
        <v>985</v>
      </c>
      <c r="B6" s="21"/>
      <c r="C6" s="9" t="s">
        <v>98</v>
      </c>
      <c r="D6" s="26">
        <v>45748</v>
      </c>
      <c r="E6" s="26">
        <v>45777</v>
      </c>
      <c r="F6" s="40" t="s">
        <v>11</v>
      </c>
      <c r="G6" s="19">
        <v>500000</v>
      </c>
      <c r="H6" s="77">
        <v>2E-3</v>
      </c>
      <c r="I6" s="81" t="s">
        <v>17</v>
      </c>
      <c r="J6" s="3">
        <v>45761</v>
      </c>
      <c r="K6" s="18" t="s">
        <v>1303</v>
      </c>
      <c r="L6" s="22" t="s">
        <v>1465</v>
      </c>
    </row>
    <row r="7" spans="1:21">
      <c r="A7" s="37">
        <v>1166</v>
      </c>
      <c r="B7" s="103"/>
      <c r="C7" s="85" t="s">
        <v>1148</v>
      </c>
      <c r="D7" s="90">
        <v>45748</v>
      </c>
      <c r="E7" s="90">
        <v>45808</v>
      </c>
      <c r="F7" s="97" t="s">
        <v>197</v>
      </c>
      <c r="G7" s="86">
        <v>1000000</v>
      </c>
      <c r="H7" s="98">
        <v>0.02</v>
      </c>
      <c r="I7" s="93" t="s">
        <v>29</v>
      </c>
      <c r="J7" s="94">
        <v>45749</v>
      </c>
      <c r="K7" s="87" t="s">
        <v>1147</v>
      </c>
      <c r="L7" s="99" t="s">
        <v>1150</v>
      </c>
    </row>
    <row r="8" spans="1:21">
      <c r="A8" s="37">
        <v>1171</v>
      </c>
      <c r="B8" s="85"/>
      <c r="C8" s="85">
        <v>1212</v>
      </c>
      <c r="D8" s="90">
        <v>45778</v>
      </c>
      <c r="E8" s="90">
        <v>45808</v>
      </c>
      <c r="F8" s="97" t="s">
        <v>11</v>
      </c>
      <c r="G8" s="86">
        <v>500000</v>
      </c>
      <c r="H8" s="98">
        <v>5.0000000000000001E-3</v>
      </c>
      <c r="I8" s="93" t="s">
        <v>17</v>
      </c>
      <c r="J8" s="94">
        <v>45764</v>
      </c>
      <c r="K8" s="87" t="s">
        <v>1398</v>
      </c>
      <c r="L8" s="99" t="s">
        <v>1399</v>
      </c>
    </row>
    <row r="9" spans="1:21">
      <c r="A9" s="37">
        <v>1233</v>
      </c>
      <c r="B9" s="85"/>
      <c r="C9" s="85">
        <v>16995</v>
      </c>
      <c r="D9" s="90">
        <v>45778</v>
      </c>
      <c r="E9" s="90">
        <v>45808</v>
      </c>
      <c r="F9" s="97" t="s">
        <v>11</v>
      </c>
      <c r="G9" s="100">
        <v>200000</v>
      </c>
      <c r="H9" s="101">
        <v>4.0000000000000001E-3</v>
      </c>
      <c r="I9" s="93" t="s">
        <v>13</v>
      </c>
      <c r="J9" s="102">
        <v>45783</v>
      </c>
      <c r="K9" s="87" t="s">
        <v>1529</v>
      </c>
      <c r="L9" s="105" t="s">
        <v>232</v>
      </c>
    </row>
    <row r="10" spans="1:21">
      <c r="A10" s="37">
        <v>1234</v>
      </c>
      <c r="B10" s="85"/>
      <c r="C10" s="85">
        <v>16995</v>
      </c>
      <c r="D10" s="90">
        <v>45778</v>
      </c>
      <c r="E10" s="90">
        <v>45808</v>
      </c>
      <c r="F10" s="97" t="s">
        <v>11</v>
      </c>
      <c r="G10" s="100">
        <v>100000</v>
      </c>
      <c r="H10" s="101">
        <v>3.0000000000000001E-3</v>
      </c>
      <c r="I10" s="93" t="s">
        <v>13</v>
      </c>
      <c r="J10" s="102">
        <v>45783</v>
      </c>
      <c r="K10" s="87" t="s">
        <v>1529</v>
      </c>
      <c r="L10" s="105" t="s">
        <v>232</v>
      </c>
    </row>
    <row r="11" spans="1:21">
      <c r="A11" s="37">
        <v>1237</v>
      </c>
      <c r="B11" s="85"/>
      <c r="C11" s="85">
        <v>17421</v>
      </c>
      <c r="D11" s="90">
        <v>45778</v>
      </c>
      <c r="E11" s="90">
        <v>45808</v>
      </c>
      <c r="F11" s="97" t="s">
        <v>11</v>
      </c>
      <c r="G11" s="100">
        <v>200000</v>
      </c>
      <c r="H11" s="101">
        <v>4.0000000000000001E-3</v>
      </c>
      <c r="I11" s="93" t="s">
        <v>13</v>
      </c>
      <c r="J11" s="102">
        <v>45783</v>
      </c>
      <c r="K11" s="87" t="s">
        <v>1531</v>
      </c>
      <c r="L11" s="105" t="s">
        <v>232</v>
      </c>
    </row>
    <row r="12" spans="1:21">
      <c r="A12" s="37">
        <v>1238</v>
      </c>
      <c r="B12" s="85"/>
      <c r="C12" s="85">
        <v>17421</v>
      </c>
      <c r="D12" s="90">
        <v>45778</v>
      </c>
      <c r="E12" s="90">
        <v>45808</v>
      </c>
      <c r="F12" s="97" t="s">
        <v>11</v>
      </c>
      <c r="G12" s="100">
        <v>100000</v>
      </c>
      <c r="H12" s="101">
        <v>3.0000000000000001E-3</v>
      </c>
      <c r="I12" s="93" t="s">
        <v>13</v>
      </c>
      <c r="J12" s="102">
        <v>45783</v>
      </c>
      <c r="K12" s="87" t="s">
        <v>1531</v>
      </c>
      <c r="L12" s="105" t="s">
        <v>232</v>
      </c>
    </row>
    <row r="13" spans="1:21">
      <c r="A13" s="37">
        <v>1248</v>
      </c>
      <c r="B13" s="85"/>
      <c r="C13" s="85">
        <v>10649</v>
      </c>
      <c r="D13" s="90">
        <v>45778</v>
      </c>
      <c r="E13" s="90">
        <v>45808</v>
      </c>
      <c r="F13" s="97" t="s">
        <v>11</v>
      </c>
      <c r="G13" s="100">
        <v>200000</v>
      </c>
      <c r="H13" s="101">
        <v>3.0000000000000001E-3</v>
      </c>
      <c r="I13" s="93" t="s">
        <v>12</v>
      </c>
      <c r="J13" s="102">
        <v>45784</v>
      </c>
      <c r="K13" s="87" t="s">
        <v>1539</v>
      </c>
      <c r="L13" s="105" t="s">
        <v>1540</v>
      </c>
    </row>
    <row r="14" spans="1:21">
      <c r="A14" s="37">
        <v>1336</v>
      </c>
      <c r="B14" s="85"/>
      <c r="C14" s="85">
        <v>16955</v>
      </c>
      <c r="D14" s="90">
        <v>45778</v>
      </c>
      <c r="E14" s="90">
        <v>45808</v>
      </c>
      <c r="F14" s="97" t="s">
        <v>11</v>
      </c>
      <c r="G14" s="100">
        <v>800000</v>
      </c>
      <c r="H14" s="101">
        <v>3.0000000000000001E-3</v>
      </c>
      <c r="I14" s="93" t="s">
        <v>13</v>
      </c>
      <c r="J14" s="102">
        <v>45793</v>
      </c>
      <c r="K14" s="87" t="s">
        <v>1622</v>
      </c>
      <c r="L14" s="105" t="s">
        <v>1623</v>
      </c>
    </row>
    <row r="15" spans="1:21">
      <c r="A15" s="37">
        <v>1337</v>
      </c>
      <c r="B15" s="85"/>
      <c r="C15" s="85">
        <v>16955</v>
      </c>
      <c r="D15" s="90">
        <v>45778</v>
      </c>
      <c r="E15" s="90">
        <v>45808</v>
      </c>
      <c r="F15" s="97" t="s">
        <v>11</v>
      </c>
      <c r="G15" s="100">
        <v>1000000</v>
      </c>
      <c r="H15" s="101">
        <v>4.0000000000000001E-3</v>
      </c>
      <c r="I15" s="93" t="s">
        <v>13</v>
      </c>
      <c r="J15" s="102">
        <v>45793</v>
      </c>
      <c r="K15" s="87" t="s">
        <v>1622</v>
      </c>
      <c r="L15" s="105" t="s">
        <v>1623</v>
      </c>
    </row>
    <row r="16" spans="1:21">
      <c r="A16" s="37">
        <v>1338</v>
      </c>
      <c r="B16" s="85"/>
      <c r="C16" s="85">
        <v>16955</v>
      </c>
      <c r="D16" s="90">
        <v>45778</v>
      </c>
      <c r="E16" s="90">
        <v>45808</v>
      </c>
      <c r="F16" s="97" t="s">
        <v>11</v>
      </c>
      <c r="G16" s="100">
        <v>1500000</v>
      </c>
      <c r="H16" s="101">
        <v>5.0000000000000001E-3</v>
      </c>
      <c r="I16" s="93" t="s">
        <v>13</v>
      </c>
      <c r="J16" s="102">
        <v>45793</v>
      </c>
      <c r="K16" s="87" t="s">
        <v>1622</v>
      </c>
      <c r="L16" s="105" t="s">
        <v>1623</v>
      </c>
    </row>
    <row r="17" spans="1:12">
      <c r="A17" s="37">
        <v>1484</v>
      </c>
      <c r="B17" s="85"/>
      <c r="C17" s="85">
        <v>6843</v>
      </c>
      <c r="D17" s="90">
        <v>45778</v>
      </c>
      <c r="E17" s="90">
        <v>45808</v>
      </c>
      <c r="F17" s="97" t="s">
        <v>11</v>
      </c>
      <c r="G17" s="100">
        <v>0.01</v>
      </c>
      <c r="H17" s="101">
        <v>2E-3</v>
      </c>
      <c r="I17" s="93" t="s">
        <v>17</v>
      </c>
      <c r="J17" s="102">
        <v>45805</v>
      </c>
      <c r="K17" s="87" t="s">
        <v>1797</v>
      </c>
      <c r="L17" s="105" t="s">
        <v>1798</v>
      </c>
    </row>
    <row r="18" spans="1:12">
      <c r="A18" s="37">
        <v>1848</v>
      </c>
      <c r="B18" s="150" t="s">
        <v>36</v>
      </c>
      <c r="C18" s="164">
        <v>12765</v>
      </c>
      <c r="D18" s="152">
        <v>45839</v>
      </c>
      <c r="E18" s="152">
        <v>45869</v>
      </c>
      <c r="F18" s="153" t="s">
        <v>11</v>
      </c>
      <c r="G18" s="157">
        <v>1000000</v>
      </c>
      <c r="H18" s="148">
        <v>0</v>
      </c>
      <c r="I18" s="149">
        <v>0</v>
      </c>
      <c r="J18" s="152">
        <v>45740</v>
      </c>
      <c r="K18" s="155" t="s">
        <v>1071</v>
      </c>
      <c r="L18" s="155" t="s">
        <v>1072</v>
      </c>
    </row>
    <row r="19" spans="1:12">
      <c r="A19" s="37">
        <v>1849</v>
      </c>
      <c r="B19" s="150" t="s">
        <v>36</v>
      </c>
      <c r="C19" s="151" t="s">
        <v>2260</v>
      </c>
      <c r="D19" s="152">
        <v>45839</v>
      </c>
      <c r="E19" s="152">
        <v>45858</v>
      </c>
      <c r="F19" s="153" t="s">
        <v>11</v>
      </c>
      <c r="G19" s="154">
        <v>0.01</v>
      </c>
      <c r="H19" s="148">
        <v>5.0000000000000001E-3</v>
      </c>
      <c r="I19" s="149" t="s">
        <v>39</v>
      </c>
      <c r="J19" s="152">
        <v>45854</v>
      </c>
      <c r="K19" s="155" t="s">
        <v>2259</v>
      </c>
      <c r="L19" s="156" t="s">
        <v>2424</v>
      </c>
    </row>
    <row r="20" spans="1:12">
      <c r="A20" s="37">
        <v>1850</v>
      </c>
      <c r="B20" s="150" t="s">
        <v>36</v>
      </c>
      <c r="C20" s="151">
        <v>13718</v>
      </c>
      <c r="D20" s="152">
        <v>45839</v>
      </c>
      <c r="E20" s="152">
        <v>45869</v>
      </c>
      <c r="F20" s="153" t="s">
        <v>11</v>
      </c>
      <c r="G20" s="154">
        <v>0.01</v>
      </c>
      <c r="H20" s="148">
        <v>5.0000000000000001E-3</v>
      </c>
      <c r="I20" s="149" t="s">
        <v>19</v>
      </c>
      <c r="J20" s="152">
        <v>45855</v>
      </c>
      <c r="K20" s="155" t="s">
        <v>2283</v>
      </c>
      <c r="L20" s="156" t="s">
        <v>2381</v>
      </c>
    </row>
    <row r="21" spans="1:12" ht="27">
      <c r="A21" s="37">
        <v>1851</v>
      </c>
      <c r="B21" s="150" t="s">
        <v>36</v>
      </c>
      <c r="C21" s="151">
        <v>13718</v>
      </c>
      <c r="D21" s="152">
        <v>45839</v>
      </c>
      <c r="E21" s="152">
        <v>45869</v>
      </c>
      <c r="F21" s="153" t="s">
        <v>11</v>
      </c>
      <c r="G21" s="154">
        <v>0.01</v>
      </c>
      <c r="H21" s="148">
        <v>3.5000000000000003E-2</v>
      </c>
      <c r="I21" s="149" t="s">
        <v>32</v>
      </c>
      <c r="J21" s="152">
        <v>45855</v>
      </c>
      <c r="K21" s="155" t="s">
        <v>2283</v>
      </c>
      <c r="L21" s="156" t="s">
        <v>2385</v>
      </c>
    </row>
    <row r="22" spans="1:12">
      <c r="A22" s="37">
        <v>1852</v>
      </c>
      <c r="B22" s="150" t="s">
        <v>36</v>
      </c>
      <c r="C22" s="151">
        <v>11820</v>
      </c>
      <c r="D22" s="152">
        <v>45839</v>
      </c>
      <c r="E22" s="152">
        <v>45869</v>
      </c>
      <c r="F22" s="153" t="s">
        <v>11</v>
      </c>
      <c r="G22" s="154">
        <v>0.01</v>
      </c>
      <c r="H22" s="148">
        <v>7.4999999999999997E-3</v>
      </c>
      <c r="I22" s="149" t="s">
        <v>32</v>
      </c>
      <c r="J22" s="152">
        <v>45854</v>
      </c>
      <c r="K22" s="155" t="s">
        <v>2327</v>
      </c>
      <c r="L22" s="166" t="s">
        <v>2464</v>
      </c>
    </row>
    <row r="23" spans="1:12">
      <c r="A23" s="37">
        <v>1853</v>
      </c>
      <c r="B23" s="150" t="s">
        <v>36</v>
      </c>
      <c r="C23" s="151">
        <v>2619</v>
      </c>
      <c r="D23" s="152">
        <v>45839</v>
      </c>
      <c r="E23" s="152">
        <v>45869</v>
      </c>
      <c r="F23" s="153" t="s">
        <v>11</v>
      </c>
      <c r="G23" s="154">
        <v>0.01</v>
      </c>
      <c r="H23" s="148">
        <v>0.01</v>
      </c>
      <c r="I23" s="149" t="s">
        <v>19</v>
      </c>
      <c r="J23" s="152">
        <v>45847</v>
      </c>
      <c r="K23" s="155" t="s">
        <v>2071</v>
      </c>
      <c r="L23" s="156" t="s">
        <v>179</v>
      </c>
    </row>
    <row r="24" spans="1:12">
      <c r="A24" s="37">
        <v>1854</v>
      </c>
      <c r="B24" s="150" t="s">
        <v>36</v>
      </c>
      <c r="C24" s="151">
        <v>3895</v>
      </c>
      <c r="D24" s="152">
        <v>45839</v>
      </c>
      <c r="E24" s="152">
        <v>45869</v>
      </c>
      <c r="F24" s="153" t="s">
        <v>11</v>
      </c>
      <c r="G24" s="154">
        <v>0.01</v>
      </c>
      <c r="H24" s="148">
        <v>5.0000000000000001E-3</v>
      </c>
      <c r="I24" s="149" t="s">
        <v>32</v>
      </c>
      <c r="J24" s="152">
        <v>45854</v>
      </c>
      <c r="K24" s="155" t="s">
        <v>2343</v>
      </c>
      <c r="L24" s="156" t="s">
        <v>2116</v>
      </c>
    </row>
    <row r="25" spans="1:12">
      <c r="A25" s="37">
        <v>1855</v>
      </c>
      <c r="B25" s="150" t="s">
        <v>36</v>
      </c>
      <c r="C25" s="151">
        <v>17051</v>
      </c>
      <c r="D25" s="152">
        <v>45839</v>
      </c>
      <c r="E25" s="152">
        <v>45869</v>
      </c>
      <c r="F25" s="153" t="s">
        <v>11</v>
      </c>
      <c r="G25" s="154">
        <v>0.01</v>
      </c>
      <c r="H25" s="148">
        <v>1.5E-3</v>
      </c>
      <c r="I25" s="149" t="s">
        <v>19</v>
      </c>
      <c r="J25" s="152">
        <v>45854</v>
      </c>
      <c r="K25" s="155" t="s">
        <v>2342</v>
      </c>
      <c r="L25" s="156" t="s">
        <v>2465</v>
      </c>
    </row>
    <row r="26" spans="1:12">
      <c r="A26" s="37">
        <v>1856</v>
      </c>
      <c r="B26" s="150" t="s">
        <v>36</v>
      </c>
      <c r="C26" s="151">
        <v>1452</v>
      </c>
      <c r="D26" s="152">
        <v>45839</v>
      </c>
      <c r="E26" s="152">
        <v>45869</v>
      </c>
      <c r="F26" s="153" t="s">
        <v>11</v>
      </c>
      <c r="G26" s="157">
        <v>300000</v>
      </c>
      <c r="H26" s="148">
        <v>1E-3</v>
      </c>
      <c r="I26" s="149" t="s">
        <v>19</v>
      </c>
      <c r="J26" s="152">
        <v>45854</v>
      </c>
      <c r="K26" s="155" t="s">
        <v>2341</v>
      </c>
      <c r="L26" s="156" t="s">
        <v>2382</v>
      </c>
    </row>
    <row r="27" spans="1:12">
      <c r="A27" s="37">
        <v>1857</v>
      </c>
      <c r="B27" s="150" t="s">
        <v>36</v>
      </c>
      <c r="C27" s="151" t="s">
        <v>98</v>
      </c>
      <c r="D27" s="152">
        <v>45839</v>
      </c>
      <c r="E27" s="152">
        <v>45869</v>
      </c>
      <c r="F27" s="153" t="s">
        <v>11</v>
      </c>
      <c r="G27" s="154">
        <v>300000</v>
      </c>
      <c r="H27" s="148">
        <v>1E-3</v>
      </c>
      <c r="I27" s="149" t="s">
        <v>17</v>
      </c>
      <c r="J27" s="152">
        <v>45854</v>
      </c>
      <c r="K27" s="155" t="s">
        <v>334</v>
      </c>
      <c r="L27" s="156" t="s">
        <v>2412</v>
      </c>
    </row>
    <row r="28" spans="1:12">
      <c r="A28" s="37">
        <v>1858</v>
      </c>
      <c r="B28" s="150" t="s">
        <v>36</v>
      </c>
      <c r="C28" s="151" t="s">
        <v>98</v>
      </c>
      <c r="D28" s="152">
        <v>45839</v>
      </c>
      <c r="E28" s="152">
        <v>45869</v>
      </c>
      <c r="F28" s="153" t="s">
        <v>11</v>
      </c>
      <c r="G28" s="154">
        <v>500000</v>
      </c>
      <c r="H28" s="148">
        <v>2E-3</v>
      </c>
      <c r="I28" s="149" t="s">
        <v>17</v>
      </c>
      <c r="J28" s="152">
        <v>45854</v>
      </c>
      <c r="K28" s="155" t="s">
        <v>334</v>
      </c>
      <c r="L28" s="156" t="s">
        <v>2412</v>
      </c>
    </row>
    <row r="29" spans="1:12">
      <c r="A29" s="37">
        <v>1859</v>
      </c>
      <c r="B29" s="150" t="s">
        <v>36</v>
      </c>
      <c r="C29" s="151">
        <v>15516</v>
      </c>
      <c r="D29" s="152">
        <v>45839</v>
      </c>
      <c r="E29" s="152">
        <v>45869</v>
      </c>
      <c r="F29" s="153" t="s">
        <v>11</v>
      </c>
      <c r="G29" s="154">
        <v>0.01</v>
      </c>
      <c r="H29" s="148">
        <v>5.0000000000000001E-3</v>
      </c>
      <c r="I29" s="149" t="s">
        <v>17</v>
      </c>
      <c r="J29" s="152">
        <v>45854</v>
      </c>
      <c r="K29" s="155" t="s">
        <v>2340</v>
      </c>
      <c r="L29" s="166" t="s">
        <v>2464</v>
      </c>
    </row>
    <row r="30" spans="1:12">
      <c r="A30" s="37">
        <v>1860</v>
      </c>
      <c r="B30" s="150" t="s">
        <v>36</v>
      </c>
      <c r="C30" s="151">
        <v>12732</v>
      </c>
      <c r="D30" s="152">
        <v>45839</v>
      </c>
      <c r="E30" s="152">
        <v>45869</v>
      </c>
      <c r="F30" s="153" t="s">
        <v>11</v>
      </c>
      <c r="G30" s="154">
        <v>0.01</v>
      </c>
      <c r="H30" s="148">
        <v>5.0000000000000001E-3</v>
      </c>
      <c r="I30" s="149" t="s">
        <v>19</v>
      </c>
      <c r="J30" s="152">
        <v>45854</v>
      </c>
      <c r="K30" s="155" t="s">
        <v>2339</v>
      </c>
      <c r="L30" s="166" t="s">
        <v>2464</v>
      </c>
    </row>
    <row r="31" spans="1:12">
      <c r="A31" s="37">
        <v>1861</v>
      </c>
      <c r="B31" s="150" t="s">
        <v>36</v>
      </c>
      <c r="C31" s="151">
        <v>16892</v>
      </c>
      <c r="D31" s="152">
        <v>45839</v>
      </c>
      <c r="E31" s="152">
        <v>45869</v>
      </c>
      <c r="F31" s="153" t="s">
        <v>11</v>
      </c>
      <c r="G31" s="154">
        <v>0.01</v>
      </c>
      <c r="H31" s="148">
        <v>3.0000000000000001E-3</v>
      </c>
      <c r="I31" s="149" t="s">
        <v>29</v>
      </c>
      <c r="J31" s="152">
        <v>45854</v>
      </c>
      <c r="K31" s="155" t="s">
        <v>2338</v>
      </c>
      <c r="L31" s="166" t="s">
        <v>2464</v>
      </c>
    </row>
    <row r="32" spans="1:12">
      <c r="A32" s="37">
        <v>1862</v>
      </c>
      <c r="B32" s="150" t="s">
        <v>36</v>
      </c>
      <c r="C32" s="151">
        <v>13389</v>
      </c>
      <c r="D32" s="152">
        <v>45860</v>
      </c>
      <c r="E32" s="152">
        <v>45869</v>
      </c>
      <c r="F32" s="153" t="s">
        <v>11</v>
      </c>
      <c r="G32" s="154">
        <v>0.01</v>
      </c>
      <c r="H32" s="148">
        <v>8.9999999999999993E-3</v>
      </c>
      <c r="I32" s="149" t="s">
        <v>19</v>
      </c>
      <c r="J32" s="152">
        <v>45860</v>
      </c>
      <c r="K32" s="155" t="s">
        <v>2337</v>
      </c>
      <c r="L32" s="156" t="s">
        <v>1078</v>
      </c>
    </row>
    <row r="33" spans="1:12">
      <c r="A33" s="37">
        <v>1863</v>
      </c>
      <c r="B33" s="150" t="s">
        <v>36</v>
      </c>
      <c r="C33" s="151">
        <v>14482</v>
      </c>
      <c r="D33" s="152">
        <v>45839</v>
      </c>
      <c r="E33" s="152">
        <v>45869</v>
      </c>
      <c r="F33" s="153" t="s">
        <v>11</v>
      </c>
      <c r="G33" s="154">
        <v>0.01</v>
      </c>
      <c r="H33" s="148">
        <v>0.7</v>
      </c>
      <c r="I33" s="149" t="s">
        <v>20</v>
      </c>
      <c r="J33" s="152">
        <v>45860</v>
      </c>
      <c r="K33" s="155" t="s">
        <v>2336</v>
      </c>
      <c r="L33" s="175" t="s">
        <v>2422</v>
      </c>
    </row>
    <row r="34" spans="1:12">
      <c r="A34" s="37">
        <v>1864</v>
      </c>
      <c r="B34" s="150" t="s">
        <v>36</v>
      </c>
      <c r="C34" s="151">
        <v>6799</v>
      </c>
      <c r="D34" s="152">
        <v>45859</v>
      </c>
      <c r="E34" s="152">
        <v>45869</v>
      </c>
      <c r="F34" s="153" t="s">
        <v>11</v>
      </c>
      <c r="G34" s="154">
        <v>0.01</v>
      </c>
      <c r="H34" s="148">
        <v>2.5000000000000001E-3</v>
      </c>
      <c r="I34" s="149" t="s">
        <v>20</v>
      </c>
      <c r="J34" s="152">
        <v>45860</v>
      </c>
      <c r="K34" s="155" t="s">
        <v>2335</v>
      </c>
      <c r="L34" s="156" t="s">
        <v>2383</v>
      </c>
    </row>
    <row r="35" spans="1:12">
      <c r="A35" s="37">
        <v>1865</v>
      </c>
      <c r="B35" s="150" t="s">
        <v>36</v>
      </c>
      <c r="C35" s="151">
        <v>14186</v>
      </c>
      <c r="D35" s="152">
        <v>45859</v>
      </c>
      <c r="E35" s="152">
        <v>45869</v>
      </c>
      <c r="F35" s="153" t="s">
        <v>11</v>
      </c>
      <c r="G35" s="154">
        <v>50000</v>
      </c>
      <c r="H35" s="148">
        <v>5.0000000000000001E-3</v>
      </c>
      <c r="I35" s="149" t="s">
        <v>16</v>
      </c>
      <c r="J35" s="152">
        <v>45860</v>
      </c>
      <c r="K35" s="155" t="s">
        <v>2334</v>
      </c>
      <c r="L35" s="156" t="s">
        <v>1078</v>
      </c>
    </row>
    <row r="36" spans="1:12">
      <c r="A36" s="37">
        <v>1866</v>
      </c>
      <c r="B36" s="150" t="s">
        <v>36</v>
      </c>
      <c r="C36" s="151">
        <v>17111</v>
      </c>
      <c r="D36" s="152">
        <v>45855</v>
      </c>
      <c r="E36" s="152">
        <v>45869</v>
      </c>
      <c r="F36" s="153" t="s">
        <v>11</v>
      </c>
      <c r="G36" s="157">
        <v>300000</v>
      </c>
      <c r="H36" s="148">
        <v>3.0000000000000001E-3</v>
      </c>
      <c r="I36" s="149" t="s">
        <v>18</v>
      </c>
      <c r="J36" s="152">
        <v>45856</v>
      </c>
      <c r="K36" s="155" t="s">
        <v>2333</v>
      </c>
      <c r="L36" s="156" t="s">
        <v>2384</v>
      </c>
    </row>
    <row r="37" spans="1:12" ht="67.5">
      <c r="A37" s="37">
        <v>1867</v>
      </c>
      <c r="B37" s="150" t="s">
        <v>36</v>
      </c>
      <c r="C37" s="151">
        <v>4353</v>
      </c>
      <c r="D37" s="152">
        <v>45855</v>
      </c>
      <c r="E37" s="152">
        <v>45869</v>
      </c>
      <c r="F37" s="153" t="s">
        <v>11</v>
      </c>
      <c r="G37" s="154">
        <v>0.01</v>
      </c>
      <c r="H37" s="148">
        <v>0.34</v>
      </c>
      <c r="I37" s="149" t="s">
        <v>20</v>
      </c>
      <c r="J37" s="152">
        <v>45856</v>
      </c>
      <c r="K37" s="155" t="s">
        <v>2332</v>
      </c>
      <c r="L37" s="156" t="s">
        <v>2421</v>
      </c>
    </row>
    <row r="38" spans="1:12">
      <c r="A38" s="37">
        <v>1868</v>
      </c>
      <c r="B38" s="150" t="s">
        <v>36</v>
      </c>
      <c r="C38" s="151">
        <v>16363</v>
      </c>
      <c r="D38" s="152">
        <v>45839</v>
      </c>
      <c r="E38" s="152">
        <v>45855</v>
      </c>
      <c r="F38" s="153" t="s">
        <v>11</v>
      </c>
      <c r="G38" s="154">
        <v>0.01</v>
      </c>
      <c r="H38" s="148">
        <v>5.0000000000000001E-3</v>
      </c>
      <c r="I38" s="149" t="s">
        <v>25</v>
      </c>
      <c r="J38" s="152">
        <v>45856</v>
      </c>
      <c r="K38" s="155" t="s">
        <v>2330</v>
      </c>
      <c r="L38" s="156" t="s">
        <v>2331</v>
      </c>
    </row>
    <row r="39" spans="1:12">
      <c r="A39" s="37">
        <v>1869</v>
      </c>
      <c r="B39" s="150" t="s">
        <v>36</v>
      </c>
      <c r="C39" s="151" t="s">
        <v>2329</v>
      </c>
      <c r="D39" s="152">
        <v>45810</v>
      </c>
      <c r="E39" s="152">
        <v>45869</v>
      </c>
      <c r="F39" s="153" t="s">
        <v>11</v>
      </c>
      <c r="G39" s="154">
        <v>600000</v>
      </c>
      <c r="H39" s="148">
        <v>3.0000000000000001E-3</v>
      </c>
      <c r="I39" s="149" t="s">
        <v>25</v>
      </c>
      <c r="J39" s="152">
        <v>45856</v>
      </c>
      <c r="K39" s="155" t="s">
        <v>2328</v>
      </c>
      <c r="L39" s="156" t="s">
        <v>2466</v>
      </c>
    </row>
    <row r="40" spans="1:12">
      <c r="A40" s="37">
        <v>1870</v>
      </c>
      <c r="B40" s="150" t="s">
        <v>36</v>
      </c>
      <c r="C40" s="151" t="s">
        <v>2325</v>
      </c>
      <c r="D40" s="152">
        <v>45839</v>
      </c>
      <c r="E40" s="152">
        <v>45869</v>
      </c>
      <c r="F40" s="153" t="s">
        <v>11</v>
      </c>
      <c r="G40" s="154">
        <v>0.01</v>
      </c>
      <c r="H40" s="148">
        <v>2.5000000000000001E-3</v>
      </c>
      <c r="I40" s="149" t="s">
        <v>16</v>
      </c>
      <c r="J40" s="152">
        <v>45846</v>
      </c>
      <c r="K40" s="155" t="s">
        <v>2324</v>
      </c>
      <c r="L40" s="156" t="s">
        <v>2326</v>
      </c>
    </row>
    <row r="41" spans="1:12" ht="27">
      <c r="A41" s="37">
        <v>1871</v>
      </c>
      <c r="B41" s="150" t="s">
        <v>36</v>
      </c>
      <c r="C41" s="151">
        <v>13669</v>
      </c>
      <c r="D41" s="152">
        <v>45839</v>
      </c>
      <c r="E41" s="152">
        <v>45869</v>
      </c>
      <c r="F41" s="153" t="s">
        <v>11</v>
      </c>
      <c r="G41" s="154">
        <v>0.01</v>
      </c>
      <c r="H41" s="148">
        <v>3.0000000000000001E-3</v>
      </c>
      <c r="I41" s="149" t="s">
        <v>32</v>
      </c>
      <c r="J41" s="152">
        <v>45855</v>
      </c>
      <c r="K41" s="155" t="s">
        <v>2312</v>
      </c>
      <c r="L41" s="156" t="s">
        <v>107</v>
      </c>
    </row>
    <row r="42" spans="1:12" ht="27">
      <c r="A42" s="37">
        <v>1872</v>
      </c>
      <c r="B42" s="150" t="s">
        <v>36</v>
      </c>
      <c r="C42" s="151" t="s">
        <v>1756</v>
      </c>
      <c r="D42" s="152">
        <v>45839</v>
      </c>
      <c r="E42" s="152">
        <v>45869</v>
      </c>
      <c r="F42" s="153" t="s">
        <v>11</v>
      </c>
      <c r="G42" s="154">
        <v>0.01</v>
      </c>
      <c r="H42" s="148">
        <v>5.0000000000000001E-3</v>
      </c>
      <c r="I42" s="149" t="s">
        <v>95</v>
      </c>
      <c r="J42" s="152">
        <v>45855</v>
      </c>
      <c r="K42" s="155" t="s">
        <v>2322</v>
      </c>
      <c r="L42" s="156" t="s">
        <v>107</v>
      </c>
    </row>
    <row r="43" spans="1:12">
      <c r="A43" s="37">
        <v>1873</v>
      </c>
      <c r="B43" s="150" t="s">
        <v>36</v>
      </c>
      <c r="C43" s="151" t="s">
        <v>1756</v>
      </c>
      <c r="D43" s="152">
        <v>45839</v>
      </c>
      <c r="E43" s="152">
        <v>45869</v>
      </c>
      <c r="F43" s="153" t="s">
        <v>11</v>
      </c>
      <c r="G43" s="154">
        <v>1000</v>
      </c>
      <c r="H43" s="148">
        <v>0.01</v>
      </c>
      <c r="I43" s="149" t="s">
        <v>19</v>
      </c>
      <c r="J43" s="152">
        <v>45855</v>
      </c>
      <c r="K43" s="155" t="s">
        <v>2320</v>
      </c>
      <c r="L43" s="156" t="s">
        <v>2321</v>
      </c>
    </row>
    <row r="44" spans="1:12">
      <c r="A44" s="37">
        <v>1874</v>
      </c>
      <c r="B44" s="150" t="s">
        <v>36</v>
      </c>
      <c r="C44" s="151">
        <v>16238</v>
      </c>
      <c r="D44" s="152">
        <v>45839</v>
      </c>
      <c r="E44" s="152">
        <v>45869</v>
      </c>
      <c r="F44" s="153" t="s">
        <v>11</v>
      </c>
      <c r="G44" s="154">
        <v>0.01</v>
      </c>
      <c r="H44" s="148">
        <v>1.4999999999999999E-2</v>
      </c>
      <c r="I44" s="149" t="s">
        <v>19</v>
      </c>
      <c r="J44" s="152">
        <v>45855</v>
      </c>
      <c r="K44" s="155" t="s">
        <v>2319</v>
      </c>
      <c r="L44" s="156" t="s">
        <v>2425</v>
      </c>
    </row>
    <row r="45" spans="1:12" ht="27">
      <c r="A45" s="37">
        <v>1875</v>
      </c>
      <c r="B45" s="150" t="s">
        <v>36</v>
      </c>
      <c r="C45" s="151">
        <v>15692</v>
      </c>
      <c r="D45" s="152">
        <v>45839</v>
      </c>
      <c r="E45" s="152">
        <v>45869</v>
      </c>
      <c r="F45" s="153" t="s">
        <v>11</v>
      </c>
      <c r="G45" s="154">
        <v>0.01</v>
      </c>
      <c r="H45" s="148">
        <v>7.0000000000000001E-3</v>
      </c>
      <c r="I45" s="149" t="s">
        <v>19</v>
      </c>
      <c r="J45" s="152">
        <v>45855</v>
      </c>
      <c r="K45" s="155" t="s">
        <v>2318</v>
      </c>
      <c r="L45" s="156" t="s">
        <v>2418</v>
      </c>
    </row>
    <row r="46" spans="1:12" ht="27">
      <c r="A46" s="37">
        <v>1876</v>
      </c>
      <c r="B46" s="150" t="s">
        <v>36</v>
      </c>
      <c r="C46" s="151">
        <v>14291</v>
      </c>
      <c r="D46" s="152">
        <v>45839</v>
      </c>
      <c r="E46" s="152">
        <v>45869</v>
      </c>
      <c r="F46" s="153" t="s">
        <v>11</v>
      </c>
      <c r="G46" s="154">
        <v>0.01</v>
      </c>
      <c r="H46" s="148">
        <v>5.0000000000000001E-3</v>
      </c>
      <c r="I46" s="149" t="s">
        <v>95</v>
      </c>
      <c r="J46" s="152">
        <v>45855</v>
      </c>
      <c r="K46" s="155" t="s">
        <v>2317</v>
      </c>
      <c r="L46" s="156" t="s">
        <v>107</v>
      </c>
    </row>
    <row r="47" spans="1:12" ht="27">
      <c r="A47" s="37">
        <v>1877</v>
      </c>
      <c r="B47" s="150" t="s">
        <v>36</v>
      </c>
      <c r="C47" s="151">
        <v>17636</v>
      </c>
      <c r="D47" s="152">
        <v>45839</v>
      </c>
      <c r="E47" s="152">
        <v>45869</v>
      </c>
      <c r="F47" s="153" t="s">
        <v>11</v>
      </c>
      <c r="G47" s="154">
        <v>0.01</v>
      </c>
      <c r="H47" s="148">
        <v>7.0000000000000001E-3</v>
      </c>
      <c r="I47" s="149" t="s">
        <v>95</v>
      </c>
      <c r="J47" s="152">
        <v>45855</v>
      </c>
      <c r="K47" s="155" t="s">
        <v>2316</v>
      </c>
      <c r="L47" s="156" t="s">
        <v>107</v>
      </c>
    </row>
    <row r="48" spans="1:12" ht="27">
      <c r="A48" s="37">
        <v>1878</v>
      </c>
      <c r="B48" s="150" t="s">
        <v>36</v>
      </c>
      <c r="C48" s="151">
        <v>13128</v>
      </c>
      <c r="D48" s="152">
        <v>45839</v>
      </c>
      <c r="E48" s="152">
        <v>45869</v>
      </c>
      <c r="F48" s="153" t="s">
        <v>11</v>
      </c>
      <c r="G48" s="154">
        <v>0.01</v>
      </c>
      <c r="H48" s="148">
        <v>5.0000000000000001E-3</v>
      </c>
      <c r="I48" s="149" t="s">
        <v>95</v>
      </c>
      <c r="J48" s="152">
        <v>45855</v>
      </c>
      <c r="K48" s="155" t="s">
        <v>2315</v>
      </c>
      <c r="L48" s="156" t="s">
        <v>107</v>
      </c>
    </row>
    <row r="49" spans="1:12" ht="27">
      <c r="A49" s="37">
        <v>1879</v>
      </c>
      <c r="B49" s="150" t="s">
        <v>36</v>
      </c>
      <c r="C49" s="151">
        <v>14511</v>
      </c>
      <c r="D49" s="152">
        <v>45839</v>
      </c>
      <c r="E49" s="152">
        <v>45869</v>
      </c>
      <c r="F49" s="153" t="s">
        <v>11</v>
      </c>
      <c r="G49" s="154">
        <v>0.01</v>
      </c>
      <c r="H49" s="148">
        <v>7.0000000000000001E-3</v>
      </c>
      <c r="I49" s="149" t="s">
        <v>95</v>
      </c>
      <c r="J49" s="152">
        <v>45855</v>
      </c>
      <c r="K49" s="155" t="s">
        <v>2314</v>
      </c>
      <c r="L49" s="156" t="s">
        <v>107</v>
      </c>
    </row>
    <row r="50" spans="1:12" ht="27">
      <c r="A50" s="37">
        <v>1880</v>
      </c>
      <c r="B50" s="150" t="s">
        <v>36</v>
      </c>
      <c r="C50" s="151">
        <v>11301</v>
      </c>
      <c r="D50" s="152">
        <v>45839</v>
      </c>
      <c r="E50" s="152">
        <v>45869</v>
      </c>
      <c r="F50" s="153" t="s">
        <v>11</v>
      </c>
      <c r="G50" s="154">
        <v>0.01</v>
      </c>
      <c r="H50" s="148">
        <v>3.0000000000000001E-3</v>
      </c>
      <c r="I50" s="149" t="s">
        <v>95</v>
      </c>
      <c r="J50" s="152">
        <v>45855</v>
      </c>
      <c r="K50" s="155" t="s">
        <v>2313</v>
      </c>
      <c r="L50" s="156" t="s">
        <v>107</v>
      </c>
    </row>
    <row r="51" spans="1:12" ht="27">
      <c r="A51" s="37">
        <v>1881</v>
      </c>
      <c r="B51" s="150" t="s">
        <v>36</v>
      </c>
      <c r="C51" s="151">
        <v>17192</v>
      </c>
      <c r="D51" s="152">
        <v>45839</v>
      </c>
      <c r="E51" s="152">
        <v>45869</v>
      </c>
      <c r="F51" s="153" t="s">
        <v>11</v>
      </c>
      <c r="G51" s="154">
        <v>0.01</v>
      </c>
      <c r="H51" s="148">
        <v>3.0000000000000001E-3</v>
      </c>
      <c r="I51" s="149" t="s">
        <v>95</v>
      </c>
      <c r="J51" s="152">
        <v>45855</v>
      </c>
      <c r="K51" s="155" t="s">
        <v>2311</v>
      </c>
      <c r="L51" s="156" t="s">
        <v>107</v>
      </c>
    </row>
    <row r="52" spans="1:12" ht="54">
      <c r="A52" s="37">
        <v>1882</v>
      </c>
      <c r="B52" s="150" t="s">
        <v>36</v>
      </c>
      <c r="C52" s="151" t="s">
        <v>2379</v>
      </c>
      <c r="D52" s="152">
        <v>45839</v>
      </c>
      <c r="E52" s="152">
        <v>45869</v>
      </c>
      <c r="F52" s="153" t="s">
        <v>11</v>
      </c>
      <c r="G52" s="154">
        <v>300000</v>
      </c>
      <c r="H52" s="148">
        <v>5.0000000000000001E-3</v>
      </c>
      <c r="I52" s="149" t="s">
        <v>95</v>
      </c>
      <c r="J52" s="152">
        <v>45855</v>
      </c>
      <c r="K52" s="155" t="s">
        <v>2290</v>
      </c>
      <c r="L52" s="156" t="s">
        <v>2467</v>
      </c>
    </row>
    <row r="53" spans="1:12">
      <c r="A53" s="37">
        <v>1883</v>
      </c>
      <c r="B53" s="150" t="s">
        <v>36</v>
      </c>
      <c r="C53" s="151">
        <v>6905</v>
      </c>
      <c r="D53" s="152">
        <v>45839</v>
      </c>
      <c r="E53" s="152">
        <v>45869</v>
      </c>
      <c r="F53" s="153" t="s">
        <v>11</v>
      </c>
      <c r="G53" s="154">
        <v>0.01</v>
      </c>
      <c r="H53" s="148">
        <v>1.23E-2</v>
      </c>
      <c r="I53" s="149" t="s">
        <v>30</v>
      </c>
      <c r="J53" s="152">
        <v>45855</v>
      </c>
      <c r="K53" s="155" t="s">
        <v>2310</v>
      </c>
      <c r="L53" s="156" t="s">
        <v>2323</v>
      </c>
    </row>
    <row r="54" spans="1:12">
      <c r="A54" s="37">
        <v>1884</v>
      </c>
      <c r="B54" s="150" t="s">
        <v>36</v>
      </c>
      <c r="C54" s="151">
        <v>6846</v>
      </c>
      <c r="D54" s="152">
        <v>45839</v>
      </c>
      <c r="E54" s="152">
        <v>45869</v>
      </c>
      <c r="F54" s="153" t="s">
        <v>11</v>
      </c>
      <c r="G54" s="154">
        <v>0.01</v>
      </c>
      <c r="H54" s="148">
        <v>0.01</v>
      </c>
      <c r="I54" s="149" t="s">
        <v>17</v>
      </c>
      <c r="J54" s="152">
        <v>45855</v>
      </c>
      <c r="K54" s="155" t="s">
        <v>2309</v>
      </c>
      <c r="L54" s="156" t="s">
        <v>1070</v>
      </c>
    </row>
    <row r="55" spans="1:12" ht="54">
      <c r="A55" s="37">
        <v>1885</v>
      </c>
      <c r="B55" s="150" t="s">
        <v>36</v>
      </c>
      <c r="C55" s="151">
        <v>6846</v>
      </c>
      <c r="D55" s="152">
        <v>45839</v>
      </c>
      <c r="E55" s="152">
        <v>45869</v>
      </c>
      <c r="F55" s="153" t="s">
        <v>11</v>
      </c>
      <c r="G55" s="154">
        <v>0.01</v>
      </c>
      <c r="H55" s="148">
        <v>5.0000000000000001E-3</v>
      </c>
      <c r="I55" s="149" t="s">
        <v>17</v>
      </c>
      <c r="J55" s="152">
        <v>45855</v>
      </c>
      <c r="K55" s="155" t="s">
        <v>2309</v>
      </c>
      <c r="L55" s="156" t="s">
        <v>2386</v>
      </c>
    </row>
    <row r="56" spans="1:12">
      <c r="A56" s="37">
        <v>1886</v>
      </c>
      <c r="B56" s="150" t="s">
        <v>36</v>
      </c>
      <c r="C56" s="151">
        <v>15908</v>
      </c>
      <c r="D56" s="152">
        <v>45839</v>
      </c>
      <c r="E56" s="152">
        <v>45868</v>
      </c>
      <c r="F56" s="153" t="s">
        <v>11</v>
      </c>
      <c r="G56" s="154">
        <v>1000</v>
      </c>
      <c r="H56" s="148">
        <v>7.4999999999999997E-3</v>
      </c>
      <c r="I56" s="149" t="s">
        <v>17</v>
      </c>
      <c r="J56" s="152">
        <v>45855</v>
      </c>
      <c r="K56" s="155" t="s">
        <v>2308</v>
      </c>
      <c r="L56" s="156" t="s">
        <v>107</v>
      </c>
    </row>
    <row r="57" spans="1:12">
      <c r="A57" s="37">
        <v>1887</v>
      </c>
      <c r="B57" s="150" t="s">
        <v>36</v>
      </c>
      <c r="C57" s="151">
        <v>15908</v>
      </c>
      <c r="D57" s="152">
        <v>45839</v>
      </c>
      <c r="E57" s="152">
        <v>45868</v>
      </c>
      <c r="F57" s="153" t="s">
        <v>11</v>
      </c>
      <c r="G57" s="154">
        <v>1000</v>
      </c>
      <c r="H57" s="148">
        <v>8.0000000000000002E-3</v>
      </c>
      <c r="I57" s="149" t="s">
        <v>34</v>
      </c>
      <c r="J57" s="152">
        <v>45855</v>
      </c>
      <c r="K57" s="155" t="s">
        <v>2308</v>
      </c>
      <c r="L57" s="156" t="s">
        <v>1379</v>
      </c>
    </row>
    <row r="58" spans="1:12">
      <c r="A58" s="37">
        <v>1888</v>
      </c>
      <c r="B58" s="150" t="s">
        <v>36</v>
      </c>
      <c r="C58" s="151">
        <v>13113</v>
      </c>
      <c r="D58" s="152">
        <v>45839</v>
      </c>
      <c r="E58" s="152">
        <v>45858</v>
      </c>
      <c r="F58" s="153" t="s">
        <v>11</v>
      </c>
      <c r="G58" s="154">
        <v>0.01</v>
      </c>
      <c r="H58" s="148">
        <v>0.01</v>
      </c>
      <c r="I58" s="149" t="s">
        <v>34</v>
      </c>
      <c r="J58" s="152">
        <v>45855</v>
      </c>
      <c r="K58" s="155" t="s">
        <v>2307</v>
      </c>
      <c r="L58" s="156" t="s">
        <v>1070</v>
      </c>
    </row>
    <row r="59" spans="1:12" ht="40.5">
      <c r="A59" s="37">
        <v>1889</v>
      </c>
      <c r="B59" s="150" t="s">
        <v>36</v>
      </c>
      <c r="C59" s="151">
        <v>13113</v>
      </c>
      <c r="D59" s="152">
        <v>45839</v>
      </c>
      <c r="E59" s="152">
        <v>45858</v>
      </c>
      <c r="F59" s="153" t="s">
        <v>11</v>
      </c>
      <c r="G59" s="154">
        <v>0.01</v>
      </c>
      <c r="H59" s="148">
        <v>5.0000000000000001E-3</v>
      </c>
      <c r="I59" s="149" t="s">
        <v>34</v>
      </c>
      <c r="J59" s="152">
        <v>45855</v>
      </c>
      <c r="K59" s="155" t="s">
        <v>2307</v>
      </c>
      <c r="L59" s="156" t="s">
        <v>2387</v>
      </c>
    </row>
    <row r="60" spans="1:12">
      <c r="A60" s="37">
        <v>1890</v>
      </c>
      <c r="B60" s="150" t="s">
        <v>36</v>
      </c>
      <c r="C60" s="151">
        <v>13113</v>
      </c>
      <c r="D60" s="152">
        <v>45859</v>
      </c>
      <c r="E60" s="152">
        <v>45869</v>
      </c>
      <c r="F60" s="153" t="s">
        <v>11</v>
      </c>
      <c r="G60" s="154">
        <v>0.01</v>
      </c>
      <c r="H60" s="148">
        <v>1.2E-2</v>
      </c>
      <c r="I60" s="149" t="s">
        <v>34</v>
      </c>
      <c r="J60" s="152">
        <v>45855</v>
      </c>
      <c r="K60" s="155" t="s">
        <v>2307</v>
      </c>
      <c r="L60" s="156" t="s">
        <v>1070</v>
      </c>
    </row>
    <row r="61" spans="1:12" ht="40.5">
      <c r="A61" s="37">
        <v>1891</v>
      </c>
      <c r="B61" s="150" t="s">
        <v>36</v>
      </c>
      <c r="C61" s="151">
        <v>13113</v>
      </c>
      <c r="D61" s="152">
        <v>45859</v>
      </c>
      <c r="E61" s="152">
        <v>45869</v>
      </c>
      <c r="F61" s="153" t="s">
        <v>11</v>
      </c>
      <c r="G61" s="154">
        <v>0.01</v>
      </c>
      <c r="H61" s="148">
        <v>7.0000000000000001E-3</v>
      </c>
      <c r="I61" s="149" t="s">
        <v>34</v>
      </c>
      <c r="J61" s="152">
        <v>45855</v>
      </c>
      <c r="K61" s="155" t="s">
        <v>2307</v>
      </c>
      <c r="L61" s="156" t="s">
        <v>2387</v>
      </c>
    </row>
    <row r="62" spans="1:12">
      <c r="A62" s="37">
        <v>1892</v>
      </c>
      <c r="B62" s="150" t="s">
        <v>36</v>
      </c>
      <c r="C62" s="151" t="s">
        <v>2306</v>
      </c>
      <c r="D62" s="152">
        <v>45839</v>
      </c>
      <c r="E62" s="152">
        <v>45869</v>
      </c>
      <c r="F62" s="153" t="s">
        <v>11</v>
      </c>
      <c r="G62" s="154">
        <v>0.01</v>
      </c>
      <c r="H62" s="148">
        <v>2.5000000000000001E-3</v>
      </c>
      <c r="I62" s="149" t="s">
        <v>34</v>
      </c>
      <c r="J62" s="152">
        <v>45854</v>
      </c>
      <c r="K62" s="155" t="s">
        <v>2305</v>
      </c>
      <c r="L62" s="156" t="s">
        <v>990</v>
      </c>
    </row>
    <row r="63" spans="1:12">
      <c r="A63" s="37">
        <v>1893</v>
      </c>
      <c r="B63" s="150" t="s">
        <v>36</v>
      </c>
      <c r="C63" s="151">
        <v>13368</v>
      </c>
      <c r="D63" s="152">
        <v>45839</v>
      </c>
      <c r="E63" s="152">
        <v>45869</v>
      </c>
      <c r="F63" s="153" t="s">
        <v>11</v>
      </c>
      <c r="G63" s="154">
        <v>0.01</v>
      </c>
      <c r="H63" s="148">
        <v>1.4999999999999999E-2</v>
      </c>
      <c r="I63" s="149" t="s">
        <v>20</v>
      </c>
      <c r="J63" s="152">
        <v>45855</v>
      </c>
      <c r="K63" s="155" t="s">
        <v>2304</v>
      </c>
      <c r="L63" s="156" t="s">
        <v>1070</v>
      </c>
    </row>
    <row r="64" spans="1:12" ht="54">
      <c r="A64" s="37">
        <v>1894</v>
      </c>
      <c r="B64" s="150" t="s">
        <v>36</v>
      </c>
      <c r="C64" s="151">
        <v>13368</v>
      </c>
      <c r="D64" s="152">
        <v>45839</v>
      </c>
      <c r="E64" s="152">
        <v>45869</v>
      </c>
      <c r="F64" s="153" t="s">
        <v>11</v>
      </c>
      <c r="G64" s="154">
        <v>0.01</v>
      </c>
      <c r="H64" s="148">
        <v>5.0000000000000001E-3</v>
      </c>
      <c r="I64" s="149" t="s">
        <v>32</v>
      </c>
      <c r="J64" s="152">
        <v>45855</v>
      </c>
      <c r="K64" s="155" t="s">
        <v>2304</v>
      </c>
      <c r="L64" s="156" t="s">
        <v>2388</v>
      </c>
    </row>
    <row r="65" spans="1:12">
      <c r="A65" s="37">
        <v>1895</v>
      </c>
      <c r="B65" s="150" t="s">
        <v>36</v>
      </c>
      <c r="C65" s="151">
        <v>13368</v>
      </c>
      <c r="D65" s="152">
        <v>45839</v>
      </c>
      <c r="E65" s="152">
        <v>45869</v>
      </c>
      <c r="F65" s="153" t="s">
        <v>11</v>
      </c>
      <c r="G65" s="154">
        <v>0.01</v>
      </c>
      <c r="H65" s="148">
        <v>1.4999999999999999E-2</v>
      </c>
      <c r="I65" s="149" t="s">
        <v>32</v>
      </c>
      <c r="J65" s="152">
        <v>45855</v>
      </c>
      <c r="K65" s="155" t="s">
        <v>2304</v>
      </c>
      <c r="L65" s="156" t="s">
        <v>2389</v>
      </c>
    </row>
    <row r="66" spans="1:12">
      <c r="A66" s="37">
        <v>1896</v>
      </c>
      <c r="B66" s="150" t="s">
        <v>36</v>
      </c>
      <c r="C66" s="151">
        <v>13368</v>
      </c>
      <c r="D66" s="152">
        <v>45839</v>
      </c>
      <c r="E66" s="152">
        <v>45869</v>
      </c>
      <c r="F66" s="153" t="s">
        <v>11</v>
      </c>
      <c r="G66" s="154">
        <v>0.01</v>
      </c>
      <c r="H66" s="148">
        <v>5.0000000000000001E-3</v>
      </c>
      <c r="I66" s="149" t="s">
        <v>32</v>
      </c>
      <c r="J66" s="152">
        <v>45855</v>
      </c>
      <c r="K66" s="155" t="s">
        <v>2304</v>
      </c>
      <c r="L66" s="156" t="s">
        <v>107</v>
      </c>
    </row>
    <row r="67" spans="1:12">
      <c r="A67" s="37">
        <v>1897</v>
      </c>
      <c r="B67" s="150" t="s">
        <v>36</v>
      </c>
      <c r="C67" s="151">
        <v>15503</v>
      </c>
      <c r="D67" s="152">
        <v>45839</v>
      </c>
      <c r="E67" s="152">
        <v>45869</v>
      </c>
      <c r="F67" s="153" t="s">
        <v>11</v>
      </c>
      <c r="G67" s="154">
        <v>0.01</v>
      </c>
      <c r="H67" s="148">
        <v>7.4999999999999997E-3</v>
      </c>
      <c r="I67" s="149" t="s">
        <v>32</v>
      </c>
      <c r="J67" s="152">
        <v>45854</v>
      </c>
      <c r="K67" s="155" t="s">
        <v>2302</v>
      </c>
      <c r="L67" s="156" t="s">
        <v>2303</v>
      </c>
    </row>
    <row r="68" spans="1:12">
      <c r="A68" s="37">
        <v>1898</v>
      </c>
      <c r="B68" s="150" t="s">
        <v>36</v>
      </c>
      <c r="C68" s="151">
        <v>15932</v>
      </c>
      <c r="D68" s="152">
        <v>45839</v>
      </c>
      <c r="E68" s="152">
        <v>45869</v>
      </c>
      <c r="F68" s="153" t="s">
        <v>11</v>
      </c>
      <c r="G68" s="154">
        <v>0.01</v>
      </c>
      <c r="H68" s="148">
        <v>7.4999999999999997E-3</v>
      </c>
      <c r="I68" s="149" t="s">
        <v>32</v>
      </c>
      <c r="J68" s="152">
        <v>45847</v>
      </c>
      <c r="K68" s="155" t="s">
        <v>2246</v>
      </c>
      <c r="L68" s="156" t="s">
        <v>2413</v>
      </c>
    </row>
    <row r="69" spans="1:12" ht="27">
      <c r="A69" s="37">
        <v>1899</v>
      </c>
      <c r="B69" s="150" t="s">
        <v>36</v>
      </c>
      <c r="C69" s="151">
        <v>13007</v>
      </c>
      <c r="D69" s="152">
        <v>45839</v>
      </c>
      <c r="E69" s="152">
        <v>45869</v>
      </c>
      <c r="F69" s="153" t="s">
        <v>11</v>
      </c>
      <c r="G69" s="154">
        <v>0.01</v>
      </c>
      <c r="H69" s="148">
        <v>4.0000000000000001E-3</v>
      </c>
      <c r="I69" s="149" t="s">
        <v>27</v>
      </c>
      <c r="J69" s="152">
        <v>45855</v>
      </c>
      <c r="K69" s="155" t="s">
        <v>2299</v>
      </c>
      <c r="L69" s="156" t="s">
        <v>107</v>
      </c>
    </row>
    <row r="70" spans="1:12" ht="27">
      <c r="A70" s="37">
        <v>1900</v>
      </c>
      <c r="B70" s="150" t="s">
        <v>36</v>
      </c>
      <c r="C70" s="151">
        <v>15008</v>
      </c>
      <c r="D70" s="152">
        <v>45839</v>
      </c>
      <c r="E70" s="152">
        <v>45869</v>
      </c>
      <c r="F70" s="153" t="s">
        <v>11</v>
      </c>
      <c r="G70" s="154">
        <v>200000</v>
      </c>
      <c r="H70" s="148">
        <v>7.4999999999999997E-3</v>
      </c>
      <c r="I70" s="149" t="s">
        <v>95</v>
      </c>
      <c r="J70" s="152">
        <v>45855</v>
      </c>
      <c r="K70" s="155" t="s">
        <v>2298</v>
      </c>
      <c r="L70" s="156" t="s">
        <v>990</v>
      </c>
    </row>
    <row r="71" spans="1:12">
      <c r="A71" s="37">
        <v>1901</v>
      </c>
      <c r="B71" s="150" t="s">
        <v>36</v>
      </c>
      <c r="C71" s="151">
        <v>16578</v>
      </c>
      <c r="D71" s="152">
        <v>45839</v>
      </c>
      <c r="E71" s="152">
        <v>45869</v>
      </c>
      <c r="F71" s="153" t="s">
        <v>11</v>
      </c>
      <c r="G71" s="154">
        <v>0.01</v>
      </c>
      <c r="H71" s="148">
        <v>3.0000000000000001E-3</v>
      </c>
      <c r="I71" s="149" t="s">
        <v>20</v>
      </c>
      <c r="J71" s="152">
        <v>45855</v>
      </c>
      <c r="K71" s="155" t="s">
        <v>2297</v>
      </c>
      <c r="L71" s="156" t="s">
        <v>107</v>
      </c>
    </row>
    <row r="72" spans="1:12" ht="27">
      <c r="A72" s="37">
        <v>1902</v>
      </c>
      <c r="B72" s="150" t="s">
        <v>36</v>
      </c>
      <c r="C72" s="151">
        <v>15421</v>
      </c>
      <c r="D72" s="152">
        <v>45839</v>
      </c>
      <c r="E72" s="152">
        <v>45869</v>
      </c>
      <c r="F72" s="153" t="s">
        <v>11</v>
      </c>
      <c r="G72" s="154">
        <v>0.01</v>
      </c>
      <c r="H72" s="148">
        <v>3.0000000000000001E-3</v>
      </c>
      <c r="I72" s="149" t="s">
        <v>95</v>
      </c>
      <c r="J72" s="152">
        <v>45855</v>
      </c>
      <c r="K72" s="155" t="s">
        <v>2296</v>
      </c>
      <c r="L72" s="156" t="s">
        <v>107</v>
      </c>
    </row>
    <row r="73" spans="1:12" ht="27">
      <c r="A73" s="37">
        <v>1903</v>
      </c>
      <c r="B73" s="150" t="s">
        <v>36</v>
      </c>
      <c r="C73" s="151">
        <v>14011</v>
      </c>
      <c r="D73" s="152">
        <v>45839</v>
      </c>
      <c r="E73" s="152">
        <v>45869</v>
      </c>
      <c r="F73" s="153" t="s">
        <v>11</v>
      </c>
      <c r="G73" s="154">
        <v>450000</v>
      </c>
      <c r="H73" s="148">
        <v>5.0000000000000001E-3</v>
      </c>
      <c r="I73" s="149" t="s">
        <v>95</v>
      </c>
      <c r="J73" s="152">
        <v>45855</v>
      </c>
      <c r="K73" s="155" t="s">
        <v>2295</v>
      </c>
      <c r="L73" s="156" t="s">
        <v>1350</v>
      </c>
    </row>
    <row r="74" spans="1:12" ht="27">
      <c r="A74" s="37">
        <v>1904</v>
      </c>
      <c r="B74" s="150" t="s">
        <v>36</v>
      </c>
      <c r="C74" s="151">
        <v>14011</v>
      </c>
      <c r="D74" s="152">
        <v>45839</v>
      </c>
      <c r="E74" s="152">
        <v>45869</v>
      </c>
      <c r="F74" s="153" t="s">
        <v>11</v>
      </c>
      <c r="G74" s="154">
        <v>0.01</v>
      </c>
      <c r="H74" s="148">
        <v>5.0000000000000001E-3</v>
      </c>
      <c r="I74" s="149" t="s">
        <v>95</v>
      </c>
      <c r="J74" s="152">
        <v>45855</v>
      </c>
      <c r="K74" s="155" t="s">
        <v>2295</v>
      </c>
      <c r="L74" s="156" t="s">
        <v>107</v>
      </c>
    </row>
    <row r="75" spans="1:12" ht="27">
      <c r="A75" s="37">
        <v>1905</v>
      </c>
      <c r="B75" s="150" t="s">
        <v>36</v>
      </c>
      <c r="C75" s="151">
        <v>16783</v>
      </c>
      <c r="D75" s="152">
        <v>45839</v>
      </c>
      <c r="E75" s="152">
        <v>45869</v>
      </c>
      <c r="F75" s="153" t="s">
        <v>11</v>
      </c>
      <c r="G75" s="154">
        <v>0.01</v>
      </c>
      <c r="H75" s="148">
        <v>3.0000000000000001E-3</v>
      </c>
      <c r="I75" s="149" t="s">
        <v>95</v>
      </c>
      <c r="J75" s="152">
        <v>45855</v>
      </c>
      <c r="K75" s="155" t="s">
        <v>2294</v>
      </c>
      <c r="L75" s="156" t="s">
        <v>107</v>
      </c>
    </row>
    <row r="76" spans="1:12" ht="27">
      <c r="A76" s="37">
        <v>1906</v>
      </c>
      <c r="B76" s="150" t="s">
        <v>36</v>
      </c>
      <c r="C76" s="151">
        <v>13440</v>
      </c>
      <c r="D76" s="152">
        <v>45839</v>
      </c>
      <c r="E76" s="152">
        <v>45869</v>
      </c>
      <c r="F76" s="153" t="s">
        <v>11</v>
      </c>
      <c r="G76" s="154">
        <v>0.01</v>
      </c>
      <c r="H76" s="148">
        <v>7.4999999999999997E-3</v>
      </c>
      <c r="I76" s="149" t="s">
        <v>95</v>
      </c>
      <c r="J76" s="152">
        <v>45855</v>
      </c>
      <c r="K76" s="155" t="s">
        <v>2293</v>
      </c>
      <c r="L76" s="156" t="s">
        <v>107</v>
      </c>
    </row>
    <row r="77" spans="1:12" ht="27">
      <c r="A77" s="37">
        <v>1907</v>
      </c>
      <c r="B77" s="150" t="s">
        <v>36</v>
      </c>
      <c r="C77" s="151">
        <v>13932</v>
      </c>
      <c r="D77" s="152">
        <v>45839</v>
      </c>
      <c r="E77" s="152">
        <v>45869</v>
      </c>
      <c r="F77" s="153" t="s">
        <v>11</v>
      </c>
      <c r="G77" s="154">
        <v>0.01</v>
      </c>
      <c r="H77" s="148">
        <v>3.0000000000000001E-3</v>
      </c>
      <c r="I77" s="149" t="s">
        <v>95</v>
      </c>
      <c r="J77" s="152">
        <v>45855</v>
      </c>
      <c r="K77" s="155" t="s">
        <v>2292</v>
      </c>
      <c r="L77" s="156" t="s">
        <v>107</v>
      </c>
    </row>
    <row r="78" spans="1:12" ht="27">
      <c r="A78" s="37">
        <v>1908</v>
      </c>
      <c r="B78" s="150" t="s">
        <v>36</v>
      </c>
      <c r="C78" s="151">
        <v>15564</v>
      </c>
      <c r="D78" s="152">
        <v>45839</v>
      </c>
      <c r="E78" s="152">
        <v>45869</v>
      </c>
      <c r="F78" s="153" t="s">
        <v>11</v>
      </c>
      <c r="G78" s="154">
        <v>0.01</v>
      </c>
      <c r="H78" s="148">
        <v>3.0000000000000001E-3</v>
      </c>
      <c r="I78" s="149" t="s">
        <v>95</v>
      </c>
      <c r="J78" s="152">
        <v>45855</v>
      </c>
      <c r="K78" s="155" t="s">
        <v>2291</v>
      </c>
      <c r="L78" s="156" t="s">
        <v>107</v>
      </c>
    </row>
    <row r="79" spans="1:12" ht="27">
      <c r="A79" s="37">
        <v>1909</v>
      </c>
      <c r="B79" s="150" t="s">
        <v>36</v>
      </c>
      <c r="C79" s="151" t="s">
        <v>2288</v>
      </c>
      <c r="D79" s="152">
        <v>45839</v>
      </c>
      <c r="E79" s="152">
        <v>45869</v>
      </c>
      <c r="F79" s="153" t="s">
        <v>11</v>
      </c>
      <c r="G79" s="154">
        <v>1000</v>
      </c>
      <c r="H79" s="148">
        <v>0.02</v>
      </c>
      <c r="I79" s="149" t="s">
        <v>95</v>
      </c>
      <c r="J79" s="152">
        <v>45855</v>
      </c>
      <c r="K79" s="155" t="s">
        <v>2023</v>
      </c>
      <c r="L79" s="156" t="s">
        <v>2289</v>
      </c>
    </row>
    <row r="80" spans="1:12">
      <c r="A80" s="37">
        <v>1910</v>
      </c>
      <c r="B80" s="150" t="s">
        <v>36</v>
      </c>
      <c r="C80" s="151">
        <v>16085</v>
      </c>
      <c r="D80" s="152">
        <v>45853</v>
      </c>
      <c r="E80" s="152">
        <v>45869</v>
      </c>
      <c r="F80" s="153" t="s">
        <v>11</v>
      </c>
      <c r="G80" s="154">
        <v>0.01</v>
      </c>
      <c r="H80" s="148">
        <v>1E-3</v>
      </c>
      <c r="I80" s="149" t="s">
        <v>25</v>
      </c>
      <c r="J80" s="152">
        <v>45855</v>
      </c>
      <c r="K80" s="155" t="s">
        <v>2287</v>
      </c>
      <c r="L80" s="156" t="s">
        <v>107</v>
      </c>
    </row>
    <row r="81" spans="1:12">
      <c r="A81" s="37">
        <v>1911</v>
      </c>
      <c r="B81" s="150" t="s">
        <v>36</v>
      </c>
      <c r="C81" s="151">
        <v>14105</v>
      </c>
      <c r="D81" s="152">
        <v>45839</v>
      </c>
      <c r="E81" s="152">
        <v>45869</v>
      </c>
      <c r="F81" s="153" t="s">
        <v>11</v>
      </c>
      <c r="G81" s="154">
        <v>0.01</v>
      </c>
      <c r="H81" s="148">
        <v>0.02</v>
      </c>
      <c r="I81" s="149" t="s">
        <v>32</v>
      </c>
      <c r="J81" s="152">
        <v>45855</v>
      </c>
      <c r="K81" s="155" t="s">
        <v>2285</v>
      </c>
      <c r="L81" s="156" t="s">
        <v>1635</v>
      </c>
    </row>
    <row r="82" spans="1:12">
      <c r="A82" s="37">
        <v>1912</v>
      </c>
      <c r="B82" s="150" t="s">
        <v>36</v>
      </c>
      <c r="C82" s="151">
        <v>14105</v>
      </c>
      <c r="D82" s="152">
        <v>45839</v>
      </c>
      <c r="E82" s="152">
        <v>45869</v>
      </c>
      <c r="F82" s="153" t="s">
        <v>11</v>
      </c>
      <c r="G82" s="154">
        <v>0.01</v>
      </c>
      <c r="H82" s="148">
        <v>2E-3</v>
      </c>
      <c r="I82" s="149" t="s">
        <v>32</v>
      </c>
      <c r="J82" s="152">
        <v>45855</v>
      </c>
      <c r="K82" s="155" t="s">
        <v>2285</v>
      </c>
      <c r="L82" s="156" t="s">
        <v>2286</v>
      </c>
    </row>
    <row r="83" spans="1:12">
      <c r="A83" s="37">
        <v>1913</v>
      </c>
      <c r="B83" s="150" t="s">
        <v>36</v>
      </c>
      <c r="C83" s="151" t="s">
        <v>2374</v>
      </c>
      <c r="D83" s="152">
        <v>45839</v>
      </c>
      <c r="E83" s="152">
        <v>45869</v>
      </c>
      <c r="F83" s="153" t="s">
        <v>11</v>
      </c>
      <c r="G83" s="154">
        <v>0.01</v>
      </c>
      <c r="H83" s="148">
        <v>6.0000000000000001E-3</v>
      </c>
      <c r="I83" s="149" t="s">
        <v>32</v>
      </c>
      <c r="J83" s="152">
        <v>45855</v>
      </c>
      <c r="K83" s="155" t="s">
        <v>2284</v>
      </c>
      <c r="L83" s="156" t="s">
        <v>107</v>
      </c>
    </row>
    <row r="84" spans="1:12">
      <c r="A84" s="37">
        <v>1914</v>
      </c>
      <c r="B84" s="150" t="s">
        <v>36</v>
      </c>
      <c r="C84" s="151">
        <v>14003</v>
      </c>
      <c r="D84" s="152">
        <v>45839</v>
      </c>
      <c r="E84" s="152">
        <v>45869</v>
      </c>
      <c r="F84" s="153" t="s">
        <v>11</v>
      </c>
      <c r="G84" s="154">
        <v>0.01</v>
      </c>
      <c r="H84" s="148">
        <v>5.0000000000000001E-3</v>
      </c>
      <c r="I84" s="149" t="s">
        <v>168</v>
      </c>
      <c r="J84" s="152">
        <v>45855</v>
      </c>
      <c r="K84" s="155" t="s">
        <v>2282</v>
      </c>
      <c r="L84" s="156" t="s">
        <v>107</v>
      </c>
    </row>
    <row r="85" spans="1:12">
      <c r="A85" s="37">
        <v>1915</v>
      </c>
      <c r="B85" s="150" t="s">
        <v>36</v>
      </c>
      <c r="C85" s="151" t="s">
        <v>2442</v>
      </c>
      <c r="D85" s="152">
        <v>45839</v>
      </c>
      <c r="E85" s="152">
        <v>45869</v>
      </c>
      <c r="F85" s="153" t="s">
        <v>11</v>
      </c>
      <c r="G85" s="154">
        <v>200000</v>
      </c>
      <c r="H85" s="148">
        <v>7.4999999999999997E-3</v>
      </c>
      <c r="I85" s="149" t="s">
        <v>20</v>
      </c>
      <c r="J85" s="152">
        <v>45854</v>
      </c>
      <c r="K85" s="155" t="s">
        <v>2281</v>
      </c>
      <c r="L85" s="156" t="s">
        <v>107</v>
      </c>
    </row>
    <row r="86" spans="1:12">
      <c r="A86" s="37">
        <v>1916</v>
      </c>
      <c r="B86" s="150" t="s">
        <v>36</v>
      </c>
      <c r="C86" s="151">
        <v>14054</v>
      </c>
      <c r="D86" s="152">
        <v>45854</v>
      </c>
      <c r="E86" s="152">
        <v>45869</v>
      </c>
      <c r="F86" s="153" t="s">
        <v>11</v>
      </c>
      <c r="G86" s="154">
        <v>50000</v>
      </c>
      <c r="H86" s="148">
        <v>5.0000000000000001E-3</v>
      </c>
      <c r="I86" s="149" t="s">
        <v>20</v>
      </c>
      <c r="J86" s="152">
        <v>45854</v>
      </c>
      <c r="K86" s="155" t="s">
        <v>2279</v>
      </c>
      <c r="L86" s="156" t="s">
        <v>2280</v>
      </c>
    </row>
    <row r="87" spans="1:12">
      <c r="A87" s="37">
        <v>1917</v>
      </c>
      <c r="B87" s="150" t="s">
        <v>36</v>
      </c>
      <c r="C87" s="158">
        <v>16754</v>
      </c>
      <c r="D87" s="159">
        <v>45839</v>
      </c>
      <c r="E87" s="159">
        <v>45868</v>
      </c>
      <c r="F87" s="160" t="s">
        <v>11</v>
      </c>
      <c r="G87" s="154">
        <v>0.01</v>
      </c>
      <c r="H87" s="161">
        <v>0.01</v>
      </c>
      <c r="I87" s="149" t="s">
        <v>18</v>
      </c>
      <c r="J87" s="159">
        <v>45854</v>
      </c>
      <c r="K87" s="155" t="s">
        <v>2278</v>
      </c>
      <c r="L87" s="162" t="s">
        <v>2390</v>
      </c>
    </row>
    <row r="88" spans="1:12">
      <c r="A88" s="37">
        <v>1918</v>
      </c>
      <c r="B88" s="150" t="s">
        <v>36</v>
      </c>
      <c r="C88" s="158">
        <v>11820</v>
      </c>
      <c r="D88" s="159">
        <v>45839</v>
      </c>
      <c r="E88" s="159">
        <v>45869</v>
      </c>
      <c r="F88" s="160" t="s">
        <v>11</v>
      </c>
      <c r="G88" s="154">
        <v>0.01</v>
      </c>
      <c r="H88" s="161">
        <v>2E-3</v>
      </c>
      <c r="I88" s="149" t="s">
        <v>21</v>
      </c>
      <c r="J88" s="159">
        <v>45854</v>
      </c>
      <c r="K88" s="155" t="s">
        <v>2275</v>
      </c>
      <c r="L88" s="167" t="s">
        <v>2496</v>
      </c>
    </row>
    <row r="89" spans="1:12">
      <c r="A89" s="37">
        <v>1919</v>
      </c>
      <c r="B89" s="150" t="s">
        <v>36</v>
      </c>
      <c r="C89" s="158">
        <v>11820</v>
      </c>
      <c r="D89" s="159">
        <v>45839</v>
      </c>
      <c r="E89" s="159">
        <v>45869</v>
      </c>
      <c r="F89" s="160" t="s">
        <v>11</v>
      </c>
      <c r="G89" s="154">
        <v>0.01</v>
      </c>
      <c r="H89" s="161">
        <v>5.0000000000000001E-3</v>
      </c>
      <c r="I89" s="149" t="s">
        <v>19</v>
      </c>
      <c r="J89" s="159">
        <v>45854</v>
      </c>
      <c r="K89" s="155" t="s">
        <v>2275</v>
      </c>
      <c r="L89" s="162" t="s">
        <v>2277</v>
      </c>
    </row>
    <row r="90" spans="1:12">
      <c r="A90" s="37">
        <v>1920</v>
      </c>
      <c r="B90" s="150" t="s">
        <v>36</v>
      </c>
      <c r="C90" s="151">
        <v>11820</v>
      </c>
      <c r="D90" s="152">
        <v>45839</v>
      </c>
      <c r="E90" s="152">
        <v>45869</v>
      </c>
      <c r="F90" s="153" t="s">
        <v>11</v>
      </c>
      <c r="G90" s="154">
        <v>0.01</v>
      </c>
      <c r="H90" s="148">
        <v>1.4999999999999999E-2</v>
      </c>
      <c r="I90" s="149" t="s">
        <v>19</v>
      </c>
      <c r="J90" s="159">
        <v>45854</v>
      </c>
      <c r="K90" s="155" t="s">
        <v>2275</v>
      </c>
      <c r="L90" s="156" t="s">
        <v>2276</v>
      </c>
    </row>
    <row r="91" spans="1:12">
      <c r="A91" s="37">
        <v>1921</v>
      </c>
      <c r="B91" s="150" t="s">
        <v>36</v>
      </c>
      <c r="C91" s="151">
        <v>14495</v>
      </c>
      <c r="D91" s="152">
        <v>45839</v>
      </c>
      <c r="E91" s="152">
        <v>45869</v>
      </c>
      <c r="F91" s="153" t="s">
        <v>11</v>
      </c>
      <c r="G91" s="154">
        <v>0.01</v>
      </c>
      <c r="H91" s="148">
        <v>5.0000000000000001E-3</v>
      </c>
      <c r="I91" s="149" t="s">
        <v>19</v>
      </c>
      <c r="J91" s="159">
        <v>45854</v>
      </c>
      <c r="K91" s="155" t="s">
        <v>2274</v>
      </c>
      <c r="L91" s="156" t="s">
        <v>107</v>
      </c>
    </row>
    <row r="92" spans="1:12">
      <c r="A92" s="37">
        <v>1922</v>
      </c>
      <c r="B92" s="150" t="s">
        <v>36</v>
      </c>
      <c r="C92" s="158">
        <v>14194</v>
      </c>
      <c r="D92" s="159">
        <v>45839</v>
      </c>
      <c r="E92" s="159">
        <v>45869</v>
      </c>
      <c r="F92" s="160" t="s">
        <v>11</v>
      </c>
      <c r="G92" s="154">
        <v>0.01</v>
      </c>
      <c r="H92" s="161">
        <v>5.0000000000000001E-3</v>
      </c>
      <c r="I92" s="149" t="s">
        <v>20</v>
      </c>
      <c r="J92" s="159">
        <v>45854</v>
      </c>
      <c r="K92" s="155" t="s">
        <v>2274</v>
      </c>
      <c r="L92" s="156" t="s">
        <v>107</v>
      </c>
    </row>
    <row r="93" spans="1:12">
      <c r="A93" s="37">
        <v>1923</v>
      </c>
      <c r="B93" s="150" t="s">
        <v>36</v>
      </c>
      <c r="C93" s="151">
        <v>17683</v>
      </c>
      <c r="D93" s="152">
        <v>45839</v>
      </c>
      <c r="E93" s="152">
        <v>45869</v>
      </c>
      <c r="F93" s="153" t="s">
        <v>11</v>
      </c>
      <c r="G93" s="154">
        <v>0.01</v>
      </c>
      <c r="H93" s="148">
        <v>6.4999999999999997E-3</v>
      </c>
      <c r="I93" s="149" t="s">
        <v>20</v>
      </c>
      <c r="J93" s="159">
        <v>45854</v>
      </c>
      <c r="K93" s="155" t="s">
        <v>2273</v>
      </c>
      <c r="L93" s="156" t="s">
        <v>990</v>
      </c>
    </row>
    <row r="94" spans="1:12">
      <c r="A94" s="37">
        <v>1924</v>
      </c>
      <c r="B94" s="150" t="s">
        <v>36</v>
      </c>
      <c r="C94" s="151">
        <v>9248</v>
      </c>
      <c r="D94" s="152">
        <v>45839</v>
      </c>
      <c r="E94" s="152">
        <v>45869</v>
      </c>
      <c r="F94" s="153" t="s">
        <v>11</v>
      </c>
      <c r="G94" s="154">
        <v>0.01</v>
      </c>
      <c r="H94" s="148">
        <v>5.0000000000000001E-3</v>
      </c>
      <c r="I94" s="149" t="s">
        <v>20</v>
      </c>
      <c r="J94" s="159">
        <v>45854</v>
      </c>
      <c r="K94" s="155" t="s">
        <v>2272</v>
      </c>
      <c r="L94" s="156" t="s">
        <v>222</v>
      </c>
    </row>
    <row r="95" spans="1:12">
      <c r="A95" s="37">
        <v>1925</v>
      </c>
      <c r="B95" s="150" t="s">
        <v>36</v>
      </c>
      <c r="C95" s="158">
        <v>9248</v>
      </c>
      <c r="D95" s="159">
        <v>45839</v>
      </c>
      <c r="E95" s="159">
        <v>45869</v>
      </c>
      <c r="F95" s="160" t="s">
        <v>11</v>
      </c>
      <c r="G95" s="154">
        <v>0.01</v>
      </c>
      <c r="H95" s="161">
        <v>6.4999999999999997E-3</v>
      </c>
      <c r="I95" s="149" t="s">
        <v>20</v>
      </c>
      <c r="J95" s="159">
        <v>45854</v>
      </c>
      <c r="K95" s="155" t="s">
        <v>2271</v>
      </c>
      <c r="L95" s="156" t="s">
        <v>990</v>
      </c>
    </row>
    <row r="96" spans="1:12">
      <c r="A96" s="37">
        <v>1926</v>
      </c>
      <c r="B96" s="150" t="s">
        <v>36</v>
      </c>
      <c r="C96" s="158">
        <v>3566</v>
      </c>
      <c r="D96" s="159">
        <v>45839</v>
      </c>
      <c r="E96" s="159">
        <v>45869</v>
      </c>
      <c r="F96" s="160" t="s">
        <v>11</v>
      </c>
      <c r="G96" s="154">
        <v>0.01</v>
      </c>
      <c r="H96" s="161">
        <v>5.0000000000000001E-3</v>
      </c>
      <c r="I96" s="149" t="s">
        <v>20</v>
      </c>
      <c r="J96" s="159">
        <v>45854</v>
      </c>
      <c r="K96" s="155" t="s">
        <v>2270</v>
      </c>
      <c r="L96" s="162" t="s">
        <v>222</v>
      </c>
    </row>
    <row r="97" spans="1:12">
      <c r="A97" s="37">
        <v>1927</v>
      </c>
      <c r="B97" s="150" t="s">
        <v>36</v>
      </c>
      <c r="C97" s="151">
        <v>3566</v>
      </c>
      <c r="D97" s="152">
        <v>45839</v>
      </c>
      <c r="E97" s="152">
        <v>45869</v>
      </c>
      <c r="F97" s="153" t="s">
        <v>11</v>
      </c>
      <c r="G97" s="154">
        <v>500000</v>
      </c>
      <c r="H97" s="148">
        <v>7.0000000000000001E-3</v>
      </c>
      <c r="I97" s="149" t="s">
        <v>20</v>
      </c>
      <c r="J97" s="159">
        <v>45854</v>
      </c>
      <c r="K97" s="155" t="s">
        <v>1978</v>
      </c>
      <c r="L97" s="156" t="s">
        <v>990</v>
      </c>
    </row>
    <row r="98" spans="1:12">
      <c r="A98" s="37">
        <v>1928</v>
      </c>
      <c r="B98" s="150" t="s">
        <v>36</v>
      </c>
      <c r="C98" s="151">
        <v>14910</v>
      </c>
      <c r="D98" s="152">
        <v>45839</v>
      </c>
      <c r="E98" s="152">
        <v>45869</v>
      </c>
      <c r="F98" s="153" t="s">
        <v>11</v>
      </c>
      <c r="G98" s="154">
        <v>200000</v>
      </c>
      <c r="H98" s="148">
        <v>5.0000000000000001E-3</v>
      </c>
      <c r="I98" s="149" t="s">
        <v>20</v>
      </c>
      <c r="J98" s="159">
        <v>45854</v>
      </c>
      <c r="K98" s="155" t="s">
        <v>2269</v>
      </c>
      <c r="L98" s="156" t="s">
        <v>128</v>
      </c>
    </row>
    <row r="99" spans="1:12">
      <c r="A99" s="37">
        <v>1929</v>
      </c>
      <c r="B99" s="150" t="s">
        <v>36</v>
      </c>
      <c r="C99" s="158" t="s">
        <v>148</v>
      </c>
      <c r="D99" s="159">
        <v>45839</v>
      </c>
      <c r="E99" s="159">
        <v>45869</v>
      </c>
      <c r="F99" s="160" t="s">
        <v>11</v>
      </c>
      <c r="G99" s="154">
        <v>800000</v>
      </c>
      <c r="H99" s="161">
        <v>1E-3</v>
      </c>
      <c r="I99" s="149" t="s">
        <v>20</v>
      </c>
      <c r="J99" s="159">
        <v>45854</v>
      </c>
      <c r="K99" s="155" t="s">
        <v>939</v>
      </c>
      <c r="L99" s="162" t="s">
        <v>2268</v>
      </c>
    </row>
    <row r="100" spans="1:12">
      <c r="A100" s="37">
        <v>1930</v>
      </c>
      <c r="B100" s="150" t="s">
        <v>36</v>
      </c>
      <c r="C100" s="158" t="s">
        <v>2267</v>
      </c>
      <c r="D100" s="159">
        <v>45839</v>
      </c>
      <c r="E100" s="159">
        <v>45869</v>
      </c>
      <c r="F100" s="160" t="s">
        <v>11</v>
      </c>
      <c r="G100" s="154">
        <v>0.01</v>
      </c>
      <c r="H100" s="161">
        <v>1E-3</v>
      </c>
      <c r="I100" s="149" t="s">
        <v>17</v>
      </c>
      <c r="J100" s="159">
        <v>45854</v>
      </c>
      <c r="K100" s="155" t="s">
        <v>1984</v>
      </c>
      <c r="L100" s="162" t="s">
        <v>2391</v>
      </c>
    </row>
    <row r="101" spans="1:12">
      <c r="A101" s="37">
        <v>1931</v>
      </c>
      <c r="B101" s="150" t="s">
        <v>36</v>
      </c>
      <c r="C101" s="151" t="s">
        <v>726</v>
      </c>
      <c r="D101" s="152">
        <v>45853</v>
      </c>
      <c r="E101" s="152">
        <v>45869</v>
      </c>
      <c r="F101" s="153" t="s">
        <v>11</v>
      </c>
      <c r="G101" s="154">
        <v>1000</v>
      </c>
      <c r="H101" s="148">
        <v>3.5000000000000003E-2</v>
      </c>
      <c r="I101" s="149" t="s">
        <v>17</v>
      </c>
      <c r="J101" s="159">
        <v>45854</v>
      </c>
      <c r="K101" s="155" t="s">
        <v>2265</v>
      </c>
      <c r="L101" s="156" t="s">
        <v>2266</v>
      </c>
    </row>
    <row r="102" spans="1:12">
      <c r="A102" s="37">
        <v>1932</v>
      </c>
      <c r="B102" s="150" t="s">
        <v>36</v>
      </c>
      <c r="C102" s="151">
        <v>3446</v>
      </c>
      <c r="D102" s="152">
        <v>45839</v>
      </c>
      <c r="E102" s="152">
        <v>45869</v>
      </c>
      <c r="F102" s="153" t="s">
        <v>11</v>
      </c>
      <c r="G102" s="154">
        <v>0.01</v>
      </c>
      <c r="H102" s="148">
        <v>5.0000000000000001E-3</v>
      </c>
      <c r="I102" s="149" t="s">
        <v>27</v>
      </c>
      <c r="J102" s="159">
        <v>45854</v>
      </c>
      <c r="K102" s="155" t="s">
        <v>2264</v>
      </c>
      <c r="L102" s="156" t="s">
        <v>2468</v>
      </c>
    </row>
    <row r="103" spans="1:12">
      <c r="A103" s="37">
        <v>1933</v>
      </c>
      <c r="B103" s="150" t="s">
        <v>36</v>
      </c>
      <c r="C103" s="151" t="s">
        <v>223</v>
      </c>
      <c r="D103" s="152">
        <v>45839</v>
      </c>
      <c r="E103" s="152">
        <v>45869</v>
      </c>
      <c r="F103" s="153" t="s">
        <v>11</v>
      </c>
      <c r="G103" s="154">
        <v>300000</v>
      </c>
      <c r="H103" s="148">
        <v>1.5E-3</v>
      </c>
      <c r="I103" s="149" t="s">
        <v>29</v>
      </c>
      <c r="J103" s="159">
        <v>45854</v>
      </c>
      <c r="K103" s="155" t="s">
        <v>2263</v>
      </c>
      <c r="L103" s="156" t="s">
        <v>2392</v>
      </c>
    </row>
    <row r="104" spans="1:12">
      <c r="A104" s="37">
        <v>1934</v>
      </c>
      <c r="B104" s="150" t="s">
        <v>36</v>
      </c>
      <c r="C104" s="151">
        <v>17143</v>
      </c>
      <c r="D104" s="152">
        <v>45839</v>
      </c>
      <c r="E104" s="152">
        <v>45869</v>
      </c>
      <c r="F104" s="153" t="s">
        <v>11</v>
      </c>
      <c r="G104" s="154">
        <v>0.01</v>
      </c>
      <c r="H104" s="148">
        <v>2.5000000000000001E-3</v>
      </c>
      <c r="I104" s="149" t="s">
        <v>32</v>
      </c>
      <c r="J104" s="159">
        <v>45854</v>
      </c>
      <c r="K104" s="155" t="s">
        <v>2262</v>
      </c>
      <c r="L104" s="166" t="s">
        <v>2464</v>
      </c>
    </row>
    <row r="105" spans="1:12">
      <c r="A105" s="37">
        <v>1935</v>
      </c>
      <c r="B105" s="150" t="s">
        <v>36</v>
      </c>
      <c r="C105" s="158">
        <v>15632</v>
      </c>
      <c r="D105" s="159">
        <v>45839</v>
      </c>
      <c r="E105" s="159">
        <v>45869</v>
      </c>
      <c r="F105" s="160" t="s">
        <v>11</v>
      </c>
      <c r="G105" s="154">
        <v>0.01</v>
      </c>
      <c r="H105" s="161">
        <v>3.0000000000000001E-3</v>
      </c>
      <c r="I105" s="149" t="s">
        <v>19</v>
      </c>
      <c r="J105" s="159">
        <v>45854</v>
      </c>
      <c r="K105" s="155" t="s">
        <v>2261</v>
      </c>
      <c r="L105" s="166" t="s">
        <v>2464</v>
      </c>
    </row>
    <row r="106" spans="1:12">
      <c r="A106" s="37">
        <v>1936</v>
      </c>
      <c r="B106" s="150" t="s">
        <v>36</v>
      </c>
      <c r="C106" s="158">
        <v>15216</v>
      </c>
      <c r="D106" s="159">
        <v>45839</v>
      </c>
      <c r="E106" s="159">
        <v>45869</v>
      </c>
      <c r="F106" s="160" t="s">
        <v>11</v>
      </c>
      <c r="G106" s="154">
        <v>0.01</v>
      </c>
      <c r="H106" s="161">
        <v>1.4999999999999999E-2</v>
      </c>
      <c r="I106" s="149" t="s">
        <v>19</v>
      </c>
      <c r="J106" s="159">
        <v>45854</v>
      </c>
      <c r="K106" s="155" t="s">
        <v>2257</v>
      </c>
      <c r="L106" s="162" t="s">
        <v>2258</v>
      </c>
    </row>
    <row r="107" spans="1:12">
      <c r="A107" s="37">
        <v>1937</v>
      </c>
      <c r="B107" s="150" t="s">
        <v>36</v>
      </c>
      <c r="C107" s="158" t="s">
        <v>125</v>
      </c>
      <c r="D107" s="159">
        <v>45839</v>
      </c>
      <c r="E107" s="159">
        <v>45869</v>
      </c>
      <c r="F107" s="160" t="s">
        <v>11</v>
      </c>
      <c r="G107" s="154">
        <v>150000</v>
      </c>
      <c r="H107" s="161">
        <v>3.0000000000000001E-3</v>
      </c>
      <c r="I107" s="149" t="s">
        <v>29</v>
      </c>
      <c r="J107" s="159">
        <v>45854</v>
      </c>
      <c r="K107" s="155" t="s">
        <v>2255</v>
      </c>
      <c r="L107" s="162" t="s">
        <v>2256</v>
      </c>
    </row>
    <row r="108" spans="1:12">
      <c r="A108" s="37">
        <v>1938</v>
      </c>
      <c r="B108" s="150" t="s">
        <v>36</v>
      </c>
      <c r="C108" s="151" t="s">
        <v>968</v>
      </c>
      <c r="D108" s="152">
        <v>45839</v>
      </c>
      <c r="E108" s="152">
        <v>45869</v>
      </c>
      <c r="F108" s="153" t="s">
        <v>11</v>
      </c>
      <c r="G108" s="154">
        <v>0.01</v>
      </c>
      <c r="H108" s="148">
        <v>3.0000000000000001E-3</v>
      </c>
      <c r="I108" s="149" t="s">
        <v>18</v>
      </c>
      <c r="J108" s="159">
        <v>45854</v>
      </c>
      <c r="K108" s="155" t="s">
        <v>1947</v>
      </c>
      <c r="L108" s="156" t="s">
        <v>711</v>
      </c>
    </row>
    <row r="109" spans="1:12">
      <c r="A109" s="37">
        <v>1939</v>
      </c>
      <c r="B109" s="150" t="s">
        <v>36</v>
      </c>
      <c r="C109" s="158" t="s">
        <v>968</v>
      </c>
      <c r="D109" s="159">
        <v>45839</v>
      </c>
      <c r="E109" s="159">
        <v>45869</v>
      </c>
      <c r="F109" s="160" t="s">
        <v>11</v>
      </c>
      <c r="G109" s="154">
        <v>0.01</v>
      </c>
      <c r="H109" s="161">
        <v>0.03</v>
      </c>
      <c r="I109" s="149" t="s">
        <v>14</v>
      </c>
      <c r="J109" s="159">
        <v>45854</v>
      </c>
      <c r="K109" s="155" t="s">
        <v>1947</v>
      </c>
      <c r="L109" s="162" t="s">
        <v>1404</v>
      </c>
    </row>
    <row r="110" spans="1:12">
      <c r="A110" s="37">
        <v>1940</v>
      </c>
      <c r="B110" s="150" t="s">
        <v>36</v>
      </c>
      <c r="C110" s="158">
        <v>8571</v>
      </c>
      <c r="D110" s="159">
        <v>45839</v>
      </c>
      <c r="E110" s="159">
        <v>45869</v>
      </c>
      <c r="F110" s="160" t="s">
        <v>11</v>
      </c>
      <c r="G110" s="154">
        <v>0.01</v>
      </c>
      <c r="H110" s="161">
        <v>5.0000000000000001E-3</v>
      </c>
      <c r="I110" s="149" t="s">
        <v>14</v>
      </c>
      <c r="J110" s="159">
        <v>45854</v>
      </c>
      <c r="K110" s="155" t="s">
        <v>1947</v>
      </c>
      <c r="L110" s="162" t="s">
        <v>711</v>
      </c>
    </row>
    <row r="111" spans="1:12">
      <c r="A111" s="37">
        <v>1941</v>
      </c>
      <c r="B111" s="150" t="s">
        <v>36</v>
      </c>
      <c r="C111" s="151">
        <v>7150</v>
      </c>
      <c r="D111" s="152">
        <v>45839</v>
      </c>
      <c r="E111" s="152">
        <v>45869</v>
      </c>
      <c r="F111" s="153" t="s">
        <v>11</v>
      </c>
      <c r="G111" s="154">
        <v>0.01</v>
      </c>
      <c r="H111" s="148">
        <v>5.0000000000000001E-3</v>
      </c>
      <c r="I111" s="149" t="s">
        <v>14</v>
      </c>
      <c r="J111" s="159">
        <v>45854</v>
      </c>
      <c r="K111" s="155" t="s">
        <v>1947</v>
      </c>
      <c r="L111" s="156" t="s">
        <v>711</v>
      </c>
    </row>
    <row r="112" spans="1:12">
      <c r="A112" s="37">
        <v>1942</v>
      </c>
      <c r="B112" s="150" t="s">
        <v>36</v>
      </c>
      <c r="C112" s="151" t="s">
        <v>710</v>
      </c>
      <c r="D112" s="152">
        <v>45839</v>
      </c>
      <c r="E112" s="152">
        <v>45869</v>
      </c>
      <c r="F112" s="153" t="s">
        <v>11</v>
      </c>
      <c r="G112" s="154">
        <v>0.01</v>
      </c>
      <c r="H112" s="148">
        <v>0.01</v>
      </c>
      <c r="I112" s="149" t="s">
        <v>14</v>
      </c>
      <c r="J112" s="159">
        <v>45854</v>
      </c>
      <c r="K112" s="155" t="s">
        <v>1947</v>
      </c>
      <c r="L112" s="156" t="s">
        <v>711</v>
      </c>
    </row>
    <row r="113" spans="1:12">
      <c r="A113" s="37">
        <v>1943</v>
      </c>
      <c r="B113" s="150" t="s">
        <v>36</v>
      </c>
      <c r="C113" s="151" t="s">
        <v>710</v>
      </c>
      <c r="D113" s="152">
        <v>45839</v>
      </c>
      <c r="E113" s="152">
        <v>45869</v>
      </c>
      <c r="F113" s="153" t="s">
        <v>11</v>
      </c>
      <c r="G113" s="154">
        <v>0.01</v>
      </c>
      <c r="H113" s="148">
        <v>3.5000000000000003E-2</v>
      </c>
      <c r="I113" s="149" t="s">
        <v>14</v>
      </c>
      <c r="J113" s="159">
        <v>45854</v>
      </c>
      <c r="K113" s="155" t="s">
        <v>1947</v>
      </c>
      <c r="L113" s="156" t="s">
        <v>1404</v>
      </c>
    </row>
    <row r="114" spans="1:12">
      <c r="A114" s="37">
        <v>1944</v>
      </c>
      <c r="B114" s="150" t="s">
        <v>36</v>
      </c>
      <c r="C114" s="151">
        <v>15216</v>
      </c>
      <c r="D114" s="152">
        <v>45839</v>
      </c>
      <c r="E114" s="152">
        <v>45858</v>
      </c>
      <c r="F114" s="153" t="s">
        <v>11</v>
      </c>
      <c r="G114" s="154">
        <v>0.01</v>
      </c>
      <c r="H114" s="148">
        <v>5.0000000000000001E-3</v>
      </c>
      <c r="I114" s="149" t="s">
        <v>14</v>
      </c>
      <c r="J114" s="159">
        <v>45854</v>
      </c>
      <c r="K114" s="155" t="s">
        <v>2253</v>
      </c>
      <c r="L114" s="156" t="s">
        <v>2254</v>
      </c>
    </row>
    <row r="115" spans="1:12">
      <c r="A115" s="37">
        <v>1945</v>
      </c>
      <c r="B115" s="150" t="s">
        <v>36</v>
      </c>
      <c r="C115" s="151">
        <v>1532</v>
      </c>
      <c r="D115" s="152">
        <v>45839</v>
      </c>
      <c r="E115" s="152">
        <v>45869</v>
      </c>
      <c r="F115" s="153" t="s">
        <v>11</v>
      </c>
      <c r="G115" s="154">
        <v>0.01</v>
      </c>
      <c r="H115" s="148">
        <v>5.0000000000000001E-3</v>
      </c>
      <c r="I115" s="149" t="s">
        <v>29</v>
      </c>
      <c r="J115" s="159">
        <v>45854</v>
      </c>
      <c r="K115" s="155" t="s">
        <v>2055</v>
      </c>
      <c r="L115" s="166" t="s">
        <v>2464</v>
      </c>
    </row>
    <row r="116" spans="1:12">
      <c r="A116" s="37">
        <v>1946</v>
      </c>
      <c r="B116" s="150" t="s">
        <v>36</v>
      </c>
      <c r="C116" s="151">
        <v>17974</v>
      </c>
      <c r="D116" s="152">
        <v>45839</v>
      </c>
      <c r="E116" s="152">
        <v>45869</v>
      </c>
      <c r="F116" s="153" t="s">
        <v>11</v>
      </c>
      <c r="G116" s="154">
        <v>0.01</v>
      </c>
      <c r="H116" s="148" t="s">
        <v>2420</v>
      </c>
      <c r="I116" s="149" t="s">
        <v>29</v>
      </c>
      <c r="J116" s="159">
        <v>45854</v>
      </c>
      <c r="K116" s="155" t="s">
        <v>2252</v>
      </c>
      <c r="L116" s="156" t="s">
        <v>1358</v>
      </c>
    </row>
    <row r="117" spans="1:12">
      <c r="A117" s="37">
        <v>1947</v>
      </c>
      <c r="B117" s="150" t="s">
        <v>36</v>
      </c>
      <c r="C117" s="151">
        <v>2838</v>
      </c>
      <c r="D117" s="152">
        <v>45839</v>
      </c>
      <c r="E117" s="152">
        <v>45869</v>
      </c>
      <c r="F117" s="153" t="s">
        <v>11</v>
      </c>
      <c r="G117" s="154">
        <v>0.01</v>
      </c>
      <c r="H117" s="148">
        <v>0.01</v>
      </c>
      <c r="I117" s="149" t="s">
        <v>13</v>
      </c>
      <c r="J117" s="159">
        <v>45854</v>
      </c>
      <c r="K117" s="155" t="s">
        <v>2251</v>
      </c>
      <c r="L117" s="156" t="s">
        <v>938</v>
      </c>
    </row>
    <row r="118" spans="1:12">
      <c r="A118" s="37">
        <v>1948</v>
      </c>
      <c r="B118" s="150" t="s">
        <v>36</v>
      </c>
      <c r="C118" s="151">
        <v>1577</v>
      </c>
      <c r="D118" s="152">
        <v>45839</v>
      </c>
      <c r="E118" s="152">
        <v>45869</v>
      </c>
      <c r="F118" s="153" t="s">
        <v>11</v>
      </c>
      <c r="G118" s="154">
        <v>100000</v>
      </c>
      <c r="H118" s="148">
        <v>3.0000000000000001E-3</v>
      </c>
      <c r="I118" s="149" t="s">
        <v>29</v>
      </c>
      <c r="J118" s="159">
        <v>45854</v>
      </c>
      <c r="K118" s="155" t="s">
        <v>2250</v>
      </c>
      <c r="L118" s="156" t="s">
        <v>2301</v>
      </c>
    </row>
    <row r="119" spans="1:12">
      <c r="A119" s="37">
        <v>1949</v>
      </c>
      <c r="B119" s="150" t="s">
        <v>36</v>
      </c>
      <c r="C119" s="151">
        <v>1577</v>
      </c>
      <c r="D119" s="152">
        <v>45839</v>
      </c>
      <c r="E119" s="152">
        <v>45869</v>
      </c>
      <c r="F119" s="153" t="s">
        <v>11</v>
      </c>
      <c r="G119" s="154">
        <v>500000</v>
      </c>
      <c r="H119" s="148">
        <v>5.0000000000000001E-3</v>
      </c>
      <c r="I119" s="149" t="s">
        <v>18</v>
      </c>
      <c r="J119" s="159">
        <v>45854</v>
      </c>
      <c r="K119" s="155" t="s">
        <v>2250</v>
      </c>
      <c r="L119" s="156" t="s">
        <v>2301</v>
      </c>
    </row>
    <row r="120" spans="1:12">
      <c r="A120" s="37">
        <v>1950</v>
      </c>
      <c r="B120" s="150" t="s">
        <v>36</v>
      </c>
      <c r="C120" s="151">
        <v>695</v>
      </c>
      <c r="D120" s="152">
        <v>45839</v>
      </c>
      <c r="E120" s="152">
        <v>45869</v>
      </c>
      <c r="F120" s="153" t="s">
        <v>11</v>
      </c>
      <c r="G120" s="154">
        <v>0.01</v>
      </c>
      <c r="H120" s="148">
        <v>2E-3</v>
      </c>
      <c r="I120" s="149" t="s">
        <v>18</v>
      </c>
      <c r="J120" s="159">
        <v>45854</v>
      </c>
      <c r="K120" s="155" t="s">
        <v>2249</v>
      </c>
      <c r="L120" s="156" t="s">
        <v>1729</v>
      </c>
    </row>
    <row r="121" spans="1:12">
      <c r="A121" s="37">
        <v>1951</v>
      </c>
      <c r="B121" s="150" t="s">
        <v>36</v>
      </c>
      <c r="C121" s="151">
        <v>4097</v>
      </c>
      <c r="D121" s="152">
        <v>45839</v>
      </c>
      <c r="E121" s="152">
        <v>45869</v>
      </c>
      <c r="F121" s="153" t="s">
        <v>11</v>
      </c>
      <c r="G121" s="154">
        <v>0.01</v>
      </c>
      <c r="H121" s="148">
        <v>3.0000000000000001E-3</v>
      </c>
      <c r="I121" s="149" t="s">
        <v>19</v>
      </c>
      <c r="J121" s="159">
        <v>45854</v>
      </c>
      <c r="K121" s="155" t="s">
        <v>2248</v>
      </c>
      <c r="L121" s="156" t="s">
        <v>989</v>
      </c>
    </row>
    <row r="122" spans="1:12" ht="27">
      <c r="A122" s="37">
        <v>1952</v>
      </c>
      <c r="B122" s="150" t="s">
        <v>36</v>
      </c>
      <c r="C122" s="151">
        <v>15932</v>
      </c>
      <c r="D122" s="152">
        <v>45839</v>
      </c>
      <c r="E122" s="152">
        <v>45869</v>
      </c>
      <c r="F122" s="153" t="s">
        <v>11</v>
      </c>
      <c r="G122" s="154">
        <v>0.01</v>
      </c>
      <c r="H122" s="148">
        <v>0.01</v>
      </c>
      <c r="I122" s="149" t="s">
        <v>95</v>
      </c>
      <c r="J122" s="159">
        <v>45847</v>
      </c>
      <c r="K122" s="155" t="s">
        <v>2246</v>
      </c>
      <c r="L122" s="156" t="s">
        <v>2393</v>
      </c>
    </row>
    <row r="123" spans="1:12">
      <c r="A123" s="37">
        <v>1953</v>
      </c>
      <c r="B123" s="150" t="s">
        <v>36</v>
      </c>
      <c r="C123" s="151">
        <v>15932</v>
      </c>
      <c r="D123" s="152">
        <v>45839</v>
      </c>
      <c r="E123" s="152">
        <v>45869</v>
      </c>
      <c r="F123" s="153" t="s">
        <v>11</v>
      </c>
      <c r="G123" s="154">
        <v>0.01</v>
      </c>
      <c r="H123" s="148">
        <v>3.5000000000000003E-2</v>
      </c>
      <c r="I123" s="149" t="s">
        <v>27</v>
      </c>
      <c r="J123" s="159">
        <v>45847</v>
      </c>
      <c r="K123" s="155" t="s">
        <v>2246</v>
      </c>
      <c r="L123" s="163" t="s">
        <v>2414</v>
      </c>
    </row>
    <row r="124" spans="1:12">
      <c r="A124" s="37">
        <v>1954</v>
      </c>
      <c r="B124" s="150" t="s">
        <v>36</v>
      </c>
      <c r="C124" s="151">
        <v>5804</v>
      </c>
      <c r="D124" s="152">
        <v>45839</v>
      </c>
      <c r="E124" s="152">
        <v>45869</v>
      </c>
      <c r="F124" s="153" t="s">
        <v>11</v>
      </c>
      <c r="G124" s="154">
        <v>0.01</v>
      </c>
      <c r="H124" s="148">
        <v>5.0000000000000001E-3</v>
      </c>
      <c r="I124" s="149" t="s">
        <v>27</v>
      </c>
      <c r="J124" s="159">
        <v>45847</v>
      </c>
      <c r="K124" s="155" t="s">
        <v>2246</v>
      </c>
      <c r="L124" s="163" t="s">
        <v>1846</v>
      </c>
    </row>
    <row r="125" spans="1:12">
      <c r="A125" s="37">
        <v>1955</v>
      </c>
      <c r="B125" s="150" t="s">
        <v>36</v>
      </c>
      <c r="C125" s="151" t="s">
        <v>2247</v>
      </c>
      <c r="D125" s="152">
        <v>45839</v>
      </c>
      <c r="E125" s="152">
        <v>45869</v>
      </c>
      <c r="F125" s="153" t="s">
        <v>11</v>
      </c>
      <c r="G125" s="154">
        <v>0.01</v>
      </c>
      <c r="H125" s="148">
        <v>3.0000000000000001E-3</v>
      </c>
      <c r="I125" s="149" t="s">
        <v>27</v>
      </c>
      <c r="J125" s="159">
        <v>45847</v>
      </c>
      <c r="K125" s="155" t="s">
        <v>2246</v>
      </c>
      <c r="L125" s="156" t="s">
        <v>130</v>
      </c>
    </row>
    <row r="126" spans="1:12">
      <c r="A126" s="37">
        <v>1956</v>
      </c>
      <c r="B126" s="150" t="s">
        <v>36</v>
      </c>
      <c r="C126" s="151">
        <v>5614</v>
      </c>
      <c r="D126" s="152">
        <v>45839</v>
      </c>
      <c r="E126" s="152">
        <v>45868</v>
      </c>
      <c r="F126" s="153" t="s">
        <v>11</v>
      </c>
      <c r="G126" s="154">
        <v>1000</v>
      </c>
      <c r="H126" s="148">
        <v>7.0000000000000001E-3</v>
      </c>
      <c r="I126" s="149" t="s">
        <v>27</v>
      </c>
      <c r="J126" s="159">
        <v>45846</v>
      </c>
      <c r="K126" s="155" t="s">
        <v>2245</v>
      </c>
      <c r="L126" s="156" t="s">
        <v>1078</v>
      </c>
    </row>
    <row r="127" spans="1:12">
      <c r="A127" s="37">
        <v>1957</v>
      </c>
      <c r="B127" s="150" t="s">
        <v>36</v>
      </c>
      <c r="C127" s="151" t="s">
        <v>1637</v>
      </c>
      <c r="D127" s="152">
        <v>45839</v>
      </c>
      <c r="E127" s="152">
        <v>45869</v>
      </c>
      <c r="F127" s="153" t="s">
        <v>11</v>
      </c>
      <c r="G127" s="154">
        <v>0.01</v>
      </c>
      <c r="H127" s="148">
        <v>5.0000000000000001E-3</v>
      </c>
      <c r="I127" s="149" t="s">
        <v>18</v>
      </c>
      <c r="J127" s="159">
        <v>45846</v>
      </c>
      <c r="K127" s="155" t="s">
        <v>2234</v>
      </c>
      <c r="L127" s="156" t="s">
        <v>2235</v>
      </c>
    </row>
    <row r="128" spans="1:12">
      <c r="A128" s="37">
        <v>1958</v>
      </c>
      <c r="B128" s="150" t="s">
        <v>36</v>
      </c>
      <c r="C128" s="151" t="s">
        <v>1044</v>
      </c>
      <c r="D128" s="152">
        <v>45839</v>
      </c>
      <c r="E128" s="152">
        <v>45869</v>
      </c>
      <c r="F128" s="153" t="s">
        <v>11</v>
      </c>
      <c r="G128" s="154">
        <v>0.01</v>
      </c>
      <c r="H128" s="148">
        <v>7.4999999999999997E-3</v>
      </c>
      <c r="I128" s="149" t="s">
        <v>14</v>
      </c>
      <c r="J128" s="159">
        <v>45846</v>
      </c>
      <c r="K128" s="155" t="s">
        <v>2234</v>
      </c>
      <c r="L128" s="156" t="s">
        <v>107</v>
      </c>
    </row>
    <row r="129" spans="1:12">
      <c r="A129" s="37">
        <v>1959</v>
      </c>
      <c r="B129" s="150" t="s">
        <v>36</v>
      </c>
      <c r="C129" s="151" t="s">
        <v>1637</v>
      </c>
      <c r="D129" s="152">
        <v>45839</v>
      </c>
      <c r="E129" s="152">
        <v>45869</v>
      </c>
      <c r="F129" s="153" t="s">
        <v>11</v>
      </c>
      <c r="G129" s="154">
        <v>0.01</v>
      </c>
      <c r="H129" s="148">
        <v>0.03</v>
      </c>
      <c r="I129" s="149" t="s">
        <v>14</v>
      </c>
      <c r="J129" s="159">
        <v>45846</v>
      </c>
      <c r="K129" s="155" t="s">
        <v>2234</v>
      </c>
      <c r="L129" s="156" t="s">
        <v>2394</v>
      </c>
    </row>
    <row r="130" spans="1:12">
      <c r="A130" s="37">
        <v>1960</v>
      </c>
      <c r="B130" s="150" t="s">
        <v>36</v>
      </c>
      <c r="C130" s="151" t="s">
        <v>1637</v>
      </c>
      <c r="D130" s="152">
        <v>45839</v>
      </c>
      <c r="E130" s="152">
        <v>45869</v>
      </c>
      <c r="F130" s="153" t="s">
        <v>11</v>
      </c>
      <c r="G130" s="154">
        <v>0.01</v>
      </c>
      <c r="H130" s="148">
        <v>7.4999999999999997E-3</v>
      </c>
      <c r="I130" s="149" t="s">
        <v>14</v>
      </c>
      <c r="J130" s="159">
        <v>45846</v>
      </c>
      <c r="K130" s="155" t="s">
        <v>2234</v>
      </c>
      <c r="L130" s="168" t="s">
        <v>2395</v>
      </c>
    </row>
    <row r="131" spans="1:12">
      <c r="A131" s="37">
        <v>1961</v>
      </c>
      <c r="B131" s="150" t="s">
        <v>36</v>
      </c>
      <c r="C131" s="151" t="s">
        <v>1796</v>
      </c>
      <c r="D131" s="152">
        <v>45839</v>
      </c>
      <c r="E131" s="152">
        <v>45869</v>
      </c>
      <c r="F131" s="153" t="s">
        <v>11</v>
      </c>
      <c r="G131" s="154">
        <v>0.01</v>
      </c>
      <c r="H131" s="148">
        <v>7.4999999999999997E-3</v>
      </c>
      <c r="I131" s="149" t="s">
        <v>14</v>
      </c>
      <c r="J131" s="159">
        <v>45846</v>
      </c>
      <c r="K131" s="155" t="s">
        <v>2234</v>
      </c>
      <c r="L131" s="156" t="s">
        <v>107</v>
      </c>
    </row>
    <row r="132" spans="1:12">
      <c r="A132" s="37">
        <v>1962</v>
      </c>
      <c r="B132" s="150" t="s">
        <v>36</v>
      </c>
      <c r="C132" s="151" t="s">
        <v>51</v>
      </c>
      <c r="D132" s="152">
        <v>45839</v>
      </c>
      <c r="E132" s="152">
        <v>45869</v>
      </c>
      <c r="F132" s="153" t="s">
        <v>11</v>
      </c>
      <c r="G132" s="154">
        <v>0.01</v>
      </c>
      <c r="H132" s="148">
        <v>1.4999999999999999E-2</v>
      </c>
      <c r="I132" s="149" t="s">
        <v>14</v>
      </c>
      <c r="J132" s="159">
        <v>45846</v>
      </c>
      <c r="K132" s="155" t="s">
        <v>2234</v>
      </c>
      <c r="L132" s="156" t="s">
        <v>2396</v>
      </c>
    </row>
    <row r="133" spans="1:12">
      <c r="A133" s="37">
        <v>1963</v>
      </c>
      <c r="B133" s="150" t="s">
        <v>36</v>
      </c>
      <c r="C133" s="151">
        <v>16977</v>
      </c>
      <c r="D133" s="152">
        <v>45839</v>
      </c>
      <c r="E133" s="152">
        <v>45869</v>
      </c>
      <c r="F133" s="153" t="s">
        <v>11</v>
      </c>
      <c r="G133" s="154">
        <v>0.01</v>
      </c>
      <c r="H133" s="148">
        <v>3.5000000000000003E-2</v>
      </c>
      <c r="I133" s="149" t="s">
        <v>14</v>
      </c>
      <c r="J133" s="159">
        <v>45846</v>
      </c>
      <c r="K133" s="155" t="s">
        <v>2232</v>
      </c>
      <c r="L133" s="156" t="s">
        <v>2233</v>
      </c>
    </row>
    <row r="134" spans="1:12">
      <c r="A134" s="37">
        <v>1964</v>
      </c>
      <c r="B134" s="150" t="s">
        <v>36</v>
      </c>
      <c r="C134" s="151">
        <v>16977</v>
      </c>
      <c r="D134" s="152">
        <v>45839</v>
      </c>
      <c r="E134" s="152">
        <v>45869</v>
      </c>
      <c r="F134" s="153" t="s">
        <v>11</v>
      </c>
      <c r="G134" s="154">
        <v>0.01</v>
      </c>
      <c r="H134" s="148">
        <v>8.0000000000000002E-3</v>
      </c>
      <c r="I134" s="149" t="s">
        <v>168</v>
      </c>
      <c r="J134" s="159">
        <v>45846</v>
      </c>
      <c r="K134" s="155" t="s">
        <v>2231</v>
      </c>
      <c r="L134" s="156" t="s">
        <v>2397</v>
      </c>
    </row>
    <row r="135" spans="1:12">
      <c r="A135" s="37">
        <v>1965</v>
      </c>
      <c r="B135" s="150" t="s">
        <v>36</v>
      </c>
      <c r="C135" s="151">
        <v>16358</v>
      </c>
      <c r="D135" s="152">
        <v>45839</v>
      </c>
      <c r="E135" s="152">
        <v>45869</v>
      </c>
      <c r="F135" s="153" t="s">
        <v>11</v>
      </c>
      <c r="G135" s="154">
        <v>0.01</v>
      </c>
      <c r="H135" s="148">
        <v>6.0000000000000001E-3</v>
      </c>
      <c r="I135" s="149" t="s">
        <v>168</v>
      </c>
      <c r="J135" s="159">
        <v>45846</v>
      </c>
      <c r="K135" s="155" t="s">
        <v>2230</v>
      </c>
      <c r="L135" s="156" t="s">
        <v>107</v>
      </c>
    </row>
    <row r="136" spans="1:12">
      <c r="A136" s="37">
        <v>1966</v>
      </c>
      <c r="B136" s="150" t="s">
        <v>36</v>
      </c>
      <c r="C136" s="151">
        <v>16474</v>
      </c>
      <c r="D136" s="152">
        <v>45839</v>
      </c>
      <c r="E136" s="152">
        <v>45869</v>
      </c>
      <c r="F136" s="153" t="s">
        <v>11</v>
      </c>
      <c r="G136" s="154">
        <v>0.01</v>
      </c>
      <c r="H136" s="148">
        <v>5.0000000000000001E-3</v>
      </c>
      <c r="I136" s="149" t="s">
        <v>168</v>
      </c>
      <c r="J136" s="159">
        <v>45846</v>
      </c>
      <c r="K136" s="155" t="s">
        <v>2229</v>
      </c>
      <c r="L136" s="156" t="s">
        <v>107</v>
      </c>
    </row>
    <row r="137" spans="1:12" ht="67.5">
      <c r="A137" s="37">
        <v>1967</v>
      </c>
      <c r="B137" s="150" t="s">
        <v>36</v>
      </c>
      <c r="C137" s="151" t="s">
        <v>1866</v>
      </c>
      <c r="D137" s="152">
        <v>45839</v>
      </c>
      <c r="E137" s="152">
        <v>45869</v>
      </c>
      <c r="F137" s="153" t="s">
        <v>11</v>
      </c>
      <c r="G137" s="154">
        <v>500000</v>
      </c>
      <c r="H137" s="148">
        <v>2E-3</v>
      </c>
      <c r="I137" s="149" t="s">
        <v>168</v>
      </c>
      <c r="J137" s="159">
        <v>45854</v>
      </c>
      <c r="K137" s="155" t="s">
        <v>2228</v>
      </c>
      <c r="L137" s="156" t="s">
        <v>2469</v>
      </c>
    </row>
    <row r="138" spans="1:12">
      <c r="A138" s="37">
        <v>1968</v>
      </c>
      <c r="B138" s="150" t="s">
        <v>36</v>
      </c>
      <c r="C138" s="151">
        <v>13053</v>
      </c>
      <c r="D138" s="152">
        <v>45839</v>
      </c>
      <c r="E138" s="152">
        <v>45869</v>
      </c>
      <c r="F138" s="153" t="s">
        <v>11</v>
      </c>
      <c r="G138" s="154">
        <v>500000</v>
      </c>
      <c r="H138" s="148">
        <v>1.7500000000000002E-2</v>
      </c>
      <c r="I138" s="149" t="s">
        <v>32</v>
      </c>
      <c r="J138" s="159">
        <v>45854</v>
      </c>
      <c r="K138" s="155" t="s">
        <v>2227</v>
      </c>
      <c r="L138" s="156" t="s">
        <v>2444</v>
      </c>
    </row>
    <row r="139" spans="1:12">
      <c r="A139" s="37">
        <v>1969</v>
      </c>
      <c r="B139" s="150" t="s">
        <v>36</v>
      </c>
      <c r="C139" s="151">
        <v>13053</v>
      </c>
      <c r="D139" s="152">
        <v>45839</v>
      </c>
      <c r="E139" s="152">
        <v>45869</v>
      </c>
      <c r="F139" s="153" t="s">
        <v>11</v>
      </c>
      <c r="G139" s="154">
        <v>1000</v>
      </c>
      <c r="H139" s="148">
        <v>1.4999999999999999E-2</v>
      </c>
      <c r="I139" s="149" t="s">
        <v>18</v>
      </c>
      <c r="J139" s="159">
        <v>45854</v>
      </c>
      <c r="K139" s="155" t="s">
        <v>2227</v>
      </c>
      <c r="L139" s="156" t="s">
        <v>2444</v>
      </c>
    </row>
    <row r="140" spans="1:12">
      <c r="A140" s="37">
        <v>1970</v>
      </c>
      <c r="B140" s="150" t="s">
        <v>36</v>
      </c>
      <c r="C140" s="151">
        <v>7640</v>
      </c>
      <c r="D140" s="152">
        <v>45839</v>
      </c>
      <c r="E140" s="152">
        <v>45869</v>
      </c>
      <c r="F140" s="153" t="s">
        <v>11</v>
      </c>
      <c r="G140" s="154">
        <v>100</v>
      </c>
      <c r="H140" s="148">
        <v>1.4999999999999999E-2</v>
      </c>
      <c r="I140" s="149" t="s">
        <v>18</v>
      </c>
      <c r="J140" s="159">
        <v>45849</v>
      </c>
      <c r="K140" s="155" t="s">
        <v>153</v>
      </c>
      <c r="L140" s="156" t="s">
        <v>2226</v>
      </c>
    </row>
    <row r="141" spans="1:12">
      <c r="A141" s="37">
        <v>1971</v>
      </c>
      <c r="B141" s="150" t="s">
        <v>36</v>
      </c>
      <c r="C141" s="151">
        <v>16153</v>
      </c>
      <c r="D141" s="152">
        <v>45839</v>
      </c>
      <c r="E141" s="152">
        <v>45869</v>
      </c>
      <c r="F141" s="153" t="s">
        <v>11</v>
      </c>
      <c r="G141" s="154">
        <v>100</v>
      </c>
      <c r="H141" s="148">
        <v>0.01</v>
      </c>
      <c r="I141" s="149" t="s">
        <v>49</v>
      </c>
      <c r="J141" s="159">
        <v>45849</v>
      </c>
      <c r="K141" s="155" t="s">
        <v>153</v>
      </c>
      <c r="L141" s="156" t="s">
        <v>2398</v>
      </c>
    </row>
    <row r="142" spans="1:12">
      <c r="A142" s="37">
        <v>1972</v>
      </c>
      <c r="B142" s="150" t="s">
        <v>36</v>
      </c>
      <c r="C142" s="151">
        <v>9648</v>
      </c>
      <c r="D142" s="152">
        <v>45839</v>
      </c>
      <c r="E142" s="152">
        <v>45869</v>
      </c>
      <c r="F142" s="153" t="s">
        <v>11</v>
      </c>
      <c r="G142" s="154">
        <v>100</v>
      </c>
      <c r="H142" s="148">
        <v>0.01</v>
      </c>
      <c r="I142" s="149" t="s">
        <v>49</v>
      </c>
      <c r="J142" s="159">
        <v>45849</v>
      </c>
      <c r="K142" s="155" t="s">
        <v>153</v>
      </c>
      <c r="L142" s="156" t="s">
        <v>2398</v>
      </c>
    </row>
    <row r="143" spans="1:12">
      <c r="A143" s="37">
        <v>1973</v>
      </c>
      <c r="B143" s="150" t="s">
        <v>36</v>
      </c>
      <c r="C143" s="151">
        <v>8437</v>
      </c>
      <c r="D143" s="152">
        <v>45839</v>
      </c>
      <c r="E143" s="152">
        <v>45869</v>
      </c>
      <c r="F143" s="153" t="s">
        <v>11</v>
      </c>
      <c r="G143" s="154">
        <v>100</v>
      </c>
      <c r="H143" s="148">
        <v>0.01</v>
      </c>
      <c r="I143" s="149" t="s">
        <v>49</v>
      </c>
      <c r="J143" s="159">
        <v>45849</v>
      </c>
      <c r="K143" s="155" t="s">
        <v>153</v>
      </c>
      <c r="L143" s="156" t="s">
        <v>2398</v>
      </c>
    </row>
    <row r="144" spans="1:12">
      <c r="A144" s="37">
        <v>1974</v>
      </c>
      <c r="B144" s="150" t="s">
        <v>36</v>
      </c>
      <c r="C144" s="151">
        <v>14750</v>
      </c>
      <c r="D144" s="152">
        <v>45839</v>
      </c>
      <c r="E144" s="152">
        <v>45869</v>
      </c>
      <c r="F144" s="153" t="s">
        <v>11</v>
      </c>
      <c r="G144" s="154">
        <v>100</v>
      </c>
      <c r="H144" s="148">
        <v>0.01</v>
      </c>
      <c r="I144" s="149" t="s">
        <v>49</v>
      </c>
      <c r="J144" s="159">
        <v>45849</v>
      </c>
      <c r="K144" s="155" t="s">
        <v>153</v>
      </c>
      <c r="L144" s="156" t="s">
        <v>2398</v>
      </c>
    </row>
    <row r="145" spans="1:12">
      <c r="A145" s="37">
        <v>1975</v>
      </c>
      <c r="B145" s="150" t="s">
        <v>36</v>
      </c>
      <c r="C145" s="151">
        <v>14750</v>
      </c>
      <c r="D145" s="152">
        <v>45839</v>
      </c>
      <c r="E145" s="152">
        <v>45869</v>
      </c>
      <c r="F145" s="153" t="s">
        <v>11</v>
      </c>
      <c r="G145" s="154">
        <v>100</v>
      </c>
      <c r="H145" s="148">
        <v>5.0000000000000001E-3</v>
      </c>
      <c r="I145" s="149" t="s">
        <v>49</v>
      </c>
      <c r="J145" s="159">
        <v>45849</v>
      </c>
      <c r="K145" s="155" t="s">
        <v>153</v>
      </c>
      <c r="L145" s="156" t="s">
        <v>107</v>
      </c>
    </row>
    <row r="146" spans="1:12">
      <c r="A146" s="37">
        <v>1976</v>
      </c>
      <c r="B146" s="150" t="s">
        <v>36</v>
      </c>
      <c r="C146" s="151">
        <v>14170</v>
      </c>
      <c r="D146" s="152">
        <v>45839</v>
      </c>
      <c r="E146" s="152">
        <v>45869</v>
      </c>
      <c r="F146" s="153" t="s">
        <v>11</v>
      </c>
      <c r="G146" s="154">
        <v>0.01</v>
      </c>
      <c r="H146" s="148">
        <v>8.9999999999999993E-3</v>
      </c>
      <c r="I146" s="149" t="s">
        <v>49</v>
      </c>
      <c r="J146" s="159">
        <v>45854</v>
      </c>
      <c r="K146" s="155" t="s">
        <v>2224</v>
      </c>
      <c r="L146" s="156" t="s">
        <v>2225</v>
      </c>
    </row>
    <row r="147" spans="1:12">
      <c r="A147" s="37">
        <v>1977</v>
      </c>
      <c r="B147" s="150" t="s">
        <v>36</v>
      </c>
      <c r="C147" s="151" t="s">
        <v>2223</v>
      </c>
      <c r="D147" s="152">
        <v>45839</v>
      </c>
      <c r="E147" s="152">
        <v>45869</v>
      </c>
      <c r="F147" s="153" t="s">
        <v>11</v>
      </c>
      <c r="G147" s="154">
        <v>10000</v>
      </c>
      <c r="H147" s="148">
        <v>7.4999999999999997E-3</v>
      </c>
      <c r="I147" s="149" t="s">
        <v>32</v>
      </c>
      <c r="J147" s="159">
        <v>45854</v>
      </c>
      <c r="K147" s="155" t="s">
        <v>2222</v>
      </c>
      <c r="L147" s="156" t="s">
        <v>855</v>
      </c>
    </row>
    <row r="148" spans="1:12">
      <c r="A148" s="37">
        <v>1978</v>
      </c>
      <c r="B148" s="150" t="s">
        <v>36</v>
      </c>
      <c r="C148" s="151">
        <v>14409</v>
      </c>
      <c r="D148" s="152">
        <v>45839</v>
      </c>
      <c r="E148" s="152">
        <v>45869</v>
      </c>
      <c r="F148" s="153" t="s">
        <v>11</v>
      </c>
      <c r="G148" s="154">
        <v>10000</v>
      </c>
      <c r="H148" s="148">
        <v>5.0000000000000001E-3</v>
      </c>
      <c r="I148" s="149" t="s">
        <v>18</v>
      </c>
      <c r="J148" s="159">
        <v>45854</v>
      </c>
      <c r="K148" s="155" t="s">
        <v>2222</v>
      </c>
      <c r="L148" s="156" t="s">
        <v>2048</v>
      </c>
    </row>
    <row r="149" spans="1:12">
      <c r="A149" s="37">
        <v>1979</v>
      </c>
      <c r="B149" s="150" t="s">
        <v>36</v>
      </c>
      <c r="C149" s="151">
        <v>5144</v>
      </c>
      <c r="D149" s="152">
        <v>45839</v>
      </c>
      <c r="E149" s="152">
        <v>45869</v>
      </c>
      <c r="F149" s="153" t="s">
        <v>11</v>
      </c>
      <c r="G149" s="154">
        <v>50000</v>
      </c>
      <c r="H149" s="148">
        <v>3.0000000000000001E-3</v>
      </c>
      <c r="I149" s="149" t="s">
        <v>18</v>
      </c>
      <c r="J149" s="159">
        <v>45852</v>
      </c>
      <c r="K149" s="155" t="s">
        <v>1949</v>
      </c>
      <c r="L149" s="156" t="s">
        <v>1548</v>
      </c>
    </row>
    <row r="150" spans="1:12">
      <c r="A150" s="37">
        <v>1980</v>
      </c>
      <c r="B150" s="150" t="s">
        <v>36</v>
      </c>
      <c r="C150" s="151">
        <v>14544</v>
      </c>
      <c r="D150" s="152">
        <v>45839</v>
      </c>
      <c r="E150" s="152">
        <v>45869</v>
      </c>
      <c r="F150" s="153" t="s">
        <v>11</v>
      </c>
      <c r="G150" s="154">
        <v>100000</v>
      </c>
      <c r="H150" s="148">
        <v>3.0000000000000001E-3</v>
      </c>
      <c r="I150" s="149" t="s">
        <v>18</v>
      </c>
      <c r="J150" s="159">
        <v>45852</v>
      </c>
      <c r="K150" s="155" t="s">
        <v>1949</v>
      </c>
      <c r="L150" s="156" t="s">
        <v>1548</v>
      </c>
    </row>
    <row r="151" spans="1:12">
      <c r="A151" s="37">
        <v>1981</v>
      </c>
      <c r="B151" s="150" t="s">
        <v>36</v>
      </c>
      <c r="C151" s="151">
        <v>15664</v>
      </c>
      <c r="D151" s="152">
        <v>45839</v>
      </c>
      <c r="E151" s="152">
        <v>45869</v>
      </c>
      <c r="F151" s="153" t="s">
        <v>11</v>
      </c>
      <c r="G151" s="154">
        <v>50000</v>
      </c>
      <c r="H151" s="148">
        <v>3.0000000000000001E-3</v>
      </c>
      <c r="I151" s="149" t="s">
        <v>18</v>
      </c>
      <c r="J151" s="159">
        <v>45852</v>
      </c>
      <c r="K151" s="155" t="s">
        <v>1949</v>
      </c>
      <c r="L151" s="156" t="s">
        <v>1548</v>
      </c>
    </row>
    <row r="152" spans="1:12">
      <c r="A152" s="37">
        <v>1982</v>
      </c>
      <c r="B152" s="150" t="s">
        <v>36</v>
      </c>
      <c r="C152" s="151" t="s">
        <v>1951</v>
      </c>
      <c r="D152" s="152">
        <v>45839</v>
      </c>
      <c r="E152" s="152">
        <v>45869</v>
      </c>
      <c r="F152" s="153" t="s">
        <v>11</v>
      </c>
      <c r="G152" s="154">
        <v>50000</v>
      </c>
      <c r="H152" s="148">
        <v>3.0000000000000001E-3</v>
      </c>
      <c r="I152" s="149" t="s">
        <v>18</v>
      </c>
      <c r="J152" s="159">
        <v>45852</v>
      </c>
      <c r="K152" s="155" t="s">
        <v>1949</v>
      </c>
      <c r="L152" s="156" t="s">
        <v>1548</v>
      </c>
    </row>
    <row r="153" spans="1:12">
      <c r="A153" s="37">
        <v>1983</v>
      </c>
      <c r="B153" s="150" t="s">
        <v>36</v>
      </c>
      <c r="C153" s="151" t="s">
        <v>916</v>
      </c>
      <c r="D153" s="152">
        <v>45839</v>
      </c>
      <c r="E153" s="152">
        <v>45869</v>
      </c>
      <c r="F153" s="153" t="s">
        <v>11</v>
      </c>
      <c r="G153" s="154">
        <v>100000</v>
      </c>
      <c r="H153" s="148">
        <v>3.0000000000000001E-3</v>
      </c>
      <c r="I153" s="149" t="s">
        <v>18</v>
      </c>
      <c r="J153" s="159">
        <v>45852</v>
      </c>
      <c r="K153" s="155" t="s">
        <v>1949</v>
      </c>
      <c r="L153" s="156" t="s">
        <v>1548</v>
      </c>
    </row>
    <row r="154" spans="1:12">
      <c r="A154" s="37">
        <v>1984</v>
      </c>
      <c r="B154" s="150" t="s">
        <v>36</v>
      </c>
      <c r="C154" s="151">
        <v>5146</v>
      </c>
      <c r="D154" s="152">
        <v>45839</v>
      </c>
      <c r="E154" s="152">
        <v>45869</v>
      </c>
      <c r="F154" s="153" t="s">
        <v>11</v>
      </c>
      <c r="G154" s="154">
        <v>100000</v>
      </c>
      <c r="H154" s="148">
        <v>3.0000000000000001E-3</v>
      </c>
      <c r="I154" s="149" t="s">
        <v>18</v>
      </c>
      <c r="J154" s="159">
        <v>45852</v>
      </c>
      <c r="K154" s="155" t="s">
        <v>1949</v>
      </c>
      <c r="L154" s="156" t="s">
        <v>1950</v>
      </c>
    </row>
    <row r="155" spans="1:12">
      <c r="A155" s="37">
        <v>1985</v>
      </c>
      <c r="B155" s="150" t="s">
        <v>36</v>
      </c>
      <c r="C155" s="151">
        <v>15143</v>
      </c>
      <c r="D155" s="152">
        <v>45839</v>
      </c>
      <c r="E155" s="152">
        <v>45869</v>
      </c>
      <c r="F155" s="153" t="s">
        <v>11</v>
      </c>
      <c r="G155" s="154">
        <v>100000</v>
      </c>
      <c r="H155" s="148">
        <v>3.0000000000000001E-3</v>
      </c>
      <c r="I155" s="149" t="s">
        <v>18</v>
      </c>
      <c r="J155" s="159">
        <v>45852</v>
      </c>
      <c r="K155" s="155" t="s">
        <v>1949</v>
      </c>
      <c r="L155" s="156" t="s">
        <v>1548</v>
      </c>
    </row>
    <row r="156" spans="1:12">
      <c r="A156" s="37">
        <v>1986</v>
      </c>
      <c r="B156" s="150" t="s">
        <v>36</v>
      </c>
      <c r="C156" s="151">
        <v>17391</v>
      </c>
      <c r="D156" s="152">
        <v>45839</v>
      </c>
      <c r="E156" s="152">
        <v>45869</v>
      </c>
      <c r="F156" s="153" t="s">
        <v>11</v>
      </c>
      <c r="G156" s="154">
        <v>30000</v>
      </c>
      <c r="H156" s="148">
        <v>3.0000000000000001E-3</v>
      </c>
      <c r="I156" s="149" t="s">
        <v>18</v>
      </c>
      <c r="J156" s="159">
        <v>45852</v>
      </c>
      <c r="K156" s="155" t="s">
        <v>1949</v>
      </c>
      <c r="L156" s="156" t="s">
        <v>1548</v>
      </c>
    </row>
    <row r="157" spans="1:12">
      <c r="A157" s="37">
        <v>1987</v>
      </c>
      <c r="B157" s="150" t="s">
        <v>36</v>
      </c>
      <c r="C157" s="151">
        <v>16628</v>
      </c>
      <c r="D157" s="152">
        <v>45839</v>
      </c>
      <c r="E157" s="152">
        <v>45869</v>
      </c>
      <c r="F157" s="153" t="s">
        <v>11</v>
      </c>
      <c r="G157" s="154">
        <v>0.01</v>
      </c>
      <c r="H157" s="148" t="s">
        <v>2420</v>
      </c>
      <c r="I157" s="149" t="s">
        <v>18</v>
      </c>
      <c r="J157" s="159">
        <v>45852</v>
      </c>
      <c r="K157" s="155" t="s">
        <v>1712</v>
      </c>
      <c r="L157" s="156" t="s">
        <v>1358</v>
      </c>
    </row>
    <row r="158" spans="1:12">
      <c r="A158" s="37">
        <v>1988</v>
      </c>
      <c r="B158" s="150" t="s">
        <v>36</v>
      </c>
      <c r="C158" s="151">
        <v>7545</v>
      </c>
      <c r="D158" s="152">
        <v>45839</v>
      </c>
      <c r="E158" s="152">
        <v>45869</v>
      </c>
      <c r="F158" s="153" t="s">
        <v>11</v>
      </c>
      <c r="G158" s="154">
        <v>0.01</v>
      </c>
      <c r="H158" s="148" t="s">
        <v>2420</v>
      </c>
      <c r="I158" s="149" t="s">
        <v>13</v>
      </c>
      <c r="J158" s="159">
        <v>45852</v>
      </c>
      <c r="K158" s="155" t="s">
        <v>1712</v>
      </c>
      <c r="L158" s="156" t="s">
        <v>1358</v>
      </c>
    </row>
    <row r="159" spans="1:12">
      <c r="A159" s="37">
        <v>1989</v>
      </c>
      <c r="B159" s="150" t="s">
        <v>36</v>
      </c>
      <c r="C159" s="151">
        <v>17875</v>
      </c>
      <c r="D159" s="152">
        <v>45839</v>
      </c>
      <c r="E159" s="152">
        <v>45869</v>
      </c>
      <c r="F159" s="153" t="s">
        <v>11</v>
      </c>
      <c r="G159" s="154">
        <v>10000</v>
      </c>
      <c r="H159" s="148">
        <v>2E-3</v>
      </c>
      <c r="I159" s="149" t="s">
        <v>13</v>
      </c>
      <c r="J159" s="159">
        <v>45852</v>
      </c>
      <c r="K159" s="155" t="s">
        <v>1712</v>
      </c>
      <c r="L159" s="156" t="s">
        <v>128</v>
      </c>
    </row>
    <row r="160" spans="1:12">
      <c r="A160" s="37">
        <v>1990</v>
      </c>
      <c r="B160" s="150" t="s">
        <v>36</v>
      </c>
      <c r="C160" s="151">
        <v>17023</v>
      </c>
      <c r="D160" s="152">
        <v>45839</v>
      </c>
      <c r="E160" s="152">
        <v>45869</v>
      </c>
      <c r="F160" s="153" t="s">
        <v>11</v>
      </c>
      <c r="G160" s="154">
        <v>1000</v>
      </c>
      <c r="H160" s="148">
        <v>2E-3</v>
      </c>
      <c r="I160" s="149" t="s">
        <v>13</v>
      </c>
      <c r="J160" s="159">
        <v>45852</v>
      </c>
      <c r="K160" s="155" t="s">
        <v>1712</v>
      </c>
      <c r="L160" s="156" t="s">
        <v>128</v>
      </c>
    </row>
    <row r="161" spans="1:12">
      <c r="A161" s="37">
        <v>1991</v>
      </c>
      <c r="B161" s="150" t="s">
        <v>36</v>
      </c>
      <c r="C161" s="151">
        <v>16628</v>
      </c>
      <c r="D161" s="152">
        <v>45839</v>
      </c>
      <c r="E161" s="152">
        <v>45869</v>
      </c>
      <c r="F161" s="153" t="s">
        <v>11</v>
      </c>
      <c r="G161" s="154">
        <v>0.01</v>
      </c>
      <c r="H161" s="148" t="s">
        <v>2420</v>
      </c>
      <c r="I161" s="149" t="s">
        <v>13</v>
      </c>
      <c r="J161" s="159">
        <v>45852</v>
      </c>
      <c r="K161" s="155" t="s">
        <v>1712</v>
      </c>
      <c r="L161" s="156" t="s">
        <v>1358</v>
      </c>
    </row>
    <row r="162" spans="1:12">
      <c r="A162" s="37">
        <v>1992</v>
      </c>
      <c r="B162" s="150" t="s">
        <v>36</v>
      </c>
      <c r="C162" s="151">
        <v>7677</v>
      </c>
      <c r="D162" s="152">
        <v>45839</v>
      </c>
      <c r="E162" s="152">
        <v>45869</v>
      </c>
      <c r="F162" s="153" t="s">
        <v>11</v>
      </c>
      <c r="G162" s="154">
        <v>100</v>
      </c>
      <c r="H162" s="148">
        <v>2E-3</v>
      </c>
      <c r="I162" s="149" t="s">
        <v>13</v>
      </c>
      <c r="J162" s="159">
        <v>45852</v>
      </c>
      <c r="K162" s="155" t="s">
        <v>1712</v>
      </c>
      <c r="L162" s="156" t="s">
        <v>1120</v>
      </c>
    </row>
    <row r="163" spans="1:12">
      <c r="A163" s="37">
        <v>1993</v>
      </c>
      <c r="B163" s="150" t="s">
        <v>36</v>
      </c>
      <c r="C163" s="151">
        <v>16024</v>
      </c>
      <c r="D163" s="152">
        <v>45839</v>
      </c>
      <c r="E163" s="152">
        <v>45869</v>
      </c>
      <c r="F163" s="153" t="s">
        <v>11</v>
      </c>
      <c r="G163" s="154">
        <v>10000</v>
      </c>
      <c r="H163" s="148">
        <v>2E-3</v>
      </c>
      <c r="I163" s="149" t="s">
        <v>13</v>
      </c>
      <c r="J163" s="159">
        <v>45852</v>
      </c>
      <c r="K163" s="155" t="s">
        <v>1712</v>
      </c>
      <c r="L163" s="156" t="s">
        <v>2221</v>
      </c>
    </row>
    <row r="164" spans="1:12">
      <c r="A164" s="37">
        <v>1994</v>
      </c>
      <c r="B164" s="150" t="s">
        <v>36</v>
      </c>
      <c r="C164" s="151">
        <v>16024</v>
      </c>
      <c r="D164" s="152">
        <v>45839</v>
      </c>
      <c r="E164" s="152">
        <v>45869</v>
      </c>
      <c r="F164" s="153" t="s">
        <v>11</v>
      </c>
      <c r="G164" s="154">
        <v>10000</v>
      </c>
      <c r="H164" s="148">
        <v>4.0000000000000001E-3</v>
      </c>
      <c r="I164" s="149" t="s">
        <v>13</v>
      </c>
      <c r="J164" s="159">
        <v>45852</v>
      </c>
      <c r="K164" s="155" t="s">
        <v>1712</v>
      </c>
      <c r="L164" s="156" t="s">
        <v>203</v>
      </c>
    </row>
    <row r="165" spans="1:12">
      <c r="A165" s="37">
        <v>1995</v>
      </c>
      <c r="B165" s="150" t="s">
        <v>36</v>
      </c>
      <c r="C165" s="151">
        <v>6688</v>
      </c>
      <c r="D165" s="152">
        <v>45839</v>
      </c>
      <c r="E165" s="152">
        <v>45869</v>
      </c>
      <c r="F165" s="153" t="s">
        <v>11</v>
      </c>
      <c r="G165" s="154">
        <v>100</v>
      </c>
      <c r="H165" s="148">
        <v>2E-3</v>
      </c>
      <c r="I165" s="149" t="s">
        <v>13</v>
      </c>
      <c r="J165" s="152">
        <v>45852</v>
      </c>
      <c r="K165" s="155" t="s">
        <v>1712</v>
      </c>
      <c r="L165" s="156" t="s">
        <v>128</v>
      </c>
    </row>
    <row r="166" spans="1:12">
      <c r="A166" s="37">
        <v>1996</v>
      </c>
      <c r="B166" s="150" t="s">
        <v>36</v>
      </c>
      <c r="C166" s="151" t="s">
        <v>2220</v>
      </c>
      <c r="D166" s="152">
        <v>45839</v>
      </c>
      <c r="E166" s="152">
        <v>45869</v>
      </c>
      <c r="F166" s="153" t="s">
        <v>11</v>
      </c>
      <c r="G166" s="154">
        <v>0.01</v>
      </c>
      <c r="H166" s="148">
        <v>0.01</v>
      </c>
      <c r="I166" s="149" t="s">
        <v>13</v>
      </c>
      <c r="J166" s="159">
        <v>45852</v>
      </c>
      <c r="K166" s="155" t="s">
        <v>2219</v>
      </c>
      <c r="L166" s="169" t="s">
        <v>2497</v>
      </c>
    </row>
    <row r="167" spans="1:12">
      <c r="A167" s="37">
        <v>1997</v>
      </c>
      <c r="B167" s="150" t="s">
        <v>36</v>
      </c>
      <c r="C167" s="151" t="s">
        <v>2220</v>
      </c>
      <c r="D167" s="152">
        <v>45839</v>
      </c>
      <c r="E167" s="152">
        <v>45869</v>
      </c>
      <c r="F167" s="153" t="s">
        <v>11</v>
      </c>
      <c r="G167" s="154">
        <v>0.01</v>
      </c>
      <c r="H167" s="148">
        <v>7.4999999999999997E-3</v>
      </c>
      <c r="I167" s="149" t="s">
        <v>27</v>
      </c>
      <c r="J167" s="159">
        <v>45852</v>
      </c>
      <c r="K167" s="155" t="s">
        <v>2219</v>
      </c>
      <c r="L167" s="169" t="s">
        <v>2498</v>
      </c>
    </row>
    <row r="168" spans="1:12">
      <c r="A168" s="37">
        <v>1998</v>
      </c>
      <c r="B168" s="150" t="s">
        <v>36</v>
      </c>
      <c r="C168" s="151" t="s">
        <v>2220</v>
      </c>
      <c r="D168" s="152">
        <v>45839</v>
      </c>
      <c r="E168" s="152">
        <v>45869</v>
      </c>
      <c r="F168" s="153" t="s">
        <v>11</v>
      </c>
      <c r="G168" s="154">
        <v>0.01</v>
      </c>
      <c r="H168" s="148">
        <v>3.5000000000000003E-2</v>
      </c>
      <c r="I168" s="149" t="s">
        <v>27</v>
      </c>
      <c r="J168" s="159">
        <v>45852</v>
      </c>
      <c r="K168" s="155" t="s">
        <v>2219</v>
      </c>
      <c r="L168" s="156" t="s">
        <v>2414</v>
      </c>
    </row>
    <row r="169" spans="1:12">
      <c r="A169" s="37">
        <v>1999</v>
      </c>
      <c r="B169" s="150" t="s">
        <v>36</v>
      </c>
      <c r="C169" s="151" t="s">
        <v>2220</v>
      </c>
      <c r="D169" s="152">
        <v>45839</v>
      </c>
      <c r="E169" s="152">
        <v>45869</v>
      </c>
      <c r="F169" s="153" t="s">
        <v>11</v>
      </c>
      <c r="G169" s="154">
        <v>0.01</v>
      </c>
      <c r="H169" s="148">
        <v>7.4999999999999997E-3</v>
      </c>
      <c r="I169" s="149" t="s">
        <v>27</v>
      </c>
      <c r="J169" s="159">
        <v>45852</v>
      </c>
      <c r="K169" s="155" t="s">
        <v>2219</v>
      </c>
      <c r="L169" s="156" t="s">
        <v>2413</v>
      </c>
    </row>
    <row r="170" spans="1:12">
      <c r="A170" s="37">
        <v>2000</v>
      </c>
      <c r="B170" s="150" t="s">
        <v>36</v>
      </c>
      <c r="C170" s="151" t="s">
        <v>2220</v>
      </c>
      <c r="D170" s="152">
        <v>45839</v>
      </c>
      <c r="E170" s="152">
        <v>45869</v>
      </c>
      <c r="F170" s="153" t="s">
        <v>11</v>
      </c>
      <c r="G170" s="154">
        <v>0.01</v>
      </c>
      <c r="H170" s="148">
        <v>7.4999999999999997E-3</v>
      </c>
      <c r="I170" s="149" t="s">
        <v>27</v>
      </c>
      <c r="J170" s="159">
        <v>45852</v>
      </c>
      <c r="K170" s="155" t="s">
        <v>2219</v>
      </c>
      <c r="L170" s="156" t="s">
        <v>107</v>
      </c>
    </row>
    <row r="171" spans="1:12">
      <c r="A171" s="37">
        <v>2001</v>
      </c>
      <c r="B171" s="150" t="s">
        <v>36</v>
      </c>
      <c r="C171" s="151" t="s">
        <v>2220</v>
      </c>
      <c r="D171" s="152">
        <v>45839</v>
      </c>
      <c r="E171" s="152">
        <v>45869</v>
      </c>
      <c r="F171" s="153" t="s">
        <v>11</v>
      </c>
      <c r="G171" s="154">
        <v>0.01</v>
      </c>
      <c r="H171" s="148">
        <v>1.7500000000000002E-2</v>
      </c>
      <c r="I171" s="149" t="s">
        <v>27</v>
      </c>
      <c r="J171" s="159">
        <v>45852</v>
      </c>
      <c r="K171" s="155" t="s">
        <v>2219</v>
      </c>
      <c r="L171" s="156" t="s">
        <v>2417</v>
      </c>
    </row>
    <row r="172" spans="1:12">
      <c r="A172" s="37">
        <v>2002</v>
      </c>
      <c r="B172" s="150" t="s">
        <v>36</v>
      </c>
      <c r="C172" s="151">
        <v>14399</v>
      </c>
      <c r="D172" s="152">
        <v>45839</v>
      </c>
      <c r="E172" s="152">
        <v>45869</v>
      </c>
      <c r="F172" s="153" t="s">
        <v>11</v>
      </c>
      <c r="G172" s="154">
        <v>0.01</v>
      </c>
      <c r="H172" s="148">
        <v>5.0000000000000001E-3</v>
      </c>
      <c r="I172" s="149" t="s">
        <v>27</v>
      </c>
      <c r="J172" s="159">
        <v>45849</v>
      </c>
      <c r="K172" s="155" t="s">
        <v>2218</v>
      </c>
      <c r="L172" s="156" t="s">
        <v>2210</v>
      </c>
    </row>
    <row r="173" spans="1:12">
      <c r="A173" s="37">
        <v>2003</v>
      </c>
      <c r="B173" s="150" t="s">
        <v>36</v>
      </c>
      <c r="C173" s="151">
        <v>7149</v>
      </c>
      <c r="D173" s="152">
        <v>45839</v>
      </c>
      <c r="E173" s="152">
        <v>45869</v>
      </c>
      <c r="F173" s="153" t="s">
        <v>11</v>
      </c>
      <c r="G173" s="154">
        <v>0.01</v>
      </c>
      <c r="H173" s="148">
        <v>2.5000000000000001E-2</v>
      </c>
      <c r="I173" s="149" t="s">
        <v>30</v>
      </c>
      <c r="J173" s="159">
        <v>45849</v>
      </c>
      <c r="K173" s="155" t="s">
        <v>2218</v>
      </c>
      <c r="L173" s="156" t="s">
        <v>2096</v>
      </c>
    </row>
    <row r="174" spans="1:12">
      <c r="A174" s="37">
        <v>2004</v>
      </c>
      <c r="B174" s="150" t="s">
        <v>36</v>
      </c>
      <c r="C174" s="151">
        <v>14876</v>
      </c>
      <c r="D174" s="152">
        <v>45839</v>
      </c>
      <c r="E174" s="152">
        <v>45869</v>
      </c>
      <c r="F174" s="153" t="s">
        <v>11</v>
      </c>
      <c r="G174" s="154">
        <v>0.01</v>
      </c>
      <c r="H174" s="148">
        <v>1.4999999999999999E-2</v>
      </c>
      <c r="I174" s="149" t="s">
        <v>30</v>
      </c>
      <c r="J174" s="159">
        <v>45849</v>
      </c>
      <c r="K174" s="155" t="s">
        <v>2218</v>
      </c>
      <c r="L174" s="156" t="s">
        <v>2217</v>
      </c>
    </row>
    <row r="175" spans="1:12">
      <c r="A175" s="37">
        <v>2005</v>
      </c>
      <c r="B175" s="150" t="s">
        <v>36</v>
      </c>
      <c r="C175" s="151">
        <v>14876</v>
      </c>
      <c r="D175" s="152">
        <v>45839</v>
      </c>
      <c r="E175" s="152">
        <v>45869</v>
      </c>
      <c r="F175" s="153" t="s">
        <v>11</v>
      </c>
      <c r="G175" s="154">
        <v>0.01</v>
      </c>
      <c r="H175" s="148">
        <v>7.4999999999999997E-3</v>
      </c>
      <c r="I175" s="149" t="s">
        <v>30</v>
      </c>
      <c r="J175" s="159">
        <v>45849</v>
      </c>
      <c r="K175" s="155" t="s">
        <v>2218</v>
      </c>
      <c r="L175" s="156" t="s">
        <v>107</v>
      </c>
    </row>
    <row r="176" spans="1:12">
      <c r="A176" s="37">
        <v>2006</v>
      </c>
      <c r="B176" s="150" t="s">
        <v>36</v>
      </c>
      <c r="C176" s="151">
        <v>14876</v>
      </c>
      <c r="D176" s="152">
        <v>45839</v>
      </c>
      <c r="E176" s="152">
        <v>45869</v>
      </c>
      <c r="F176" s="153" t="s">
        <v>11</v>
      </c>
      <c r="G176" s="154">
        <v>0.01</v>
      </c>
      <c r="H176" s="148">
        <v>5.0000000000000001E-3</v>
      </c>
      <c r="I176" s="149" t="s">
        <v>30</v>
      </c>
      <c r="J176" s="159">
        <v>45849</v>
      </c>
      <c r="K176" s="155" t="s">
        <v>2218</v>
      </c>
      <c r="L176" s="156" t="s">
        <v>2210</v>
      </c>
    </row>
    <row r="177" spans="1:12">
      <c r="A177" s="37">
        <v>2007</v>
      </c>
      <c r="B177" s="150" t="s">
        <v>36</v>
      </c>
      <c r="C177" s="151">
        <v>15317</v>
      </c>
      <c r="D177" s="152">
        <v>45839</v>
      </c>
      <c r="E177" s="152">
        <v>45869</v>
      </c>
      <c r="F177" s="153" t="s">
        <v>11</v>
      </c>
      <c r="G177" s="154">
        <v>0.01</v>
      </c>
      <c r="H177" s="148">
        <v>5.0000000000000001E-3</v>
      </c>
      <c r="I177" s="149" t="s">
        <v>30</v>
      </c>
      <c r="J177" s="159">
        <v>45849</v>
      </c>
      <c r="K177" s="155" t="s">
        <v>2218</v>
      </c>
      <c r="L177" s="156" t="s">
        <v>1767</v>
      </c>
    </row>
    <row r="178" spans="1:12">
      <c r="A178" s="37">
        <v>2008</v>
      </c>
      <c r="B178" s="150" t="s">
        <v>36</v>
      </c>
      <c r="C178" s="151">
        <v>5986</v>
      </c>
      <c r="D178" s="152">
        <v>45839</v>
      </c>
      <c r="E178" s="152">
        <v>45869</v>
      </c>
      <c r="F178" s="153" t="s">
        <v>11</v>
      </c>
      <c r="G178" s="154">
        <v>0.01</v>
      </c>
      <c r="H178" s="148">
        <v>5.0000000000000001E-3</v>
      </c>
      <c r="I178" s="149" t="s">
        <v>53</v>
      </c>
      <c r="J178" s="159">
        <v>45849</v>
      </c>
      <c r="K178" s="155" t="s">
        <v>2218</v>
      </c>
      <c r="L178" s="156" t="s">
        <v>2210</v>
      </c>
    </row>
    <row r="179" spans="1:12">
      <c r="A179" s="37">
        <v>2009</v>
      </c>
      <c r="B179" s="150" t="s">
        <v>36</v>
      </c>
      <c r="C179" s="151">
        <v>5986</v>
      </c>
      <c r="D179" s="152">
        <v>45839</v>
      </c>
      <c r="E179" s="152">
        <v>45869</v>
      </c>
      <c r="F179" s="153" t="s">
        <v>11</v>
      </c>
      <c r="G179" s="154">
        <v>0.01</v>
      </c>
      <c r="H179" s="148">
        <v>2E-3</v>
      </c>
      <c r="I179" s="149" t="s">
        <v>30</v>
      </c>
      <c r="J179" s="159">
        <v>45849</v>
      </c>
      <c r="K179" s="155" t="s">
        <v>2218</v>
      </c>
      <c r="L179" s="156" t="s">
        <v>1766</v>
      </c>
    </row>
    <row r="180" spans="1:12">
      <c r="A180" s="37">
        <v>2010</v>
      </c>
      <c r="B180" s="150" t="s">
        <v>36</v>
      </c>
      <c r="C180" s="151">
        <v>7274</v>
      </c>
      <c r="D180" s="152">
        <v>45839</v>
      </c>
      <c r="E180" s="152">
        <v>45869</v>
      </c>
      <c r="F180" s="153" t="s">
        <v>11</v>
      </c>
      <c r="G180" s="154">
        <v>0.01</v>
      </c>
      <c r="H180" s="148">
        <v>5.0000000000000001E-3</v>
      </c>
      <c r="I180" s="149" t="s">
        <v>30</v>
      </c>
      <c r="J180" s="159">
        <v>45849</v>
      </c>
      <c r="K180" s="155" t="s">
        <v>2218</v>
      </c>
      <c r="L180" s="156" t="s">
        <v>2210</v>
      </c>
    </row>
    <row r="181" spans="1:12">
      <c r="A181" s="37">
        <v>2011</v>
      </c>
      <c r="B181" s="150" t="s">
        <v>36</v>
      </c>
      <c r="C181" s="151">
        <v>7274</v>
      </c>
      <c r="D181" s="152">
        <v>45839</v>
      </c>
      <c r="E181" s="152">
        <v>45869</v>
      </c>
      <c r="F181" s="153" t="s">
        <v>11</v>
      </c>
      <c r="G181" s="154">
        <v>0.01</v>
      </c>
      <c r="H181" s="148">
        <v>7.4999999999999997E-3</v>
      </c>
      <c r="I181" s="149" t="s">
        <v>30</v>
      </c>
      <c r="J181" s="159">
        <v>45849</v>
      </c>
      <c r="K181" s="155" t="s">
        <v>2218</v>
      </c>
      <c r="L181" s="156" t="s">
        <v>128</v>
      </c>
    </row>
    <row r="182" spans="1:12">
      <c r="A182" s="37">
        <v>2012</v>
      </c>
      <c r="B182" s="150" t="s">
        <v>36</v>
      </c>
      <c r="C182" s="151">
        <v>7274</v>
      </c>
      <c r="D182" s="152">
        <v>45839</v>
      </c>
      <c r="E182" s="152">
        <v>45869</v>
      </c>
      <c r="F182" s="153" t="s">
        <v>11</v>
      </c>
      <c r="G182" s="154">
        <v>300000</v>
      </c>
      <c r="H182" s="148">
        <v>5.0000000000000001E-3</v>
      </c>
      <c r="I182" s="149" t="s">
        <v>30</v>
      </c>
      <c r="J182" s="159">
        <v>45849</v>
      </c>
      <c r="K182" s="155" t="s">
        <v>2218</v>
      </c>
      <c r="L182" s="156" t="s">
        <v>144</v>
      </c>
    </row>
    <row r="183" spans="1:12">
      <c r="A183" s="37">
        <v>2013</v>
      </c>
      <c r="B183" s="150" t="s">
        <v>36</v>
      </c>
      <c r="C183" s="151">
        <v>7274</v>
      </c>
      <c r="D183" s="152">
        <v>45839</v>
      </c>
      <c r="E183" s="152">
        <v>45869</v>
      </c>
      <c r="F183" s="153" t="s">
        <v>11</v>
      </c>
      <c r="G183" s="154">
        <v>0.01</v>
      </c>
      <c r="H183" s="148">
        <v>2.5000000000000001E-3</v>
      </c>
      <c r="I183" s="149" t="s">
        <v>30</v>
      </c>
      <c r="J183" s="159">
        <v>45849</v>
      </c>
      <c r="K183" s="155" t="s">
        <v>2218</v>
      </c>
      <c r="L183" s="156" t="s">
        <v>2216</v>
      </c>
    </row>
    <row r="184" spans="1:12">
      <c r="A184" s="37">
        <v>2014</v>
      </c>
      <c r="B184" s="150" t="s">
        <v>36</v>
      </c>
      <c r="C184" s="151">
        <v>7274</v>
      </c>
      <c r="D184" s="152">
        <v>45839</v>
      </c>
      <c r="E184" s="152">
        <v>45869</v>
      </c>
      <c r="F184" s="153" t="s">
        <v>11</v>
      </c>
      <c r="G184" s="154">
        <v>0.01</v>
      </c>
      <c r="H184" s="148">
        <v>5.0000000000000001E-3</v>
      </c>
      <c r="I184" s="149" t="s">
        <v>30</v>
      </c>
      <c r="J184" s="159">
        <v>45849</v>
      </c>
      <c r="K184" s="155" t="s">
        <v>2218</v>
      </c>
      <c r="L184" s="156" t="s">
        <v>2215</v>
      </c>
    </row>
    <row r="185" spans="1:12">
      <c r="A185" s="37">
        <v>2015</v>
      </c>
      <c r="B185" s="150" t="s">
        <v>36</v>
      </c>
      <c r="C185" s="151">
        <v>3280</v>
      </c>
      <c r="D185" s="152">
        <v>45839</v>
      </c>
      <c r="E185" s="152">
        <v>45869</v>
      </c>
      <c r="F185" s="153" t="s">
        <v>11</v>
      </c>
      <c r="G185" s="154">
        <v>150000</v>
      </c>
      <c r="H185" s="148">
        <v>2E-3</v>
      </c>
      <c r="I185" s="149" t="s">
        <v>30</v>
      </c>
      <c r="J185" s="159">
        <v>45849</v>
      </c>
      <c r="K185" s="155" t="s">
        <v>2218</v>
      </c>
      <c r="L185" s="156" t="s">
        <v>2399</v>
      </c>
    </row>
    <row r="186" spans="1:12">
      <c r="A186" s="37">
        <v>2016</v>
      </c>
      <c r="B186" s="150" t="s">
        <v>36</v>
      </c>
      <c r="C186" s="151">
        <v>3280</v>
      </c>
      <c r="D186" s="152">
        <v>45839</v>
      </c>
      <c r="E186" s="152">
        <v>45869</v>
      </c>
      <c r="F186" s="153" t="s">
        <v>11</v>
      </c>
      <c r="G186" s="154">
        <v>150000</v>
      </c>
      <c r="H186" s="148">
        <v>2E-3</v>
      </c>
      <c r="I186" s="149" t="s">
        <v>25</v>
      </c>
      <c r="J186" s="159">
        <v>45849</v>
      </c>
      <c r="K186" s="155" t="s">
        <v>2218</v>
      </c>
      <c r="L186" s="156" t="s">
        <v>2400</v>
      </c>
    </row>
    <row r="187" spans="1:12">
      <c r="A187" s="37">
        <v>2017</v>
      </c>
      <c r="B187" s="150" t="s">
        <v>36</v>
      </c>
      <c r="C187" s="151">
        <v>3280</v>
      </c>
      <c r="D187" s="152">
        <v>45839</v>
      </c>
      <c r="E187" s="152">
        <v>45869</v>
      </c>
      <c r="F187" s="153" t="s">
        <v>11</v>
      </c>
      <c r="G187" s="154">
        <v>150000</v>
      </c>
      <c r="H187" s="148">
        <v>2E-3</v>
      </c>
      <c r="I187" s="149" t="s">
        <v>25</v>
      </c>
      <c r="J187" s="159">
        <v>45849</v>
      </c>
      <c r="K187" s="155" t="s">
        <v>2218</v>
      </c>
      <c r="L187" s="156" t="s">
        <v>2401</v>
      </c>
    </row>
    <row r="188" spans="1:12">
      <c r="A188" s="37">
        <v>2018</v>
      </c>
      <c r="B188" s="150" t="s">
        <v>36</v>
      </c>
      <c r="C188" s="151">
        <v>3280</v>
      </c>
      <c r="D188" s="152">
        <v>45839</v>
      </c>
      <c r="E188" s="152">
        <v>45869</v>
      </c>
      <c r="F188" s="153" t="s">
        <v>11</v>
      </c>
      <c r="G188" s="154">
        <v>150000</v>
      </c>
      <c r="H188" s="148">
        <v>2E-3</v>
      </c>
      <c r="I188" s="149" t="s">
        <v>25</v>
      </c>
      <c r="J188" s="159">
        <v>45849</v>
      </c>
      <c r="K188" s="155" t="s">
        <v>2218</v>
      </c>
      <c r="L188" s="156" t="s">
        <v>2402</v>
      </c>
    </row>
    <row r="189" spans="1:12">
      <c r="A189" s="37">
        <v>2019</v>
      </c>
      <c r="B189" s="150" t="s">
        <v>36</v>
      </c>
      <c r="C189" s="151">
        <v>16845</v>
      </c>
      <c r="D189" s="152">
        <v>45839</v>
      </c>
      <c r="E189" s="152">
        <v>45869</v>
      </c>
      <c r="F189" s="153" t="s">
        <v>11</v>
      </c>
      <c r="G189" s="154">
        <v>1000</v>
      </c>
      <c r="H189" s="148">
        <v>5.0000000000000001E-3</v>
      </c>
      <c r="I189" s="149" t="s">
        <v>25</v>
      </c>
      <c r="J189" s="159">
        <v>45849</v>
      </c>
      <c r="K189" s="155" t="s">
        <v>2218</v>
      </c>
      <c r="L189" s="156" t="s">
        <v>1960</v>
      </c>
    </row>
    <row r="190" spans="1:12" ht="27">
      <c r="A190" s="37">
        <v>2020</v>
      </c>
      <c r="B190" s="150" t="s">
        <v>36</v>
      </c>
      <c r="C190" s="151">
        <v>15710</v>
      </c>
      <c r="D190" s="152">
        <v>45839</v>
      </c>
      <c r="E190" s="152">
        <v>45869</v>
      </c>
      <c r="F190" s="153" t="s">
        <v>11</v>
      </c>
      <c r="G190" s="154">
        <v>1000</v>
      </c>
      <c r="H190" s="148">
        <v>5.0000000000000001E-3</v>
      </c>
      <c r="I190" s="149" t="s">
        <v>175</v>
      </c>
      <c r="J190" s="159">
        <v>45849</v>
      </c>
      <c r="K190" s="155" t="s">
        <v>2218</v>
      </c>
      <c r="L190" s="156" t="s">
        <v>1960</v>
      </c>
    </row>
    <row r="191" spans="1:12">
      <c r="A191" s="37">
        <v>2021</v>
      </c>
      <c r="B191" s="150" t="s">
        <v>36</v>
      </c>
      <c r="C191" s="151">
        <v>15095</v>
      </c>
      <c r="D191" s="152">
        <v>45839</v>
      </c>
      <c r="E191" s="152">
        <v>45869</v>
      </c>
      <c r="F191" s="153" t="s">
        <v>11</v>
      </c>
      <c r="G191" s="154">
        <v>1000</v>
      </c>
      <c r="H191" s="148">
        <v>5.0000000000000001E-3</v>
      </c>
      <c r="I191" s="149" t="s">
        <v>12</v>
      </c>
      <c r="J191" s="159">
        <v>45849</v>
      </c>
      <c r="K191" s="155" t="s">
        <v>2218</v>
      </c>
      <c r="L191" s="156" t="s">
        <v>1960</v>
      </c>
    </row>
    <row r="192" spans="1:12" ht="27">
      <c r="A192" s="37">
        <v>2022</v>
      </c>
      <c r="B192" s="150" t="s">
        <v>36</v>
      </c>
      <c r="C192" s="151">
        <v>4353</v>
      </c>
      <c r="D192" s="152">
        <v>45839</v>
      </c>
      <c r="E192" s="152">
        <v>45869</v>
      </c>
      <c r="F192" s="153" t="s">
        <v>11</v>
      </c>
      <c r="G192" s="154">
        <v>1000</v>
      </c>
      <c r="H192" s="148">
        <v>5.0000000000000001E-3</v>
      </c>
      <c r="I192" s="149" t="s">
        <v>175</v>
      </c>
      <c r="J192" s="159">
        <v>45849</v>
      </c>
      <c r="K192" s="155" t="s">
        <v>2218</v>
      </c>
      <c r="L192" s="156" t="s">
        <v>1960</v>
      </c>
    </row>
    <row r="193" spans="1:12">
      <c r="A193" s="37">
        <v>2023</v>
      </c>
      <c r="B193" s="150" t="s">
        <v>36</v>
      </c>
      <c r="C193" s="151">
        <v>4353</v>
      </c>
      <c r="D193" s="152">
        <v>45839</v>
      </c>
      <c r="E193" s="152">
        <v>45869</v>
      </c>
      <c r="F193" s="153" t="s">
        <v>11</v>
      </c>
      <c r="G193" s="154">
        <v>10000</v>
      </c>
      <c r="H193" s="148">
        <v>5.0000000000000001E-3</v>
      </c>
      <c r="I193" s="149" t="s">
        <v>25</v>
      </c>
      <c r="J193" s="159">
        <v>45849</v>
      </c>
      <c r="K193" s="155" t="s">
        <v>2218</v>
      </c>
      <c r="L193" s="156" t="s">
        <v>107</v>
      </c>
    </row>
    <row r="194" spans="1:12">
      <c r="A194" s="37">
        <v>2024</v>
      </c>
      <c r="B194" s="150" t="s">
        <v>36</v>
      </c>
      <c r="C194" s="151">
        <v>4353</v>
      </c>
      <c r="D194" s="152">
        <v>45839</v>
      </c>
      <c r="E194" s="152">
        <v>45869</v>
      </c>
      <c r="F194" s="153" t="s">
        <v>11</v>
      </c>
      <c r="G194" s="154">
        <v>10000</v>
      </c>
      <c r="H194" s="148">
        <v>5.0000000000000001E-3</v>
      </c>
      <c r="I194" s="149" t="s">
        <v>25</v>
      </c>
      <c r="J194" s="159">
        <v>45849</v>
      </c>
      <c r="K194" s="155" t="s">
        <v>2218</v>
      </c>
      <c r="L194" s="156" t="s">
        <v>2210</v>
      </c>
    </row>
    <row r="195" spans="1:12">
      <c r="A195" s="37">
        <v>2025</v>
      </c>
      <c r="B195" s="150" t="s">
        <v>36</v>
      </c>
      <c r="C195" s="151">
        <v>11390</v>
      </c>
      <c r="D195" s="152">
        <v>45839</v>
      </c>
      <c r="E195" s="152">
        <v>45869</v>
      </c>
      <c r="F195" s="153" t="s">
        <v>11</v>
      </c>
      <c r="G195" s="154">
        <v>10000</v>
      </c>
      <c r="H195" s="148">
        <v>5.0000000000000001E-3</v>
      </c>
      <c r="I195" s="149" t="s">
        <v>25</v>
      </c>
      <c r="J195" s="159">
        <v>45849</v>
      </c>
      <c r="K195" s="155" t="s">
        <v>2218</v>
      </c>
      <c r="L195" s="156" t="s">
        <v>855</v>
      </c>
    </row>
    <row r="196" spans="1:12">
      <c r="A196" s="37">
        <v>2026</v>
      </c>
      <c r="B196" s="150" t="s">
        <v>36</v>
      </c>
      <c r="C196" s="151">
        <v>11390</v>
      </c>
      <c r="D196" s="152">
        <v>45839</v>
      </c>
      <c r="E196" s="152">
        <v>45869</v>
      </c>
      <c r="F196" s="153" t="s">
        <v>11</v>
      </c>
      <c r="G196" s="154">
        <v>10000</v>
      </c>
      <c r="H196" s="148">
        <v>3.0000000000000001E-3</v>
      </c>
      <c r="I196" s="149" t="s">
        <v>25</v>
      </c>
      <c r="J196" s="159">
        <v>45849</v>
      </c>
      <c r="K196" s="155" t="s">
        <v>2218</v>
      </c>
      <c r="L196" s="169" t="s">
        <v>2474</v>
      </c>
    </row>
    <row r="197" spans="1:12">
      <c r="A197" s="37">
        <v>2027</v>
      </c>
      <c r="B197" s="150" t="s">
        <v>36</v>
      </c>
      <c r="C197" s="151">
        <v>3489</v>
      </c>
      <c r="D197" s="152">
        <v>45839</v>
      </c>
      <c r="E197" s="152">
        <v>45869</v>
      </c>
      <c r="F197" s="153" t="s">
        <v>11</v>
      </c>
      <c r="G197" s="154">
        <v>1000</v>
      </c>
      <c r="H197" s="148">
        <v>0.95</v>
      </c>
      <c r="I197" s="149" t="s">
        <v>25</v>
      </c>
      <c r="J197" s="159">
        <v>45849</v>
      </c>
      <c r="K197" s="155" t="s">
        <v>2218</v>
      </c>
      <c r="L197" s="156" t="s">
        <v>2423</v>
      </c>
    </row>
    <row r="198" spans="1:12">
      <c r="A198" s="37">
        <v>2028</v>
      </c>
      <c r="B198" s="150" t="s">
        <v>36</v>
      </c>
      <c r="C198" s="151">
        <v>3489</v>
      </c>
      <c r="D198" s="152">
        <v>45839</v>
      </c>
      <c r="E198" s="152">
        <v>45869</v>
      </c>
      <c r="F198" s="153" t="s">
        <v>11</v>
      </c>
      <c r="G198" s="154">
        <v>1000</v>
      </c>
      <c r="H198" s="148">
        <v>5.0000000000000001E-3</v>
      </c>
      <c r="I198" s="149" t="s">
        <v>25</v>
      </c>
      <c r="J198" s="159">
        <v>45849</v>
      </c>
      <c r="K198" s="155" t="s">
        <v>2218</v>
      </c>
      <c r="L198" s="169" t="s">
        <v>2475</v>
      </c>
    </row>
    <row r="199" spans="1:12">
      <c r="A199" s="37">
        <v>2029</v>
      </c>
      <c r="B199" s="150" t="s">
        <v>36</v>
      </c>
      <c r="C199" s="151">
        <v>11859</v>
      </c>
      <c r="D199" s="152">
        <v>45839</v>
      </c>
      <c r="E199" s="152">
        <v>45869</v>
      </c>
      <c r="F199" s="153" t="s">
        <v>11</v>
      </c>
      <c r="G199" s="154">
        <v>1000</v>
      </c>
      <c r="H199" s="148">
        <v>5.0000000000000001E-3</v>
      </c>
      <c r="I199" s="149" t="s">
        <v>25</v>
      </c>
      <c r="J199" s="159">
        <v>45849</v>
      </c>
      <c r="K199" s="155" t="s">
        <v>2218</v>
      </c>
      <c r="L199" s="156" t="s">
        <v>2210</v>
      </c>
    </row>
    <row r="200" spans="1:12">
      <c r="A200" s="37">
        <v>2030</v>
      </c>
      <c r="B200" s="150" t="s">
        <v>36</v>
      </c>
      <c r="C200" s="151">
        <v>10293</v>
      </c>
      <c r="D200" s="152">
        <v>45839</v>
      </c>
      <c r="E200" s="152">
        <v>45869</v>
      </c>
      <c r="F200" s="153" t="s">
        <v>11</v>
      </c>
      <c r="G200" s="154">
        <v>1000</v>
      </c>
      <c r="H200" s="148">
        <v>5.0000000000000001E-3</v>
      </c>
      <c r="I200" s="149" t="s">
        <v>27</v>
      </c>
      <c r="J200" s="159">
        <v>45849</v>
      </c>
      <c r="K200" s="155" t="s">
        <v>2218</v>
      </c>
      <c r="L200" s="156" t="s">
        <v>2210</v>
      </c>
    </row>
    <row r="201" spans="1:12">
      <c r="A201" s="37">
        <v>2031</v>
      </c>
      <c r="B201" s="150" t="s">
        <v>36</v>
      </c>
      <c r="C201" s="151">
        <v>11545</v>
      </c>
      <c r="D201" s="152">
        <v>45839</v>
      </c>
      <c r="E201" s="152">
        <v>45869</v>
      </c>
      <c r="F201" s="153" t="s">
        <v>11</v>
      </c>
      <c r="G201" s="154">
        <v>1000</v>
      </c>
      <c r="H201" s="148">
        <v>5.0000000000000001E-3</v>
      </c>
      <c r="I201" s="149" t="s">
        <v>27</v>
      </c>
      <c r="J201" s="159">
        <v>45849</v>
      </c>
      <c r="K201" s="155" t="s">
        <v>2218</v>
      </c>
      <c r="L201" s="156" t="s">
        <v>2210</v>
      </c>
    </row>
    <row r="202" spans="1:12">
      <c r="A202" s="37">
        <v>2032</v>
      </c>
      <c r="B202" s="150" t="s">
        <v>36</v>
      </c>
      <c r="C202" s="151">
        <v>11545</v>
      </c>
      <c r="D202" s="152">
        <v>45839</v>
      </c>
      <c r="E202" s="152">
        <v>45869</v>
      </c>
      <c r="F202" s="153" t="s">
        <v>11</v>
      </c>
      <c r="G202" s="154">
        <v>1000</v>
      </c>
      <c r="H202" s="148">
        <v>7.4999999999999997E-3</v>
      </c>
      <c r="I202" s="149" t="s">
        <v>27</v>
      </c>
      <c r="J202" s="159">
        <v>45849</v>
      </c>
      <c r="K202" s="155" t="s">
        <v>2218</v>
      </c>
      <c r="L202" s="156" t="s">
        <v>2380</v>
      </c>
    </row>
    <row r="203" spans="1:12">
      <c r="A203" s="37">
        <v>2033</v>
      </c>
      <c r="B203" s="150" t="s">
        <v>36</v>
      </c>
      <c r="C203" s="151">
        <v>4629</v>
      </c>
      <c r="D203" s="152">
        <v>45839</v>
      </c>
      <c r="E203" s="152">
        <v>45869</v>
      </c>
      <c r="F203" s="153" t="s">
        <v>11</v>
      </c>
      <c r="G203" s="154">
        <v>0.01</v>
      </c>
      <c r="H203" s="148">
        <v>0.03</v>
      </c>
      <c r="I203" s="149" t="s">
        <v>27</v>
      </c>
      <c r="J203" s="159">
        <v>45846</v>
      </c>
      <c r="K203" s="155" t="s">
        <v>2205</v>
      </c>
      <c r="L203" s="156" t="s">
        <v>1616</v>
      </c>
    </row>
    <row r="204" spans="1:12">
      <c r="A204" s="37">
        <v>2034</v>
      </c>
      <c r="B204" s="150" t="s">
        <v>36</v>
      </c>
      <c r="C204" s="151">
        <v>14533</v>
      </c>
      <c r="D204" s="152">
        <v>45839</v>
      </c>
      <c r="E204" s="152">
        <v>45869</v>
      </c>
      <c r="F204" s="153" t="s">
        <v>11</v>
      </c>
      <c r="G204" s="154">
        <v>0.01</v>
      </c>
      <c r="H204" s="148">
        <v>0.03</v>
      </c>
      <c r="I204" s="149" t="s">
        <v>46</v>
      </c>
      <c r="J204" s="159">
        <v>45846</v>
      </c>
      <c r="K204" s="155" t="s">
        <v>2205</v>
      </c>
      <c r="L204" s="156" t="s">
        <v>1616</v>
      </c>
    </row>
    <row r="205" spans="1:12">
      <c r="A205" s="37">
        <v>2035</v>
      </c>
      <c r="B205" s="150" t="s">
        <v>36</v>
      </c>
      <c r="C205" s="151">
        <v>11652</v>
      </c>
      <c r="D205" s="152">
        <v>45839</v>
      </c>
      <c r="E205" s="152">
        <v>45869</v>
      </c>
      <c r="F205" s="153" t="s">
        <v>11</v>
      </c>
      <c r="G205" s="154">
        <v>0.01</v>
      </c>
      <c r="H205" s="148">
        <v>0.03</v>
      </c>
      <c r="I205" s="149" t="s">
        <v>46</v>
      </c>
      <c r="J205" s="159">
        <v>45846</v>
      </c>
      <c r="K205" s="155" t="s">
        <v>2205</v>
      </c>
      <c r="L205" s="156" t="s">
        <v>1616</v>
      </c>
    </row>
    <row r="206" spans="1:12">
      <c r="A206" s="37">
        <v>2036</v>
      </c>
      <c r="B206" s="150" t="s">
        <v>36</v>
      </c>
      <c r="C206" s="151">
        <v>4629</v>
      </c>
      <c r="D206" s="152">
        <v>45839</v>
      </c>
      <c r="E206" s="152">
        <v>45869</v>
      </c>
      <c r="F206" s="153" t="s">
        <v>11</v>
      </c>
      <c r="G206" s="154">
        <v>0.01</v>
      </c>
      <c r="H206" s="148">
        <v>5.0000000000000001E-3</v>
      </c>
      <c r="I206" s="149" t="s">
        <v>46</v>
      </c>
      <c r="J206" s="159">
        <v>45846</v>
      </c>
      <c r="K206" s="155" t="s">
        <v>2205</v>
      </c>
      <c r="L206" s="156" t="s">
        <v>2207</v>
      </c>
    </row>
    <row r="207" spans="1:12">
      <c r="A207" s="37">
        <v>2037</v>
      </c>
      <c r="B207" s="150" t="s">
        <v>36</v>
      </c>
      <c r="C207" s="151">
        <v>4629</v>
      </c>
      <c r="D207" s="152">
        <v>45839</v>
      </c>
      <c r="E207" s="152">
        <v>45869</v>
      </c>
      <c r="F207" s="153" t="s">
        <v>11</v>
      </c>
      <c r="G207" s="154">
        <v>0.01</v>
      </c>
      <c r="H207" s="148">
        <v>0.01</v>
      </c>
      <c r="I207" s="149" t="s">
        <v>46</v>
      </c>
      <c r="J207" s="159">
        <v>45846</v>
      </c>
      <c r="K207" s="155" t="s">
        <v>2205</v>
      </c>
      <c r="L207" s="156" t="s">
        <v>2206</v>
      </c>
    </row>
    <row r="208" spans="1:12">
      <c r="A208" s="37">
        <v>2038</v>
      </c>
      <c r="B208" s="150" t="s">
        <v>36</v>
      </c>
      <c r="C208" s="151">
        <v>14533</v>
      </c>
      <c r="D208" s="152">
        <v>45839</v>
      </c>
      <c r="E208" s="152">
        <v>45869</v>
      </c>
      <c r="F208" s="153" t="s">
        <v>11</v>
      </c>
      <c r="G208" s="154">
        <v>0.01</v>
      </c>
      <c r="H208" s="148">
        <v>0.01</v>
      </c>
      <c r="I208" s="149" t="s">
        <v>46</v>
      </c>
      <c r="J208" s="159">
        <v>45846</v>
      </c>
      <c r="K208" s="155" t="s">
        <v>2205</v>
      </c>
      <c r="L208" s="156" t="s">
        <v>2206</v>
      </c>
    </row>
    <row r="209" spans="1:12">
      <c r="A209" s="37">
        <v>2039</v>
      </c>
      <c r="B209" s="150" t="s">
        <v>36</v>
      </c>
      <c r="C209" s="151">
        <v>10090</v>
      </c>
      <c r="D209" s="152">
        <v>45839</v>
      </c>
      <c r="E209" s="152">
        <v>45869</v>
      </c>
      <c r="F209" s="153" t="s">
        <v>11</v>
      </c>
      <c r="G209" s="154">
        <v>0.01</v>
      </c>
      <c r="H209" s="148">
        <v>0.01</v>
      </c>
      <c r="I209" s="149" t="s">
        <v>46</v>
      </c>
      <c r="J209" s="159">
        <v>45846</v>
      </c>
      <c r="K209" s="155" t="s">
        <v>2205</v>
      </c>
      <c r="L209" s="156" t="s">
        <v>2206</v>
      </c>
    </row>
    <row r="210" spans="1:12">
      <c r="A210" s="37">
        <v>2040</v>
      </c>
      <c r="B210" s="150" t="s">
        <v>36</v>
      </c>
      <c r="C210" s="151">
        <v>11652</v>
      </c>
      <c r="D210" s="152">
        <v>45839</v>
      </c>
      <c r="E210" s="152">
        <v>45869</v>
      </c>
      <c r="F210" s="153" t="s">
        <v>11</v>
      </c>
      <c r="G210" s="154">
        <v>0.01</v>
      </c>
      <c r="H210" s="148">
        <v>0.01</v>
      </c>
      <c r="I210" s="149" t="s">
        <v>46</v>
      </c>
      <c r="J210" s="159">
        <v>45846</v>
      </c>
      <c r="K210" s="155" t="s">
        <v>2205</v>
      </c>
      <c r="L210" s="156" t="s">
        <v>2206</v>
      </c>
    </row>
    <row r="211" spans="1:12">
      <c r="A211" s="37">
        <v>2041</v>
      </c>
      <c r="B211" s="150" t="s">
        <v>36</v>
      </c>
      <c r="C211" s="151">
        <v>17303</v>
      </c>
      <c r="D211" s="152">
        <v>45839</v>
      </c>
      <c r="E211" s="152">
        <v>45869</v>
      </c>
      <c r="F211" s="153" t="s">
        <v>11</v>
      </c>
      <c r="G211" s="154">
        <v>1000</v>
      </c>
      <c r="H211" s="148">
        <v>5.0000000000000001E-3</v>
      </c>
      <c r="I211" s="149" t="s">
        <v>46</v>
      </c>
      <c r="J211" s="159">
        <v>45849</v>
      </c>
      <c r="K211" s="155" t="s">
        <v>2218</v>
      </c>
      <c r="L211" s="156" t="s">
        <v>2214</v>
      </c>
    </row>
    <row r="212" spans="1:12">
      <c r="A212" s="37">
        <v>2042</v>
      </c>
      <c r="B212" s="150" t="s">
        <v>36</v>
      </c>
      <c r="C212" s="151">
        <v>17303</v>
      </c>
      <c r="D212" s="152">
        <v>45839</v>
      </c>
      <c r="E212" s="152">
        <v>45869</v>
      </c>
      <c r="F212" s="153" t="s">
        <v>11</v>
      </c>
      <c r="G212" s="154">
        <v>1000</v>
      </c>
      <c r="H212" s="148">
        <v>1.4999999999999999E-2</v>
      </c>
      <c r="I212" s="149" t="s">
        <v>27</v>
      </c>
      <c r="J212" s="159">
        <v>45849</v>
      </c>
      <c r="K212" s="155" t="s">
        <v>2218</v>
      </c>
      <c r="L212" s="156" t="s">
        <v>2213</v>
      </c>
    </row>
    <row r="213" spans="1:12">
      <c r="A213" s="37">
        <v>2043</v>
      </c>
      <c r="B213" s="150" t="s">
        <v>36</v>
      </c>
      <c r="C213" s="151">
        <v>17303</v>
      </c>
      <c r="D213" s="152">
        <v>45839</v>
      </c>
      <c r="E213" s="152">
        <v>45869</v>
      </c>
      <c r="F213" s="153" t="s">
        <v>11</v>
      </c>
      <c r="G213" s="154">
        <v>1000</v>
      </c>
      <c r="H213" s="148">
        <v>0.01</v>
      </c>
      <c r="I213" s="149" t="s">
        <v>27</v>
      </c>
      <c r="J213" s="159">
        <v>45849</v>
      </c>
      <c r="K213" s="155" t="s">
        <v>2218</v>
      </c>
      <c r="L213" s="156" t="s">
        <v>2237</v>
      </c>
    </row>
    <row r="214" spans="1:12">
      <c r="A214" s="37">
        <v>2044</v>
      </c>
      <c r="B214" s="150" t="s">
        <v>36</v>
      </c>
      <c r="C214" s="151">
        <v>17303</v>
      </c>
      <c r="D214" s="152">
        <v>45839</v>
      </c>
      <c r="E214" s="152">
        <v>45869</v>
      </c>
      <c r="F214" s="153" t="s">
        <v>11</v>
      </c>
      <c r="G214" s="154">
        <v>1000</v>
      </c>
      <c r="H214" s="148">
        <v>3.7499999999999999E-3</v>
      </c>
      <c r="I214" s="149" t="s">
        <v>27</v>
      </c>
      <c r="J214" s="159">
        <v>45849</v>
      </c>
      <c r="K214" s="155" t="s">
        <v>2218</v>
      </c>
      <c r="L214" s="156" t="s">
        <v>2212</v>
      </c>
    </row>
    <row r="215" spans="1:12">
      <c r="A215" s="37">
        <v>2045</v>
      </c>
      <c r="B215" s="150" t="s">
        <v>36</v>
      </c>
      <c r="C215" s="151">
        <v>17303</v>
      </c>
      <c r="D215" s="152">
        <v>45839</v>
      </c>
      <c r="E215" s="152">
        <v>45869</v>
      </c>
      <c r="F215" s="153" t="s">
        <v>11</v>
      </c>
      <c r="G215" s="154">
        <v>1000</v>
      </c>
      <c r="H215" s="148">
        <v>0.02</v>
      </c>
      <c r="I215" s="149" t="s">
        <v>27</v>
      </c>
      <c r="J215" s="159">
        <v>45849</v>
      </c>
      <c r="K215" s="155" t="s">
        <v>2218</v>
      </c>
      <c r="L215" s="156" t="s">
        <v>2211</v>
      </c>
    </row>
    <row r="216" spans="1:12">
      <c r="A216" s="37">
        <v>2046</v>
      </c>
      <c r="B216" s="150" t="s">
        <v>36</v>
      </c>
      <c r="C216" s="151">
        <v>17303</v>
      </c>
      <c r="D216" s="152">
        <v>45839</v>
      </c>
      <c r="E216" s="152">
        <v>45869</v>
      </c>
      <c r="F216" s="153" t="s">
        <v>11</v>
      </c>
      <c r="G216" s="154">
        <v>1000</v>
      </c>
      <c r="H216" s="148">
        <v>5.0000000000000001E-3</v>
      </c>
      <c r="I216" s="149" t="s">
        <v>27</v>
      </c>
      <c r="J216" s="159">
        <v>45849</v>
      </c>
      <c r="K216" s="155" t="s">
        <v>2218</v>
      </c>
      <c r="L216" s="156" t="s">
        <v>2210</v>
      </c>
    </row>
    <row r="217" spans="1:12">
      <c r="A217" s="37">
        <v>2047</v>
      </c>
      <c r="B217" s="150" t="s">
        <v>36</v>
      </c>
      <c r="C217" s="151">
        <v>17303</v>
      </c>
      <c r="D217" s="152">
        <v>45839</v>
      </c>
      <c r="E217" s="152">
        <v>45869</v>
      </c>
      <c r="F217" s="153" t="s">
        <v>11</v>
      </c>
      <c r="G217" s="154">
        <v>1000</v>
      </c>
      <c r="H217" s="148">
        <v>9.4999999999999998E-3</v>
      </c>
      <c r="I217" s="149" t="s">
        <v>27</v>
      </c>
      <c r="J217" s="159">
        <v>45849</v>
      </c>
      <c r="K217" s="155" t="s">
        <v>2218</v>
      </c>
      <c r="L217" s="156" t="s">
        <v>2098</v>
      </c>
    </row>
    <row r="218" spans="1:12">
      <c r="A218" s="37">
        <v>2048</v>
      </c>
      <c r="B218" s="150" t="s">
        <v>36</v>
      </c>
      <c r="C218" s="151">
        <v>17303</v>
      </c>
      <c r="D218" s="152">
        <v>45839</v>
      </c>
      <c r="E218" s="152">
        <v>45869</v>
      </c>
      <c r="F218" s="153" t="s">
        <v>11</v>
      </c>
      <c r="G218" s="154">
        <v>1000</v>
      </c>
      <c r="H218" s="148">
        <v>0.01</v>
      </c>
      <c r="I218" s="149" t="s">
        <v>27</v>
      </c>
      <c r="J218" s="159">
        <v>45849</v>
      </c>
      <c r="K218" s="155" t="s">
        <v>2218</v>
      </c>
      <c r="L218" s="156" t="s">
        <v>2099</v>
      </c>
    </row>
    <row r="219" spans="1:12">
      <c r="A219" s="37">
        <v>2049</v>
      </c>
      <c r="B219" s="150" t="s">
        <v>36</v>
      </c>
      <c r="C219" s="151">
        <v>17303</v>
      </c>
      <c r="D219" s="152">
        <v>45839</v>
      </c>
      <c r="E219" s="152">
        <v>45869</v>
      </c>
      <c r="F219" s="153" t="s">
        <v>11</v>
      </c>
      <c r="G219" s="154">
        <v>1000</v>
      </c>
      <c r="H219" s="148">
        <v>1.4999999999999999E-2</v>
      </c>
      <c r="I219" s="149" t="s">
        <v>27</v>
      </c>
      <c r="J219" s="159">
        <v>45849</v>
      </c>
      <c r="K219" s="155" t="s">
        <v>2218</v>
      </c>
      <c r="L219" s="156" t="s">
        <v>2209</v>
      </c>
    </row>
    <row r="220" spans="1:12">
      <c r="A220" s="37">
        <v>2050</v>
      </c>
      <c r="B220" s="150" t="s">
        <v>36</v>
      </c>
      <c r="C220" s="151">
        <v>17303</v>
      </c>
      <c r="D220" s="152">
        <v>45839</v>
      </c>
      <c r="E220" s="152">
        <v>45869</v>
      </c>
      <c r="F220" s="153" t="s">
        <v>11</v>
      </c>
      <c r="G220" s="154">
        <v>1000</v>
      </c>
      <c r="H220" s="148">
        <v>1.4999999999999999E-2</v>
      </c>
      <c r="I220" s="149" t="s">
        <v>27</v>
      </c>
      <c r="J220" s="159">
        <v>45849</v>
      </c>
      <c r="K220" s="155" t="s">
        <v>2218</v>
      </c>
      <c r="L220" s="156" t="s">
        <v>2168</v>
      </c>
    </row>
    <row r="221" spans="1:12">
      <c r="A221" s="37">
        <v>2051</v>
      </c>
      <c r="B221" s="150" t="s">
        <v>36</v>
      </c>
      <c r="C221" s="151">
        <v>17303</v>
      </c>
      <c r="D221" s="152">
        <v>45839</v>
      </c>
      <c r="E221" s="152">
        <v>45869</v>
      </c>
      <c r="F221" s="153" t="s">
        <v>11</v>
      </c>
      <c r="G221" s="154">
        <v>1000</v>
      </c>
      <c r="H221" s="148">
        <v>7.4999999999999997E-3</v>
      </c>
      <c r="I221" s="149" t="s">
        <v>27</v>
      </c>
      <c r="J221" s="159">
        <v>45849</v>
      </c>
      <c r="K221" s="155" t="s">
        <v>2218</v>
      </c>
      <c r="L221" s="156" t="s">
        <v>107</v>
      </c>
    </row>
    <row r="222" spans="1:12">
      <c r="A222" s="37">
        <v>2052</v>
      </c>
      <c r="B222" s="150" t="s">
        <v>36</v>
      </c>
      <c r="C222" s="151">
        <v>17303</v>
      </c>
      <c r="D222" s="152">
        <v>45839</v>
      </c>
      <c r="E222" s="152">
        <v>45869</v>
      </c>
      <c r="F222" s="153" t="s">
        <v>11</v>
      </c>
      <c r="G222" s="154">
        <v>1000</v>
      </c>
      <c r="H222" s="148">
        <v>2.5000000000000001E-3</v>
      </c>
      <c r="I222" s="149" t="s">
        <v>27</v>
      </c>
      <c r="J222" s="159">
        <v>45849</v>
      </c>
      <c r="K222" s="155" t="s">
        <v>2218</v>
      </c>
      <c r="L222" s="156" t="s">
        <v>2100</v>
      </c>
    </row>
    <row r="223" spans="1:12">
      <c r="A223" s="37">
        <v>2053</v>
      </c>
      <c r="B223" s="150" t="s">
        <v>36</v>
      </c>
      <c r="C223" s="151">
        <v>17303</v>
      </c>
      <c r="D223" s="152">
        <v>45839</v>
      </c>
      <c r="E223" s="152">
        <v>45869</v>
      </c>
      <c r="F223" s="153" t="s">
        <v>11</v>
      </c>
      <c r="G223" s="154">
        <v>1000</v>
      </c>
      <c r="H223" s="148">
        <v>2.0999999999999999E-3</v>
      </c>
      <c r="I223" s="149" t="s">
        <v>27</v>
      </c>
      <c r="J223" s="159">
        <v>45849</v>
      </c>
      <c r="K223" s="155" t="s">
        <v>2218</v>
      </c>
      <c r="L223" s="156" t="s">
        <v>1822</v>
      </c>
    </row>
    <row r="224" spans="1:12">
      <c r="A224" s="37">
        <v>2054</v>
      </c>
      <c r="B224" s="150" t="s">
        <v>36</v>
      </c>
      <c r="C224" s="151">
        <v>17303</v>
      </c>
      <c r="D224" s="152">
        <v>45839</v>
      </c>
      <c r="E224" s="152">
        <v>45869</v>
      </c>
      <c r="F224" s="153" t="s">
        <v>11</v>
      </c>
      <c r="G224" s="154">
        <v>1000</v>
      </c>
      <c r="H224" s="148">
        <v>2.5999999999999999E-3</v>
      </c>
      <c r="I224" s="149" t="s">
        <v>27</v>
      </c>
      <c r="J224" s="159">
        <v>45849</v>
      </c>
      <c r="K224" s="155" t="s">
        <v>2218</v>
      </c>
      <c r="L224" s="156" t="s">
        <v>2208</v>
      </c>
    </row>
    <row r="225" spans="1:12" ht="27">
      <c r="A225" s="37">
        <v>2055</v>
      </c>
      <c r="B225" s="150" t="s">
        <v>36</v>
      </c>
      <c r="C225" s="149">
        <v>17401</v>
      </c>
      <c r="D225" s="152">
        <v>45839</v>
      </c>
      <c r="E225" s="152">
        <v>45869</v>
      </c>
      <c r="F225" s="153" t="s">
        <v>11</v>
      </c>
      <c r="G225" s="154">
        <v>0.01</v>
      </c>
      <c r="H225" s="148">
        <v>5.0000000000000001E-3</v>
      </c>
      <c r="I225" s="149" t="s">
        <v>27</v>
      </c>
      <c r="J225" s="159">
        <v>45853</v>
      </c>
      <c r="K225" s="155" t="s">
        <v>2200</v>
      </c>
      <c r="L225" s="156" t="s">
        <v>107</v>
      </c>
    </row>
    <row r="226" spans="1:12" ht="27">
      <c r="A226" s="37">
        <v>2056</v>
      </c>
      <c r="B226" s="150" t="s">
        <v>36</v>
      </c>
      <c r="C226" s="149">
        <v>9212</v>
      </c>
      <c r="D226" s="152">
        <v>45839</v>
      </c>
      <c r="E226" s="152">
        <v>45869</v>
      </c>
      <c r="F226" s="153" t="s">
        <v>11</v>
      </c>
      <c r="G226" s="154">
        <v>1000</v>
      </c>
      <c r="H226" s="148">
        <v>5.0000000000000001E-3</v>
      </c>
      <c r="I226" s="149" t="s">
        <v>95</v>
      </c>
      <c r="J226" s="159">
        <v>45845</v>
      </c>
      <c r="K226" s="155" t="s">
        <v>2194</v>
      </c>
      <c r="L226" s="156" t="s">
        <v>1944</v>
      </c>
    </row>
    <row r="227" spans="1:12">
      <c r="A227" s="37">
        <v>2057</v>
      </c>
      <c r="B227" s="150" t="s">
        <v>36</v>
      </c>
      <c r="C227" s="149">
        <v>11730</v>
      </c>
      <c r="D227" s="152">
        <v>45839</v>
      </c>
      <c r="E227" s="152">
        <v>45869</v>
      </c>
      <c r="F227" s="153" t="s">
        <v>11</v>
      </c>
      <c r="G227" s="154">
        <v>1000</v>
      </c>
      <c r="H227" s="148">
        <v>2.5000000000000001E-3</v>
      </c>
      <c r="I227" s="149" t="s">
        <v>14</v>
      </c>
      <c r="J227" s="159">
        <v>45845</v>
      </c>
      <c r="K227" s="155" t="s">
        <v>2194</v>
      </c>
      <c r="L227" s="156" t="s">
        <v>2054</v>
      </c>
    </row>
    <row r="228" spans="1:12">
      <c r="A228" s="37">
        <v>2058</v>
      </c>
      <c r="B228" s="150" t="s">
        <v>36</v>
      </c>
      <c r="C228" s="149">
        <v>14722</v>
      </c>
      <c r="D228" s="152">
        <v>45839</v>
      </c>
      <c r="E228" s="152">
        <v>45869</v>
      </c>
      <c r="F228" s="153" t="s">
        <v>11</v>
      </c>
      <c r="G228" s="154">
        <v>1000</v>
      </c>
      <c r="H228" s="148">
        <v>5.0000000000000001E-3</v>
      </c>
      <c r="I228" s="149" t="s">
        <v>14</v>
      </c>
      <c r="J228" s="159">
        <v>45845</v>
      </c>
      <c r="K228" s="155" t="s">
        <v>2194</v>
      </c>
      <c r="L228" s="156" t="s">
        <v>2199</v>
      </c>
    </row>
    <row r="229" spans="1:12">
      <c r="A229" s="37">
        <v>2059</v>
      </c>
      <c r="B229" s="150" t="s">
        <v>36</v>
      </c>
      <c r="C229" s="149">
        <v>11730</v>
      </c>
      <c r="D229" s="152">
        <v>45839</v>
      </c>
      <c r="E229" s="152">
        <v>45869</v>
      </c>
      <c r="F229" s="153" t="s">
        <v>11</v>
      </c>
      <c r="G229" s="154">
        <v>1000</v>
      </c>
      <c r="H229" s="148">
        <v>5.0000000000000001E-3</v>
      </c>
      <c r="I229" s="149" t="s">
        <v>25</v>
      </c>
      <c r="J229" s="159">
        <v>45845</v>
      </c>
      <c r="K229" s="155" t="s">
        <v>2194</v>
      </c>
      <c r="L229" s="156" t="s">
        <v>2198</v>
      </c>
    </row>
    <row r="230" spans="1:12">
      <c r="A230" s="37">
        <v>2060</v>
      </c>
      <c r="B230" s="150" t="s">
        <v>36</v>
      </c>
      <c r="C230" s="149">
        <v>9212</v>
      </c>
      <c r="D230" s="152">
        <v>45839</v>
      </c>
      <c r="E230" s="152">
        <v>45869</v>
      </c>
      <c r="F230" s="153" t="s">
        <v>11</v>
      </c>
      <c r="G230" s="154">
        <v>1000</v>
      </c>
      <c r="H230" s="148">
        <v>1.4999999999999999E-2</v>
      </c>
      <c r="I230" s="149" t="s">
        <v>14</v>
      </c>
      <c r="J230" s="159">
        <v>45845</v>
      </c>
      <c r="K230" s="155" t="s">
        <v>2194</v>
      </c>
      <c r="L230" s="155" t="s">
        <v>2197</v>
      </c>
    </row>
    <row r="231" spans="1:12">
      <c r="A231" s="37">
        <v>2061</v>
      </c>
      <c r="B231" s="150" t="s">
        <v>36</v>
      </c>
      <c r="C231" s="149">
        <v>9212</v>
      </c>
      <c r="D231" s="152">
        <v>45839</v>
      </c>
      <c r="E231" s="152">
        <v>45869</v>
      </c>
      <c r="F231" s="153" t="s">
        <v>11</v>
      </c>
      <c r="G231" s="154">
        <v>1000</v>
      </c>
      <c r="H231" s="148">
        <v>7.4999999999999997E-3</v>
      </c>
      <c r="I231" s="149" t="s">
        <v>14</v>
      </c>
      <c r="J231" s="159">
        <v>45845</v>
      </c>
      <c r="K231" s="155" t="s">
        <v>2194</v>
      </c>
      <c r="L231" s="156" t="s">
        <v>107</v>
      </c>
    </row>
    <row r="232" spans="1:12">
      <c r="A232" s="37">
        <v>2062</v>
      </c>
      <c r="B232" s="150" t="s">
        <v>36</v>
      </c>
      <c r="C232" s="149">
        <v>17154</v>
      </c>
      <c r="D232" s="152">
        <v>45839</v>
      </c>
      <c r="E232" s="152">
        <v>45869</v>
      </c>
      <c r="F232" s="153" t="s">
        <v>11</v>
      </c>
      <c r="G232" s="154">
        <v>1000</v>
      </c>
      <c r="H232" s="148">
        <v>2.2000000000000001E-3</v>
      </c>
      <c r="I232" s="149" t="s">
        <v>14</v>
      </c>
      <c r="J232" s="159">
        <v>45845</v>
      </c>
      <c r="K232" s="155" t="s">
        <v>2194</v>
      </c>
      <c r="L232" s="155" t="s">
        <v>2415</v>
      </c>
    </row>
    <row r="233" spans="1:12">
      <c r="A233" s="37">
        <v>2063</v>
      </c>
      <c r="B233" s="150" t="s">
        <v>36</v>
      </c>
      <c r="C233" s="149">
        <v>12288</v>
      </c>
      <c r="D233" s="152">
        <v>45839</v>
      </c>
      <c r="E233" s="152">
        <v>45869</v>
      </c>
      <c r="F233" s="153" t="s">
        <v>11</v>
      </c>
      <c r="G233" s="154">
        <v>1000</v>
      </c>
      <c r="H233" s="148">
        <v>1.7500000000000002E-2</v>
      </c>
      <c r="I233" s="149" t="s">
        <v>14</v>
      </c>
      <c r="J233" s="159">
        <v>45845</v>
      </c>
      <c r="K233" s="155" t="s">
        <v>2194</v>
      </c>
      <c r="L233" s="155" t="s">
        <v>2196</v>
      </c>
    </row>
    <row r="234" spans="1:12">
      <c r="A234" s="37">
        <v>2064</v>
      </c>
      <c r="B234" s="150" t="s">
        <v>36</v>
      </c>
      <c r="C234" s="149">
        <v>12288</v>
      </c>
      <c r="D234" s="152">
        <v>45839</v>
      </c>
      <c r="E234" s="152">
        <v>45869</v>
      </c>
      <c r="F234" s="153" t="s">
        <v>11</v>
      </c>
      <c r="G234" s="154">
        <v>1000</v>
      </c>
      <c r="H234" s="148">
        <v>0.02</v>
      </c>
      <c r="I234" s="149" t="s">
        <v>14</v>
      </c>
      <c r="J234" s="159">
        <v>45845</v>
      </c>
      <c r="K234" s="155" t="s">
        <v>2194</v>
      </c>
      <c r="L234" s="155" t="s">
        <v>2195</v>
      </c>
    </row>
    <row r="235" spans="1:12">
      <c r="A235" s="37">
        <v>2065</v>
      </c>
      <c r="B235" s="150" t="s">
        <v>36</v>
      </c>
      <c r="C235" s="149">
        <v>12288</v>
      </c>
      <c r="D235" s="152">
        <v>45839</v>
      </c>
      <c r="E235" s="152">
        <v>45869</v>
      </c>
      <c r="F235" s="153" t="s">
        <v>11</v>
      </c>
      <c r="G235" s="154">
        <v>1000</v>
      </c>
      <c r="H235" s="148">
        <v>5.0000000000000001E-3</v>
      </c>
      <c r="I235" s="149" t="s">
        <v>14</v>
      </c>
      <c r="J235" s="159">
        <v>45845</v>
      </c>
      <c r="K235" s="155" t="s">
        <v>2194</v>
      </c>
      <c r="L235" s="155" t="s">
        <v>1857</v>
      </c>
    </row>
    <row r="236" spans="1:12">
      <c r="A236" s="37">
        <v>2066</v>
      </c>
      <c r="B236" s="150" t="s">
        <v>36</v>
      </c>
      <c r="C236" s="149">
        <v>15366</v>
      </c>
      <c r="D236" s="152">
        <v>45839</v>
      </c>
      <c r="E236" s="152">
        <v>45869</v>
      </c>
      <c r="F236" s="153" t="s">
        <v>11</v>
      </c>
      <c r="G236" s="154">
        <v>1000</v>
      </c>
      <c r="H236" s="148">
        <v>2.2000000000000001E-3</v>
      </c>
      <c r="I236" s="149" t="s">
        <v>14</v>
      </c>
      <c r="J236" s="159">
        <v>45845</v>
      </c>
      <c r="K236" s="155" t="s">
        <v>2194</v>
      </c>
      <c r="L236" s="155" t="s">
        <v>2415</v>
      </c>
    </row>
    <row r="237" spans="1:12">
      <c r="A237" s="37">
        <v>2067</v>
      </c>
      <c r="B237" s="150" t="s">
        <v>36</v>
      </c>
      <c r="C237" s="149">
        <v>14722</v>
      </c>
      <c r="D237" s="152">
        <v>45839</v>
      </c>
      <c r="E237" s="152">
        <v>45869</v>
      </c>
      <c r="F237" s="153" t="s">
        <v>11</v>
      </c>
      <c r="G237" s="154">
        <v>10000</v>
      </c>
      <c r="H237" s="148">
        <v>7.4999999999999997E-3</v>
      </c>
      <c r="I237" s="149" t="s">
        <v>14</v>
      </c>
      <c r="J237" s="159">
        <v>45845</v>
      </c>
      <c r="K237" s="155" t="s">
        <v>2194</v>
      </c>
      <c r="L237" s="169" t="s">
        <v>2476</v>
      </c>
    </row>
    <row r="238" spans="1:12">
      <c r="A238" s="37">
        <v>2068</v>
      </c>
      <c r="B238" s="150" t="s">
        <v>36</v>
      </c>
      <c r="C238" s="149">
        <v>14722</v>
      </c>
      <c r="D238" s="152">
        <v>45839</v>
      </c>
      <c r="E238" s="152">
        <v>45869</v>
      </c>
      <c r="F238" s="153" t="s">
        <v>11</v>
      </c>
      <c r="G238" s="154">
        <v>10000</v>
      </c>
      <c r="H238" s="148">
        <v>5.0000000000000001E-3</v>
      </c>
      <c r="I238" s="149" t="s">
        <v>25</v>
      </c>
      <c r="J238" s="159">
        <v>45845</v>
      </c>
      <c r="K238" s="155" t="s">
        <v>2194</v>
      </c>
      <c r="L238" s="155" t="s">
        <v>1619</v>
      </c>
    </row>
    <row r="239" spans="1:12">
      <c r="A239" s="37">
        <v>2069</v>
      </c>
      <c r="B239" s="150" t="s">
        <v>36</v>
      </c>
      <c r="C239" s="149">
        <v>17894</v>
      </c>
      <c r="D239" s="152">
        <v>45839</v>
      </c>
      <c r="E239" s="152">
        <v>45869</v>
      </c>
      <c r="F239" s="153" t="s">
        <v>11</v>
      </c>
      <c r="G239" s="154">
        <v>0.01</v>
      </c>
      <c r="H239" s="148">
        <v>7.4999999999999997E-3</v>
      </c>
      <c r="I239" s="149" t="s">
        <v>25</v>
      </c>
      <c r="J239" s="159">
        <v>45845</v>
      </c>
      <c r="K239" s="155" t="s">
        <v>2193</v>
      </c>
      <c r="L239" s="156" t="s">
        <v>107</v>
      </c>
    </row>
    <row r="240" spans="1:12">
      <c r="A240" s="37">
        <v>2070</v>
      </c>
      <c r="B240" s="150" t="s">
        <v>36</v>
      </c>
      <c r="C240" s="149">
        <v>15282</v>
      </c>
      <c r="D240" s="152">
        <v>45839</v>
      </c>
      <c r="E240" s="152">
        <v>45869</v>
      </c>
      <c r="F240" s="153" t="s">
        <v>11</v>
      </c>
      <c r="G240" s="154">
        <v>0.01</v>
      </c>
      <c r="H240" s="148">
        <v>7.4999999999999997E-3</v>
      </c>
      <c r="I240" s="149" t="s">
        <v>17</v>
      </c>
      <c r="J240" s="159">
        <v>45845</v>
      </c>
      <c r="K240" s="155" t="s">
        <v>2192</v>
      </c>
      <c r="L240" s="156" t="s">
        <v>107</v>
      </c>
    </row>
    <row r="241" spans="1:12">
      <c r="A241" s="37">
        <v>2071</v>
      </c>
      <c r="B241" s="150" t="s">
        <v>36</v>
      </c>
      <c r="C241" s="149">
        <v>14704</v>
      </c>
      <c r="D241" s="152">
        <v>45839</v>
      </c>
      <c r="E241" s="152">
        <v>45869</v>
      </c>
      <c r="F241" s="153" t="s">
        <v>11</v>
      </c>
      <c r="G241" s="154">
        <v>0.01</v>
      </c>
      <c r="H241" s="148">
        <v>7.4999999999999997E-3</v>
      </c>
      <c r="I241" s="149" t="s">
        <v>20</v>
      </c>
      <c r="J241" s="159">
        <v>45845</v>
      </c>
      <c r="K241" s="155" t="s">
        <v>2192</v>
      </c>
      <c r="L241" s="156" t="s">
        <v>107</v>
      </c>
    </row>
    <row r="242" spans="1:12">
      <c r="A242" s="37">
        <v>2072</v>
      </c>
      <c r="B242" s="150" t="s">
        <v>36</v>
      </c>
      <c r="C242" s="149">
        <v>14706</v>
      </c>
      <c r="D242" s="152">
        <v>45839</v>
      </c>
      <c r="E242" s="152">
        <v>45869</v>
      </c>
      <c r="F242" s="153" t="s">
        <v>11</v>
      </c>
      <c r="G242" s="154">
        <v>0.01</v>
      </c>
      <c r="H242" s="148">
        <v>7.4999999999999997E-3</v>
      </c>
      <c r="I242" s="149" t="s">
        <v>20</v>
      </c>
      <c r="J242" s="152">
        <v>45845</v>
      </c>
      <c r="K242" s="155" t="s">
        <v>2192</v>
      </c>
      <c r="L242" s="156" t="s">
        <v>107</v>
      </c>
    </row>
    <row r="243" spans="1:12">
      <c r="A243" s="37">
        <v>2073</v>
      </c>
      <c r="B243" s="150" t="s">
        <v>36</v>
      </c>
      <c r="C243" s="149">
        <v>14702</v>
      </c>
      <c r="D243" s="152">
        <v>45839</v>
      </c>
      <c r="E243" s="152">
        <v>45869</v>
      </c>
      <c r="F243" s="153" t="s">
        <v>11</v>
      </c>
      <c r="G243" s="154">
        <v>0.01</v>
      </c>
      <c r="H243" s="148">
        <v>7.4999999999999997E-3</v>
      </c>
      <c r="I243" s="149" t="s">
        <v>20</v>
      </c>
      <c r="J243" s="152">
        <v>45845</v>
      </c>
      <c r="K243" s="155" t="s">
        <v>2192</v>
      </c>
      <c r="L243" s="156" t="s">
        <v>107</v>
      </c>
    </row>
    <row r="244" spans="1:12">
      <c r="A244" s="37">
        <v>2074</v>
      </c>
      <c r="B244" s="150" t="s">
        <v>36</v>
      </c>
      <c r="C244" s="149">
        <v>14703</v>
      </c>
      <c r="D244" s="152">
        <v>45839</v>
      </c>
      <c r="E244" s="152">
        <v>45869</v>
      </c>
      <c r="F244" s="153" t="s">
        <v>11</v>
      </c>
      <c r="G244" s="154">
        <v>0.01</v>
      </c>
      <c r="H244" s="148">
        <v>7.4999999999999997E-3</v>
      </c>
      <c r="I244" s="149" t="s">
        <v>20</v>
      </c>
      <c r="J244" s="152">
        <v>45845</v>
      </c>
      <c r="K244" s="155" t="s">
        <v>2192</v>
      </c>
      <c r="L244" s="156" t="s">
        <v>107</v>
      </c>
    </row>
    <row r="245" spans="1:12">
      <c r="A245" s="37">
        <v>2075</v>
      </c>
      <c r="B245" s="150" t="s">
        <v>36</v>
      </c>
      <c r="C245" s="149">
        <v>14729</v>
      </c>
      <c r="D245" s="152">
        <v>45839</v>
      </c>
      <c r="E245" s="152">
        <v>45869</v>
      </c>
      <c r="F245" s="153" t="s">
        <v>11</v>
      </c>
      <c r="G245" s="154">
        <v>0.01</v>
      </c>
      <c r="H245" s="148">
        <v>7.4999999999999997E-3</v>
      </c>
      <c r="I245" s="149" t="s">
        <v>20</v>
      </c>
      <c r="J245" s="159">
        <v>45845</v>
      </c>
      <c r="K245" s="155" t="s">
        <v>2192</v>
      </c>
      <c r="L245" s="156" t="s">
        <v>107</v>
      </c>
    </row>
    <row r="246" spans="1:12">
      <c r="A246" s="37">
        <v>2076</v>
      </c>
      <c r="B246" s="150" t="s">
        <v>36</v>
      </c>
      <c r="C246" s="149">
        <v>14730</v>
      </c>
      <c r="D246" s="152">
        <v>45839</v>
      </c>
      <c r="E246" s="152">
        <v>45869</v>
      </c>
      <c r="F246" s="153" t="s">
        <v>11</v>
      </c>
      <c r="G246" s="154">
        <v>0.01</v>
      </c>
      <c r="H246" s="148">
        <v>7.4999999999999997E-3</v>
      </c>
      <c r="I246" s="149" t="s">
        <v>20</v>
      </c>
      <c r="J246" s="159">
        <v>45845</v>
      </c>
      <c r="K246" s="155" t="s">
        <v>2192</v>
      </c>
      <c r="L246" s="156" t="s">
        <v>107</v>
      </c>
    </row>
    <row r="247" spans="1:12">
      <c r="A247" s="37">
        <v>2077</v>
      </c>
      <c r="B247" s="150" t="s">
        <v>36</v>
      </c>
      <c r="C247" s="149" t="s">
        <v>1995</v>
      </c>
      <c r="D247" s="152">
        <v>45839</v>
      </c>
      <c r="E247" s="152">
        <v>45869</v>
      </c>
      <c r="F247" s="153" t="s">
        <v>11</v>
      </c>
      <c r="G247" s="154">
        <v>500000</v>
      </c>
      <c r="H247" s="148">
        <v>5.0000000000000001E-3</v>
      </c>
      <c r="I247" s="149" t="s">
        <v>20</v>
      </c>
      <c r="J247" s="159">
        <v>45853</v>
      </c>
      <c r="K247" s="155" t="s">
        <v>2191</v>
      </c>
      <c r="L247" s="155" t="s">
        <v>2244</v>
      </c>
    </row>
    <row r="248" spans="1:12">
      <c r="A248" s="37">
        <v>2078</v>
      </c>
      <c r="B248" s="150" t="s">
        <v>36</v>
      </c>
      <c r="C248" s="149">
        <v>13428</v>
      </c>
      <c r="D248" s="152">
        <v>45839</v>
      </c>
      <c r="E248" s="152">
        <v>45869</v>
      </c>
      <c r="F248" s="153" t="s">
        <v>11</v>
      </c>
      <c r="G248" s="154">
        <v>50000</v>
      </c>
      <c r="H248" s="148">
        <v>2E-3</v>
      </c>
      <c r="I248" s="149" t="s">
        <v>141</v>
      </c>
      <c r="J248" s="159">
        <v>45852</v>
      </c>
      <c r="K248" s="155" t="s">
        <v>1932</v>
      </c>
      <c r="L248" s="155" t="s">
        <v>2190</v>
      </c>
    </row>
    <row r="249" spans="1:12">
      <c r="A249" s="37">
        <v>2079</v>
      </c>
      <c r="B249" s="150" t="s">
        <v>36</v>
      </c>
      <c r="C249" s="149">
        <v>17097</v>
      </c>
      <c r="D249" s="152">
        <v>45839</v>
      </c>
      <c r="E249" s="152">
        <v>45869</v>
      </c>
      <c r="F249" s="153" t="s">
        <v>11</v>
      </c>
      <c r="G249" s="154">
        <v>1500000</v>
      </c>
      <c r="H249" s="148">
        <v>3.0000000000000001E-3</v>
      </c>
      <c r="I249" s="149" t="s">
        <v>18</v>
      </c>
      <c r="J249" s="159">
        <v>45852</v>
      </c>
      <c r="K249" s="155" t="s">
        <v>2189</v>
      </c>
      <c r="L249" s="156" t="s">
        <v>107</v>
      </c>
    </row>
    <row r="250" spans="1:12">
      <c r="A250" s="37">
        <v>2080</v>
      </c>
      <c r="B250" s="150" t="s">
        <v>36</v>
      </c>
      <c r="C250" s="149">
        <v>16427</v>
      </c>
      <c r="D250" s="152">
        <v>45839</v>
      </c>
      <c r="E250" s="152">
        <v>45869</v>
      </c>
      <c r="F250" s="153" t="s">
        <v>11</v>
      </c>
      <c r="G250" s="154">
        <v>300000</v>
      </c>
      <c r="H250" s="148">
        <v>5.0000000000000001E-4</v>
      </c>
      <c r="I250" s="149" t="s">
        <v>39</v>
      </c>
      <c r="J250" s="159">
        <v>45849</v>
      </c>
      <c r="K250" s="155" t="s">
        <v>2187</v>
      </c>
      <c r="L250" s="155" t="s">
        <v>2186</v>
      </c>
    </row>
    <row r="251" spans="1:12">
      <c r="A251" s="37">
        <v>2081</v>
      </c>
      <c r="B251" s="150" t="s">
        <v>36</v>
      </c>
      <c r="C251" s="149">
        <v>16427</v>
      </c>
      <c r="D251" s="152">
        <v>45839</v>
      </c>
      <c r="E251" s="152">
        <v>45869</v>
      </c>
      <c r="F251" s="153" t="s">
        <v>11</v>
      </c>
      <c r="G251" s="154">
        <v>500000</v>
      </c>
      <c r="H251" s="148">
        <v>1E-3</v>
      </c>
      <c r="I251" s="149" t="s">
        <v>17</v>
      </c>
      <c r="J251" s="159">
        <v>45849</v>
      </c>
      <c r="K251" s="155" t="s">
        <v>2187</v>
      </c>
      <c r="L251" s="155" t="s">
        <v>2186</v>
      </c>
    </row>
    <row r="252" spans="1:12">
      <c r="A252" s="37">
        <v>2082</v>
      </c>
      <c r="B252" s="150" t="s">
        <v>36</v>
      </c>
      <c r="C252" s="149">
        <v>12765</v>
      </c>
      <c r="D252" s="152">
        <v>45839</v>
      </c>
      <c r="E252" s="152">
        <v>45869</v>
      </c>
      <c r="F252" s="153" t="s">
        <v>11</v>
      </c>
      <c r="G252" s="154">
        <v>300000</v>
      </c>
      <c r="H252" s="148">
        <v>0.01</v>
      </c>
      <c r="I252" s="149" t="s">
        <v>17</v>
      </c>
      <c r="J252" s="159">
        <v>45852</v>
      </c>
      <c r="K252" s="155" t="s">
        <v>2188</v>
      </c>
      <c r="L252" s="155" t="s">
        <v>2477</v>
      </c>
    </row>
    <row r="253" spans="1:12">
      <c r="A253" s="37">
        <v>2083</v>
      </c>
      <c r="B253" s="150" t="s">
        <v>36</v>
      </c>
      <c r="C253" s="149" t="s">
        <v>2185</v>
      </c>
      <c r="D253" s="152">
        <v>45839</v>
      </c>
      <c r="E253" s="152">
        <v>45869</v>
      </c>
      <c r="F253" s="153" t="s">
        <v>11</v>
      </c>
      <c r="G253" s="154">
        <v>0.01</v>
      </c>
      <c r="H253" s="148">
        <v>6.4999999999999997E-3</v>
      </c>
      <c r="I253" s="149" t="s">
        <v>39</v>
      </c>
      <c r="J253" s="159">
        <v>45852</v>
      </c>
      <c r="K253" s="155" t="s">
        <v>2183</v>
      </c>
      <c r="L253" s="156" t="s">
        <v>990</v>
      </c>
    </row>
    <row r="254" spans="1:12">
      <c r="A254" s="37">
        <v>2084</v>
      </c>
      <c r="B254" s="150" t="s">
        <v>36</v>
      </c>
      <c r="C254" s="149">
        <v>2240</v>
      </c>
      <c r="D254" s="152">
        <v>45839</v>
      </c>
      <c r="E254" s="152">
        <v>45869</v>
      </c>
      <c r="F254" s="153" t="s">
        <v>11</v>
      </c>
      <c r="G254" s="154">
        <v>1000</v>
      </c>
      <c r="H254" s="148">
        <v>7.4999999999999997E-3</v>
      </c>
      <c r="I254" s="149" t="s">
        <v>20</v>
      </c>
      <c r="J254" s="159">
        <v>45852</v>
      </c>
      <c r="K254" s="155" t="s">
        <v>2181</v>
      </c>
      <c r="L254" s="155" t="s">
        <v>2419</v>
      </c>
    </row>
    <row r="255" spans="1:12">
      <c r="A255" s="37">
        <v>2085</v>
      </c>
      <c r="B255" s="150" t="s">
        <v>36</v>
      </c>
      <c r="C255" s="149">
        <v>4079</v>
      </c>
      <c r="D255" s="152">
        <v>45839</v>
      </c>
      <c r="E255" s="152">
        <v>45869</v>
      </c>
      <c r="F255" s="153" t="s">
        <v>11</v>
      </c>
      <c r="G255" s="154">
        <v>0.01</v>
      </c>
      <c r="H255" s="148">
        <v>5.0000000000000001E-3</v>
      </c>
      <c r="I255" s="149" t="s">
        <v>12</v>
      </c>
      <c r="J255" s="159">
        <v>45849</v>
      </c>
      <c r="K255" s="155" t="s">
        <v>2179</v>
      </c>
      <c r="L255" s="155" t="s">
        <v>2180</v>
      </c>
    </row>
    <row r="256" spans="1:12">
      <c r="A256" s="37">
        <v>2086</v>
      </c>
      <c r="B256" s="150" t="s">
        <v>36</v>
      </c>
      <c r="C256" s="149">
        <v>14938</v>
      </c>
      <c r="D256" s="152">
        <v>45839</v>
      </c>
      <c r="E256" s="152">
        <v>45869</v>
      </c>
      <c r="F256" s="153" t="s">
        <v>11</v>
      </c>
      <c r="G256" s="154">
        <v>300000</v>
      </c>
      <c r="H256" s="148">
        <v>5.0000000000000001E-4</v>
      </c>
      <c r="I256" s="149" t="s">
        <v>17</v>
      </c>
      <c r="J256" s="159">
        <v>45849</v>
      </c>
      <c r="K256" s="155" t="s">
        <v>2178</v>
      </c>
      <c r="L256" s="155" t="s">
        <v>2011</v>
      </c>
    </row>
    <row r="257" spans="1:12">
      <c r="A257" s="37">
        <v>2087</v>
      </c>
      <c r="B257" s="150" t="s">
        <v>36</v>
      </c>
      <c r="C257" s="149">
        <v>14938</v>
      </c>
      <c r="D257" s="152">
        <v>45839</v>
      </c>
      <c r="E257" s="152">
        <v>45869</v>
      </c>
      <c r="F257" s="153" t="s">
        <v>11</v>
      </c>
      <c r="G257" s="154">
        <v>1000</v>
      </c>
      <c r="H257" s="148">
        <v>4.0000000000000001E-3</v>
      </c>
      <c r="I257" s="149" t="s">
        <v>18</v>
      </c>
      <c r="J257" s="159">
        <v>45849</v>
      </c>
      <c r="K257" s="155" t="s">
        <v>2178</v>
      </c>
      <c r="L257" s="155" t="s">
        <v>2011</v>
      </c>
    </row>
    <row r="258" spans="1:12">
      <c r="A258" s="37">
        <v>2088</v>
      </c>
      <c r="B258" s="150" t="s">
        <v>36</v>
      </c>
      <c r="C258" s="164">
        <v>12340</v>
      </c>
      <c r="D258" s="152">
        <v>45839</v>
      </c>
      <c r="E258" s="152">
        <v>45869</v>
      </c>
      <c r="F258" s="153" t="s">
        <v>11</v>
      </c>
      <c r="G258" s="154">
        <v>300000</v>
      </c>
      <c r="H258" s="148">
        <v>1E-3</v>
      </c>
      <c r="I258" s="149" t="s">
        <v>18</v>
      </c>
      <c r="J258" s="159">
        <v>45849</v>
      </c>
      <c r="K258" s="155" t="s">
        <v>2176</v>
      </c>
      <c r="L258" s="176" t="s">
        <v>2491</v>
      </c>
    </row>
    <row r="259" spans="1:12">
      <c r="A259" s="37">
        <v>2089</v>
      </c>
      <c r="B259" s="150" t="s">
        <v>36</v>
      </c>
      <c r="C259" s="164">
        <v>12340</v>
      </c>
      <c r="D259" s="152">
        <v>45839</v>
      </c>
      <c r="E259" s="152">
        <v>45869</v>
      </c>
      <c r="F259" s="153" t="s">
        <v>11</v>
      </c>
      <c r="G259" s="154">
        <v>500000</v>
      </c>
      <c r="H259" s="148">
        <v>2E-3</v>
      </c>
      <c r="I259" s="149" t="s">
        <v>17</v>
      </c>
      <c r="J259" s="159">
        <v>45849</v>
      </c>
      <c r="K259" s="155" t="s">
        <v>2176</v>
      </c>
      <c r="L259" s="176" t="s">
        <v>2491</v>
      </c>
    </row>
    <row r="260" spans="1:12">
      <c r="A260" s="37">
        <v>2090</v>
      </c>
      <c r="B260" s="150" t="s">
        <v>36</v>
      </c>
      <c r="C260" s="164" t="s">
        <v>1423</v>
      </c>
      <c r="D260" s="152">
        <v>45839</v>
      </c>
      <c r="E260" s="152">
        <v>45869</v>
      </c>
      <c r="F260" s="153" t="s">
        <v>11</v>
      </c>
      <c r="G260" s="154">
        <v>1</v>
      </c>
      <c r="H260" s="148">
        <v>6.4999999999999997E-3</v>
      </c>
      <c r="I260" s="149" t="s">
        <v>17</v>
      </c>
      <c r="J260" s="159">
        <v>45849</v>
      </c>
      <c r="K260" s="155" t="s">
        <v>2173</v>
      </c>
      <c r="L260" s="170" t="s">
        <v>2486</v>
      </c>
    </row>
    <row r="261" spans="1:12">
      <c r="A261" s="37">
        <v>2091</v>
      </c>
      <c r="B261" s="150" t="s">
        <v>36</v>
      </c>
      <c r="C261" s="164">
        <v>16417</v>
      </c>
      <c r="D261" s="152">
        <v>45839</v>
      </c>
      <c r="E261" s="152">
        <v>45869</v>
      </c>
      <c r="F261" s="153" t="s">
        <v>11</v>
      </c>
      <c r="G261" s="154">
        <v>50000</v>
      </c>
      <c r="H261" s="148">
        <v>5.0000000000000001E-3</v>
      </c>
      <c r="I261" s="149" t="s">
        <v>20</v>
      </c>
      <c r="J261" s="159">
        <v>45849</v>
      </c>
      <c r="K261" s="155" t="s">
        <v>2172</v>
      </c>
      <c r="L261" s="155" t="s">
        <v>2171</v>
      </c>
    </row>
    <row r="262" spans="1:12" ht="40.5">
      <c r="A262" s="37">
        <v>2092</v>
      </c>
      <c r="B262" s="150" t="s">
        <v>36</v>
      </c>
      <c r="C262" s="149">
        <v>12765</v>
      </c>
      <c r="D262" s="152">
        <v>45839</v>
      </c>
      <c r="E262" s="152">
        <v>45869</v>
      </c>
      <c r="F262" s="153" t="s">
        <v>11</v>
      </c>
      <c r="G262" s="154">
        <v>300000</v>
      </c>
      <c r="H262" s="148">
        <v>5.0000000000000001E-3</v>
      </c>
      <c r="I262" s="149" t="s">
        <v>18</v>
      </c>
      <c r="J262" s="159">
        <v>45849</v>
      </c>
      <c r="K262" s="155" t="s">
        <v>2170</v>
      </c>
      <c r="L262" s="155" t="s">
        <v>2470</v>
      </c>
    </row>
    <row r="263" spans="1:12">
      <c r="A263" s="37">
        <v>2093</v>
      </c>
      <c r="B263" s="150" t="s">
        <v>36</v>
      </c>
      <c r="C263" s="164">
        <v>17303</v>
      </c>
      <c r="D263" s="152">
        <v>45839</v>
      </c>
      <c r="E263" s="152">
        <v>45869</v>
      </c>
      <c r="F263" s="153" t="s">
        <v>11</v>
      </c>
      <c r="G263" s="154">
        <v>1000</v>
      </c>
      <c r="H263" s="148">
        <v>1.7999999999999999E-2</v>
      </c>
      <c r="I263" s="149" t="s">
        <v>39</v>
      </c>
      <c r="J263" s="159">
        <v>45849</v>
      </c>
      <c r="K263" s="155" t="s">
        <v>2169</v>
      </c>
      <c r="L263" s="177" t="s">
        <v>2168</v>
      </c>
    </row>
    <row r="264" spans="1:12">
      <c r="A264" s="37">
        <v>2094</v>
      </c>
      <c r="B264" s="150" t="s">
        <v>36</v>
      </c>
      <c r="C264" s="149">
        <v>14500</v>
      </c>
      <c r="D264" s="152">
        <v>45839</v>
      </c>
      <c r="E264" s="152">
        <v>45869</v>
      </c>
      <c r="F264" s="153" t="s">
        <v>11</v>
      </c>
      <c r="G264" s="154">
        <v>0.01</v>
      </c>
      <c r="H264" s="148">
        <v>5.0000000000000001E-3</v>
      </c>
      <c r="I264" s="149" t="s">
        <v>27</v>
      </c>
      <c r="J264" s="159">
        <v>45849</v>
      </c>
      <c r="K264" s="155" t="s">
        <v>2167</v>
      </c>
      <c r="L264" s="155" t="s">
        <v>2182</v>
      </c>
    </row>
    <row r="265" spans="1:12">
      <c r="A265" s="37">
        <v>2095</v>
      </c>
      <c r="B265" s="150" t="s">
        <v>36</v>
      </c>
      <c r="C265" s="164" t="s">
        <v>1691</v>
      </c>
      <c r="D265" s="152">
        <v>45839</v>
      </c>
      <c r="E265" s="152">
        <v>45869</v>
      </c>
      <c r="F265" s="153" t="s">
        <v>11</v>
      </c>
      <c r="G265" s="154">
        <v>0.01</v>
      </c>
      <c r="H265" s="148">
        <v>5.0000000000000001E-3</v>
      </c>
      <c r="I265" s="149" t="s">
        <v>53</v>
      </c>
      <c r="J265" s="159">
        <v>45848</v>
      </c>
      <c r="K265" s="155" t="s">
        <v>2166</v>
      </c>
      <c r="L265" s="156" t="s">
        <v>107</v>
      </c>
    </row>
    <row r="266" spans="1:12">
      <c r="A266" s="37">
        <v>2096</v>
      </c>
      <c r="B266" s="150" t="s">
        <v>36</v>
      </c>
      <c r="C266" s="164" t="s">
        <v>2165</v>
      </c>
      <c r="D266" s="152">
        <v>45839</v>
      </c>
      <c r="E266" s="152">
        <v>45869</v>
      </c>
      <c r="F266" s="153" t="s">
        <v>11</v>
      </c>
      <c r="G266" s="154">
        <v>0.01</v>
      </c>
      <c r="H266" s="148">
        <v>2.5000000000000001E-3</v>
      </c>
      <c r="I266" s="149" t="s">
        <v>32</v>
      </c>
      <c r="J266" s="159">
        <v>45846</v>
      </c>
      <c r="K266" s="155" t="s">
        <v>2070</v>
      </c>
      <c r="L266" s="155" t="s">
        <v>2243</v>
      </c>
    </row>
    <row r="267" spans="1:12">
      <c r="A267" s="37">
        <v>2097</v>
      </c>
      <c r="B267" s="150" t="s">
        <v>36</v>
      </c>
      <c r="C267" s="149">
        <v>16905</v>
      </c>
      <c r="D267" s="152">
        <v>45839</v>
      </c>
      <c r="E267" s="152">
        <v>45869</v>
      </c>
      <c r="F267" s="153" t="s">
        <v>11</v>
      </c>
      <c r="G267" s="154">
        <v>0.01</v>
      </c>
      <c r="H267" s="148">
        <v>6.0000000000000001E-3</v>
      </c>
      <c r="I267" s="149" t="s">
        <v>32</v>
      </c>
      <c r="J267" s="159">
        <v>45848</v>
      </c>
      <c r="K267" s="155" t="s">
        <v>2164</v>
      </c>
      <c r="L267" s="156" t="s">
        <v>107</v>
      </c>
    </row>
    <row r="268" spans="1:12">
      <c r="A268" s="37">
        <v>2098</v>
      </c>
      <c r="B268" s="150" t="s">
        <v>36</v>
      </c>
      <c r="C268" s="164">
        <v>5614</v>
      </c>
      <c r="D268" s="152">
        <v>45839</v>
      </c>
      <c r="E268" s="152">
        <v>45868</v>
      </c>
      <c r="F268" s="153" t="s">
        <v>11</v>
      </c>
      <c r="G268" s="154">
        <v>1000</v>
      </c>
      <c r="H268" s="148">
        <v>8.0000000000000002E-3</v>
      </c>
      <c r="I268" s="149" t="s">
        <v>13</v>
      </c>
      <c r="J268" s="159">
        <v>45848</v>
      </c>
      <c r="K268" s="155" t="s">
        <v>2163</v>
      </c>
      <c r="L268" s="171" t="s">
        <v>2403</v>
      </c>
    </row>
    <row r="269" spans="1:12">
      <c r="A269" s="37">
        <v>2099</v>
      </c>
      <c r="B269" s="150" t="s">
        <v>36</v>
      </c>
      <c r="C269" s="164">
        <v>5614</v>
      </c>
      <c r="D269" s="152">
        <v>45839</v>
      </c>
      <c r="E269" s="152">
        <v>45868</v>
      </c>
      <c r="F269" s="153" t="s">
        <v>11</v>
      </c>
      <c r="G269" s="154">
        <v>1000</v>
      </c>
      <c r="H269" s="148">
        <v>3.0000000000000001E-3</v>
      </c>
      <c r="I269" s="149" t="s">
        <v>18</v>
      </c>
      <c r="J269" s="159">
        <v>45848</v>
      </c>
      <c r="K269" s="155" t="s">
        <v>2163</v>
      </c>
      <c r="L269" s="171" t="s">
        <v>2300</v>
      </c>
    </row>
    <row r="270" spans="1:12">
      <c r="A270" s="37">
        <v>2100</v>
      </c>
      <c r="B270" s="150" t="s">
        <v>36</v>
      </c>
      <c r="C270" s="164">
        <v>3594</v>
      </c>
      <c r="D270" s="152">
        <v>45839</v>
      </c>
      <c r="E270" s="152">
        <v>45869</v>
      </c>
      <c r="F270" s="153" t="s">
        <v>11</v>
      </c>
      <c r="G270" s="154">
        <v>200000</v>
      </c>
      <c r="H270" s="165">
        <v>200</v>
      </c>
      <c r="I270" s="149" t="s">
        <v>18</v>
      </c>
      <c r="J270" s="159">
        <v>45847</v>
      </c>
      <c r="K270" s="155" t="s">
        <v>1864</v>
      </c>
      <c r="L270" s="155" t="s">
        <v>2487</v>
      </c>
    </row>
    <row r="271" spans="1:12">
      <c r="A271" s="37">
        <v>2101</v>
      </c>
      <c r="B271" s="150" t="s">
        <v>36</v>
      </c>
      <c r="C271" s="164">
        <v>8075</v>
      </c>
      <c r="D271" s="152">
        <v>45839</v>
      </c>
      <c r="E271" s="152">
        <v>45869</v>
      </c>
      <c r="F271" s="153" t="s">
        <v>11</v>
      </c>
      <c r="G271" s="154">
        <v>200000</v>
      </c>
      <c r="H271" s="165">
        <v>200</v>
      </c>
      <c r="I271" s="149" t="s">
        <v>32</v>
      </c>
      <c r="J271" s="159">
        <v>45847</v>
      </c>
      <c r="K271" s="155" t="s">
        <v>2162</v>
      </c>
      <c r="L271" s="155" t="s">
        <v>2488</v>
      </c>
    </row>
    <row r="272" spans="1:12">
      <c r="A272" s="37">
        <v>2102</v>
      </c>
      <c r="B272" s="150" t="s">
        <v>36</v>
      </c>
      <c r="C272" s="164">
        <v>3752</v>
      </c>
      <c r="D272" s="152">
        <v>45839</v>
      </c>
      <c r="E272" s="152">
        <v>45869</v>
      </c>
      <c r="F272" s="153" t="s">
        <v>11</v>
      </c>
      <c r="G272" s="154">
        <v>200000</v>
      </c>
      <c r="H272" s="165">
        <v>200</v>
      </c>
      <c r="I272" s="149" t="s">
        <v>32</v>
      </c>
      <c r="J272" s="159">
        <v>45847</v>
      </c>
      <c r="K272" s="155" t="s">
        <v>215</v>
      </c>
      <c r="L272" s="155" t="s">
        <v>2488</v>
      </c>
    </row>
    <row r="273" spans="1:12">
      <c r="A273" s="37">
        <v>2103</v>
      </c>
      <c r="B273" s="150" t="s">
        <v>36</v>
      </c>
      <c r="C273" s="164">
        <v>3443</v>
      </c>
      <c r="D273" s="152">
        <v>45839</v>
      </c>
      <c r="E273" s="152">
        <v>45869</v>
      </c>
      <c r="F273" s="153" t="s">
        <v>11</v>
      </c>
      <c r="G273" s="154">
        <v>200000</v>
      </c>
      <c r="H273" s="165">
        <v>200</v>
      </c>
      <c r="I273" s="149" t="s">
        <v>32</v>
      </c>
      <c r="J273" s="159">
        <v>45847</v>
      </c>
      <c r="K273" s="155" t="s">
        <v>2161</v>
      </c>
      <c r="L273" s="155" t="s">
        <v>2488</v>
      </c>
    </row>
    <row r="274" spans="1:12">
      <c r="A274" s="37">
        <v>2104</v>
      </c>
      <c r="B274" s="150" t="s">
        <v>36</v>
      </c>
      <c r="C274" s="149" t="s">
        <v>2159</v>
      </c>
      <c r="D274" s="152">
        <v>45839</v>
      </c>
      <c r="E274" s="152">
        <v>45869</v>
      </c>
      <c r="F274" s="153" t="s">
        <v>11</v>
      </c>
      <c r="G274" s="154">
        <v>0.01</v>
      </c>
      <c r="H274" s="148">
        <v>7.4999999999999997E-3</v>
      </c>
      <c r="I274" s="149" t="s">
        <v>32</v>
      </c>
      <c r="J274" s="159">
        <v>45847</v>
      </c>
      <c r="K274" s="155" t="s">
        <v>2160</v>
      </c>
      <c r="L274" s="156" t="s">
        <v>107</v>
      </c>
    </row>
    <row r="275" spans="1:12">
      <c r="A275" s="37">
        <v>2105</v>
      </c>
      <c r="B275" s="150" t="s">
        <v>36</v>
      </c>
      <c r="C275" s="149" t="s">
        <v>2157</v>
      </c>
      <c r="D275" s="152">
        <v>45839</v>
      </c>
      <c r="E275" s="152">
        <v>45869</v>
      </c>
      <c r="F275" s="153" t="s">
        <v>11</v>
      </c>
      <c r="G275" s="154">
        <v>800000</v>
      </c>
      <c r="H275" s="148">
        <v>5.0000000000000001E-3</v>
      </c>
      <c r="I275" s="149" t="s">
        <v>168</v>
      </c>
      <c r="J275" s="159">
        <v>45848</v>
      </c>
      <c r="K275" s="155" t="s">
        <v>2158</v>
      </c>
      <c r="L275" s="156" t="s">
        <v>107</v>
      </c>
    </row>
    <row r="276" spans="1:12">
      <c r="A276" s="37">
        <v>2106</v>
      </c>
      <c r="B276" s="150" t="s">
        <v>36</v>
      </c>
      <c r="C276" s="149">
        <v>13929</v>
      </c>
      <c r="D276" s="152">
        <v>45839</v>
      </c>
      <c r="E276" s="152">
        <v>45869</v>
      </c>
      <c r="F276" s="153" t="s">
        <v>11</v>
      </c>
      <c r="G276" s="154">
        <v>10000</v>
      </c>
      <c r="H276" s="148">
        <v>6.0000000000000001E-3</v>
      </c>
      <c r="I276" s="149" t="s">
        <v>39</v>
      </c>
      <c r="J276" s="159">
        <v>45847</v>
      </c>
      <c r="K276" s="155" t="s">
        <v>2155</v>
      </c>
      <c r="L276" s="156" t="s">
        <v>990</v>
      </c>
    </row>
    <row r="277" spans="1:12">
      <c r="A277" s="37">
        <v>2107</v>
      </c>
      <c r="B277" s="150" t="s">
        <v>36</v>
      </c>
      <c r="C277" s="149">
        <v>17865</v>
      </c>
      <c r="D277" s="152">
        <v>45847</v>
      </c>
      <c r="E277" s="152">
        <v>45869</v>
      </c>
      <c r="F277" s="153" t="s">
        <v>11</v>
      </c>
      <c r="G277" s="154">
        <v>0.01</v>
      </c>
      <c r="H277" s="148">
        <v>6.0000000000000001E-3</v>
      </c>
      <c r="I277" s="149" t="s">
        <v>20</v>
      </c>
      <c r="J277" s="159">
        <v>45847</v>
      </c>
      <c r="K277" s="155" t="s">
        <v>2154</v>
      </c>
      <c r="L277" s="156" t="s">
        <v>107</v>
      </c>
    </row>
    <row r="278" spans="1:12">
      <c r="A278" s="37">
        <v>2108</v>
      </c>
      <c r="B278" s="150" t="s">
        <v>36</v>
      </c>
      <c r="C278" s="149">
        <v>13782</v>
      </c>
      <c r="D278" s="152">
        <v>45839</v>
      </c>
      <c r="E278" s="152">
        <v>45869</v>
      </c>
      <c r="F278" s="153" t="s">
        <v>11</v>
      </c>
      <c r="G278" s="154">
        <v>10000</v>
      </c>
      <c r="H278" s="148">
        <v>1.6E-2</v>
      </c>
      <c r="I278" s="149" t="s">
        <v>168</v>
      </c>
      <c r="J278" s="159">
        <v>45847</v>
      </c>
      <c r="K278" s="155" t="s">
        <v>2152</v>
      </c>
      <c r="L278" s="155" t="s">
        <v>2153</v>
      </c>
    </row>
    <row r="279" spans="1:12">
      <c r="A279" s="37">
        <v>2109</v>
      </c>
      <c r="B279" s="150" t="s">
        <v>36</v>
      </c>
      <c r="C279" s="149">
        <v>10109</v>
      </c>
      <c r="D279" s="152">
        <v>45839</v>
      </c>
      <c r="E279" s="152">
        <v>45868</v>
      </c>
      <c r="F279" s="153" t="s">
        <v>11</v>
      </c>
      <c r="G279" s="154">
        <v>300</v>
      </c>
      <c r="H279" s="148">
        <v>2E-3</v>
      </c>
      <c r="I279" s="149" t="s">
        <v>20</v>
      </c>
      <c r="J279" s="159">
        <v>45847</v>
      </c>
      <c r="K279" s="155" t="s">
        <v>1092</v>
      </c>
      <c r="L279" s="155" t="s">
        <v>2156</v>
      </c>
    </row>
    <row r="280" spans="1:12">
      <c r="A280" s="37">
        <v>2110</v>
      </c>
      <c r="B280" s="150" t="s">
        <v>36</v>
      </c>
      <c r="C280" s="164">
        <v>12988</v>
      </c>
      <c r="D280" s="152">
        <v>45839</v>
      </c>
      <c r="E280" s="152">
        <v>45869</v>
      </c>
      <c r="F280" s="153" t="s">
        <v>11</v>
      </c>
      <c r="G280" s="154">
        <v>100000</v>
      </c>
      <c r="H280" s="148">
        <v>1E-3</v>
      </c>
      <c r="I280" s="149" t="s">
        <v>41</v>
      </c>
      <c r="J280" s="159">
        <v>45847</v>
      </c>
      <c r="K280" s="155" t="s">
        <v>1604</v>
      </c>
      <c r="L280" s="155" t="s">
        <v>2151</v>
      </c>
    </row>
    <row r="281" spans="1:12">
      <c r="A281" s="37">
        <v>2111</v>
      </c>
      <c r="B281" s="150" t="s">
        <v>36</v>
      </c>
      <c r="C281" s="149">
        <v>13782</v>
      </c>
      <c r="D281" s="152">
        <v>45839</v>
      </c>
      <c r="E281" s="152">
        <v>45869</v>
      </c>
      <c r="F281" s="153" t="s">
        <v>11</v>
      </c>
      <c r="G281" s="154">
        <v>10000</v>
      </c>
      <c r="H281" s="148">
        <v>1.6E-2</v>
      </c>
      <c r="I281" s="149" t="s">
        <v>41</v>
      </c>
      <c r="J281" s="159">
        <v>45847</v>
      </c>
      <c r="K281" s="155" t="s">
        <v>2150</v>
      </c>
      <c r="L281" s="155" t="s">
        <v>2149</v>
      </c>
    </row>
    <row r="282" spans="1:12">
      <c r="A282" s="37">
        <v>2112</v>
      </c>
      <c r="B282" s="150" t="s">
        <v>36</v>
      </c>
      <c r="C282" s="151" t="s">
        <v>2148</v>
      </c>
      <c r="D282" s="152">
        <v>45839</v>
      </c>
      <c r="E282" s="152">
        <v>45869</v>
      </c>
      <c r="F282" s="173" t="s">
        <v>11</v>
      </c>
      <c r="G282" s="154">
        <v>0.01</v>
      </c>
      <c r="H282" s="148">
        <v>5.0000000000000001E-3</v>
      </c>
      <c r="I282" s="149" t="s">
        <v>20</v>
      </c>
      <c r="J282" s="159">
        <v>45847</v>
      </c>
      <c r="K282" s="155" t="s">
        <v>1735</v>
      </c>
      <c r="L282" s="156" t="s">
        <v>107</v>
      </c>
    </row>
    <row r="283" spans="1:12">
      <c r="A283" s="37">
        <v>2113</v>
      </c>
      <c r="B283" s="150" t="s">
        <v>36</v>
      </c>
      <c r="C283" s="151">
        <v>15980</v>
      </c>
      <c r="D283" s="152">
        <v>45839</v>
      </c>
      <c r="E283" s="152">
        <v>45869</v>
      </c>
      <c r="F283" s="173" t="s">
        <v>11</v>
      </c>
      <c r="G283" s="154">
        <v>0.01</v>
      </c>
      <c r="H283" s="148">
        <v>0.7</v>
      </c>
      <c r="I283" s="149" t="s">
        <v>32</v>
      </c>
      <c r="J283" s="159">
        <v>45846</v>
      </c>
      <c r="K283" s="155" t="s">
        <v>2147</v>
      </c>
      <c r="L283" s="175" t="s">
        <v>2422</v>
      </c>
    </row>
    <row r="284" spans="1:12">
      <c r="A284" s="37">
        <v>2114</v>
      </c>
      <c r="B284" s="150" t="s">
        <v>36</v>
      </c>
      <c r="C284" s="164" t="s">
        <v>2145</v>
      </c>
      <c r="D284" s="152">
        <v>45839</v>
      </c>
      <c r="E284" s="152">
        <v>45868</v>
      </c>
      <c r="F284" s="153" t="s">
        <v>11</v>
      </c>
      <c r="G284" s="154">
        <v>0.01</v>
      </c>
      <c r="H284" s="148">
        <v>3.0000000000000001E-3</v>
      </c>
      <c r="I284" s="149" t="s">
        <v>20</v>
      </c>
      <c r="J284" s="159">
        <v>45847</v>
      </c>
      <c r="K284" s="155" t="s">
        <v>2146</v>
      </c>
      <c r="L284" s="155" t="s">
        <v>2242</v>
      </c>
    </row>
    <row r="285" spans="1:12">
      <c r="A285" s="37">
        <v>2115</v>
      </c>
      <c r="B285" s="150" t="s">
        <v>36</v>
      </c>
      <c r="C285" s="151">
        <v>14482</v>
      </c>
      <c r="D285" s="152">
        <v>45839</v>
      </c>
      <c r="E285" s="152">
        <v>45869</v>
      </c>
      <c r="F285" s="173" t="s">
        <v>11</v>
      </c>
      <c r="G285" s="154">
        <v>0.01</v>
      </c>
      <c r="H285" s="148">
        <v>7.4999999999999997E-3</v>
      </c>
      <c r="I285" s="149" t="s">
        <v>19</v>
      </c>
      <c r="J285" s="159">
        <v>45846</v>
      </c>
      <c r="K285" s="155" t="s">
        <v>2144</v>
      </c>
      <c r="L285" s="156" t="s">
        <v>107</v>
      </c>
    </row>
    <row r="286" spans="1:12">
      <c r="A286" s="37">
        <v>2116</v>
      </c>
      <c r="B286" s="150" t="s">
        <v>36</v>
      </c>
      <c r="C286" s="151">
        <v>17743</v>
      </c>
      <c r="D286" s="152">
        <v>45839</v>
      </c>
      <c r="E286" s="152">
        <v>45869</v>
      </c>
      <c r="F286" s="173" t="s">
        <v>11</v>
      </c>
      <c r="G286" s="154">
        <v>0.01</v>
      </c>
      <c r="H286" s="148">
        <v>5.0000000000000001E-3</v>
      </c>
      <c r="I286" s="149" t="s">
        <v>20</v>
      </c>
      <c r="J286" s="159">
        <v>45846</v>
      </c>
      <c r="K286" s="155" t="s">
        <v>2143</v>
      </c>
      <c r="L286" s="156" t="s">
        <v>107</v>
      </c>
    </row>
    <row r="287" spans="1:12">
      <c r="A287" s="37">
        <v>2117</v>
      </c>
      <c r="B287" s="150" t="s">
        <v>36</v>
      </c>
      <c r="C287" s="151">
        <v>15980</v>
      </c>
      <c r="D287" s="152">
        <v>45839</v>
      </c>
      <c r="E287" s="152">
        <v>45869</v>
      </c>
      <c r="F287" s="173" t="s">
        <v>11</v>
      </c>
      <c r="G287" s="154">
        <v>0.01</v>
      </c>
      <c r="H287" s="148">
        <v>7.4999999999999997E-3</v>
      </c>
      <c r="I287" s="149" t="s">
        <v>20</v>
      </c>
      <c r="J287" s="159">
        <v>45846</v>
      </c>
      <c r="K287" s="155" t="s">
        <v>2142</v>
      </c>
      <c r="L287" s="156" t="s">
        <v>107</v>
      </c>
    </row>
    <row r="288" spans="1:12">
      <c r="A288" s="37">
        <v>2118</v>
      </c>
      <c r="B288" s="150" t="s">
        <v>36</v>
      </c>
      <c r="C288" s="164">
        <v>13782</v>
      </c>
      <c r="D288" s="152">
        <v>45839</v>
      </c>
      <c r="E288" s="152">
        <v>45868</v>
      </c>
      <c r="F288" s="153" t="s">
        <v>11</v>
      </c>
      <c r="G288" s="154">
        <v>10000</v>
      </c>
      <c r="H288" s="148">
        <v>0.04</v>
      </c>
      <c r="I288" s="149" t="s">
        <v>20</v>
      </c>
      <c r="J288" s="159">
        <v>45846</v>
      </c>
      <c r="K288" s="155" t="s">
        <v>2141</v>
      </c>
      <c r="L288" s="155" t="s">
        <v>1800</v>
      </c>
    </row>
    <row r="289" spans="1:12">
      <c r="A289" s="37">
        <v>2119</v>
      </c>
      <c r="B289" s="150" t="s">
        <v>36</v>
      </c>
      <c r="C289" s="149">
        <v>14722</v>
      </c>
      <c r="D289" s="152">
        <v>45839</v>
      </c>
      <c r="E289" s="152">
        <v>45845</v>
      </c>
      <c r="F289" s="153" t="s">
        <v>11</v>
      </c>
      <c r="G289" s="154">
        <v>10000</v>
      </c>
      <c r="H289" s="148">
        <v>2.0999999999999999E-3</v>
      </c>
      <c r="I289" s="149" t="s">
        <v>20</v>
      </c>
      <c r="J289" s="159">
        <v>45846</v>
      </c>
      <c r="K289" s="155" t="s">
        <v>1904</v>
      </c>
      <c r="L289" s="155" t="s">
        <v>1855</v>
      </c>
    </row>
    <row r="290" spans="1:12">
      <c r="A290" s="37">
        <v>2120</v>
      </c>
      <c r="B290" s="150" t="s">
        <v>36</v>
      </c>
      <c r="C290" s="149">
        <v>14722</v>
      </c>
      <c r="D290" s="152">
        <v>45839</v>
      </c>
      <c r="E290" s="152">
        <v>45845</v>
      </c>
      <c r="F290" s="153" t="s">
        <v>11</v>
      </c>
      <c r="G290" s="154">
        <v>10000</v>
      </c>
      <c r="H290" s="148">
        <v>2.5999999999999999E-3</v>
      </c>
      <c r="I290" s="149" t="s">
        <v>25</v>
      </c>
      <c r="J290" s="159">
        <v>45846</v>
      </c>
      <c r="K290" s="155" t="s">
        <v>1904</v>
      </c>
      <c r="L290" s="155" t="s">
        <v>2140</v>
      </c>
    </row>
    <row r="291" spans="1:12">
      <c r="A291" s="37">
        <v>2121</v>
      </c>
      <c r="B291" s="150" t="s">
        <v>36</v>
      </c>
      <c r="C291" s="164">
        <v>13131</v>
      </c>
      <c r="D291" s="152">
        <v>45839</v>
      </c>
      <c r="E291" s="152">
        <v>45868</v>
      </c>
      <c r="F291" s="153" t="s">
        <v>11</v>
      </c>
      <c r="G291" s="154">
        <v>1000</v>
      </c>
      <c r="H291" s="148">
        <v>3.0000000000000001E-3</v>
      </c>
      <c r="I291" s="149" t="s">
        <v>25</v>
      </c>
      <c r="J291" s="159">
        <v>45846</v>
      </c>
      <c r="K291" s="155" t="s">
        <v>2139</v>
      </c>
      <c r="L291" s="155" t="s">
        <v>2416</v>
      </c>
    </row>
    <row r="292" spans="1:12">
      <c r="A292" s="37">
        <v>2122</v>
      </c>
      <c r="B292" s="150" t="s">
        <v>36</v>
      </c>
      <c r="C292" s="151">
        <v>12021</v>
      </c>
      <c r="D292" s="152">
        <v>45839</v>
      </c>
      <c r="E292" s="152">
        <v>45869</v>
      </c>
      <c r="F292" s="173" t="s">
        <v>11</v>
      </c>
      <c r="G292" s="154">
        <v>0.01</v>
      </c>
      <c r="H292" s="148">
        <v>5.0000000000000001E-3</v>
      </c>
      <c r="I292" s="149" t="s">
        <v>18</v>
      </c>
      <c r="J292" s="159">
        <v>45846</v>
      </c>
      <c r="K292" s="155" t="s">
        <v>2138</v>
      </c>
      <c r="L292" s="156" t="s">
        <v>107</v>
      </c>
    </row>
    <row r="293" spans="1:12">
      <c r="A293" s="37">
        <v>2123</v>
      </c>
      <c r="B293" s="150" t="s">
        <v>36</v>
      </c>
      <c r="C293" s="151" t="s">
        <v>2137</v>
      </c>
      <c r="D293" s="152">
        <v>45839</v>
      </c>
      <c r="E293" s="152">
        <v>45869</v>
      </c>
      <c r="F293" s="173" t="s">
        <v>11</v>
      </c>
      <c r="G293" s="154">
        <v>0.01</v>
      </c>
      <c r="H293" s="148">
        <v>5.0000000000000001E-3</v>
      </c>
      <c r="I293" s="149" t="s">
        <v>46</v>
      </c>
      <c r="J293" s="159">
        <v>45846</v>
      </c>
      <c r="K293" s="155" t="s">
        <v>2138</v>
      </c>
      <c r="L293" s="156" t="s">
        <v>107</v>
      </c>
    </row>
    <row r="294" spans="1:12">
      <c r="A294" s="37">
        <v>2124</v>
      </c>
      <c r="B294" s="150" t="s">
        <v>36</v>
      </c>
      <c r="C294" s="164">
        <v>12021</v>
      </c>
      <c r="D294" s="152">
        <v>45839</v>
      </c>
      <c r="E294" s="152">
        <v>45869</v>
      </c>
      <c r="F294" s="153" t="s">
        <v>11</v>
      </c>
      <c r="G294" s="154">
        <v>0.01</v>
      </c>
      <c r="H294" s="148">
        <v>2E-3</v>
      </c>
      <c r="I294" s="149" t="s">
        <v>46</v>
      </c>
      <c r="J294" s="159">
        <v>45846</v>
      </c>
      <c r="K294" s="155" t="s">
        <v>2138</v>
      </c>
      <c r="L294" s="155" t="s">
        <v>1084</v>
      </c>
    </row>
    <row r="295" spans="1:12">
      <c r="A295" s="37">
        <v>2125</v>
      </c>
      <c r="B295" s="150" t="s">
        <v>36</v>
      </c>
      <c r="C295" s="164" t="s">
        <v>2137</v>
      </c>
      <c r="D295" s="152">
        <v>45839</v>
      </c>
      <c r="E295" s="152">
        <v>45868</v>
      </c>
      <c r="F295" s="153" t="s">
        <v>11</v>
      </c>
      <c r="G295" s="154">
        <v>0.01</v>
      </c>
      <c r="H295" s="148">
        <v>4.0000000000000001E-3</v>
      </c>
      <c r="I295" s="149" t="s">
        <v>46</v>
      </c>
      <c r="J295" s="159">
        <v>45846</v>
      </c>
      <c r="K295" s="155" t="s">
        <v>2138</v>
      </c>
      <c r="L295" s="155" t="s">
        <v>1084</v>
      </c>
    </row>
    <row r="296" spans="1:12">
      <c r="A296" s="37">
        <v>2126</v>
      </c>
      <c r="B296" s="150" t="s">
        <v>36</v>
      </c>
      <c r="C296" s="164">
        <v>6869</v>
      </c>
      <c r="D296" s="152">
        <v>45839</v>
      </c>
      <c r="E296" s="152">
        <v>45869</v>
      </c>
      <c r="F296" s="153" t="s">
        <v>11</v>
      </c>
      <c r="G296" s="154">
        <v>500000</v>
      </c>
      <c r="H296" s="148">
        <v>5.0000000000000001E-3</v>
      </c>
      <c r="I296" s="149" t="s">
        <v>46</v>
      </c>
      <c r="J296" s="159">
        <v>45846</v>
      </c>
      <c r="K296" s="155" t="s">
        <v>2136</v>
      </c>
      <c r="L296" s="155" t="s">
        <v>2489</v>
      </c>
    </row>
    <row r="297" spans="1:12">
      <c r="A297" s="37">
        <v>2127</v>
      </c>
      <c r="B297" s="150" t="s">
        <v>36</v>
      </c>
      <c r="C297" s="164">
        <v>13131</v>
      </c>
      <c r="D297" s="152">
        <v>45839</v>
      </c>
      <c r="E297" s="152">
        <v>45868</v>
      </c>
      <c r="F297" s="153" t="s">
        <v>11</v>
      </c>
      <c r="G297" s="154">
        <v>1000</v>
      </c>
      <c r="H297" s="148">
        <v>3.0000000000000001E-3</v>
      </c>
      <c r="I297" s="149" t="s">
        <v>18</v>
      </c>
      <c r="J297" s="159">
        <v>45846</v>
      </c>
      <c r="K297" s="155" t="s">
        <v>2135</v>
      </c>
      <c r="L297" s="172" t="s">
        <v>2489</v>
      </c>
    </row>
    <row r="298" spans="1:12">
      <c r="A298" s="37">
        <v>2128</v>
      </c>
      <c r="B298" s="150" t="s">
        <v>36</v>
      </c>
      <c r="C298" s="149">
        <v>13782</v>
      </c>
      <c r="D298" s="152">
        <v>45839</v>
      </c>
      <c r="E298" s="152">
        <v>45869</v>
      </c>
      <c r="F298" s="153" t="s">
        <v>11</v>
      </c>
      <c r="G298" s="154">
        <v>10000</v>
      </c>
      <c r="H298" s="148">
        <v>1.2E-2</v>
      </c>
      <c r="I298" s="149" t="s">
        <v>18</v>
      </c>
      <c r="J298" s="159">
        <v>45846</v>
      </c>
      <c r="K298" s="155" t="s">
        <v>2134</v>
      </c>
      <c r="L298" s="155" t="s">
        <v>2133</v>
      </c>
    </row>
    <row r="299" spans="1:12">
      <c r="A299" s="37">
        <v>2129</v>
      </c>
      <c r="B299" s="150" t="s">
        <v>36</v>
      </c>
      <c r="C299" s="151">
        <v>16988</v>
      </c>
      <c r="D299" s="152">
        <v>45839</v>
      </c>
      <c r="E299" s="152">
        <v>45869</v>
      </c>
      <c r="F299" s="173" t="s">
        <v>11</v>
      </c>
      <c r="G299" s="154">
        <v>0.01</v>
      </c>
      <c r="H299" s="148">
        <v>7.4999999999999997E-3</v>
      </c>
      <c r="I299" s="149" t="s">
        <v>20</v>
      </c>
      <c r="J299" s="159">
        <v>45845</v>
      </c>
      <c r="K299" s="155" t="s">
        <v>2132</v>
      </c>
      <c r="L299" s="156" t="s">
        <v>107</v>
      </c>
    </row>
    <row r="300" spans="1:12">
      <c r="A300" s="37">
        <v>2130</v>
      </c>
      <c r="B300" s="150" t="s">
        <v>36</v>
      </c>
      <c r="C300" s="151">
        <v>12385</v>
      </c>
      <c r="D300" s="152">
        <v>45839</v>
      </c>
      <c r="E300" s="152">
        <v>45869</v>
      </c>
      <c r="F300" s="173" t="s">
        <v>11</v>
      </c>
      <c r="G300" s="154">
        <v>0.01</v>
      </c>
      <c r="H300" s="148">
        <v>5.0000000000000001E-3</v>
      </c>
      <c r="I300" s="149" t="s">
        <v>168</v>
      </c>
      <c r="J300" s="159">
        <v>45845</v>
      </c>
      <c r="K300" s="155" t="s">
        <v>2131</v>
      </c>
      <c r="L300" s="175" t="s">
        <v>128</v>
      </c>
    </row>
    <row r="301" spans="1:12">
      <c r="A301" s="37">
        <v>2131</v>
      </c>
      <c r="B301" s="150" t="s">
        <v>36</v>
      </c>
      <c r="C301" s="164">
        <v>12385</v>
      </c>
      <c r="D301" s="152">
        <v>45839</v>
      </c>
      <c r="E301" s="152">
        <v>45869</v>
      </c>
      <c r="F301" s="153" t="s">
        <v>11</v>
      </c>
      <c r="G301" s="154">
        <v>0.01</v>
      </c>
      <c r="H301" s="148">
        <v>0.01</v>
      </c>
      <c r="I301" s="149" t="s">
        <v>46</v>
      </c>
      <c r="J301" s="159">
        <v>45845</v>
      </c>
      <c r="K301" s="155" t="s">
        <v>2131</v>
      </c>
      <c r="L301" s="155" t="s">
        <v>540</v>
      </c>
    </row>
    <row r="302" spans="1:12">
      <c r="A302" s="37">
        <v>2132</v>
      </c>
      <c r="B302" s="150" t="s">
        <v>36</v>
      </c>
      <c r="C302" s="164">
        <v>10461</v>
      </c>
      <c r="D302" s="152">
        <v>45839</v>
      </c>
      <c r="E302" s="152">
        <v>45869</v>
      </c>
      <c r="F302" s="153" t="s">
        <v>11</v>
      </c>
      <c r="G302" s="154">
        <v>0.01</v>
      </c>
      <c r="H302" s="148">
        <v>0.01</v>
      </c>
      <c r="I302" s="149" t="s">
        <v>46</v>
      </c>
      <c r="J302" s="159">
        <v>45845</v>
      </c>
      <c r="K302" s="155" t="s">
        <v>2131</v>
      </c>
      <c r="L302" s="155" t="s">
        <v>540</v>
      </c>
    </row>
    <row r="303" spans="1:12">
      <c r="A303" s="37">
        <v>2133</v>
      </c>
      <c r="B303" s="150" t="s">
        <v>36</v>
      </c>
      <c r="C303" s="151">
        <v>8687</v>
      </c>
      <c r="D303" s="152">
        <v>45839</v>
      </c>
      <c r="E303" s="152">
        <v>45869</v>
      </c>
      <c r="F303" s="173" t="s">
        <v>11</v>
      </c>
      <c r="G303" s="154">
        <v>0.01</v>
      </c>
      <c r="H303" s="148">
        <v>1E-3</v>
      </c>
      <c r="I303" s="149" t="s">
        <v>46</v>
      </c>
      <c r="J303" s="159">
        <v>45845</v>
      </c>
      <c r="K303" s="155" t="s">
        <v>2131</v>
      </c>
      <c r="L303" s="175" t="s">
        <v>128</v>
      </c>
    </row>
    <row r="304" spans="1:12">
      <c r="A304" s="37">
        <v>2134</v>
      </c>
      <c r="B304" s="150" t="s">
        <v>36</v>
      </c>
      <c r="C304" s="164">
        <v>9067</v>
      </c>
      <c r="D304" s="152">
        <v>45859</v>
      </c>
      <c r="E304" s="152">
        <v>45869</v>
      </c>
      <c r="F304" s="153" t="s">
        <v>11</v>
      </c>
      <c r="G304" s="154">
        <v>0.01</v>
      </c>
      <c r="H304" s="148">
        <v>6.0000000000000001E-3</v>
      </c>
      <c r="I304" s="149" t="s">
        <v>46</v>
      </c>
      <c r="J304" s="159">
        <v>45845</v>
      </c>
      <c r="K304" s="155" t="s">
        <v>2463</v>
      </c>
      <c r="L304" s="155" t="s">
        <v>2130</v>
      </c>
    </row>
    <row r="305" spans="1:12">
      <c r="A305" s="37">
        <v>2135</v>
      </c>
      <c r="B305" s="150" t="s">
        <v>36</v>
      </c>
      <c r="C305" s="164">
        <v>9067</v>
      </c>
      <c r="D305" s="152">
        <v>45859</v>
      </c>
      <c r="E305" s="152">
        <v>45869</v>
      </c>
      <c r="F305" s="153" t="s">
        <v>11</v>
      </c>
      <c r="G305" s="154">
        <v>0.01</v>
      </c>
      <c r="H305" s="148">
        <v>6.0000000000000001E-3</v>
      </c>
      <c r="I305" s="149" t="s">
        <v>21</v>
      </c>
      <c r="J305" s="159">
        <v>45845</v>
      </c>
      <c r="K305" s="155" t="s">
        <v>2463</v>
      </c>
      <c r="L305" s="155" t="s">
        <v>1942</v>
      </c>
    </row>
    <row r="306" spans="1:12">
      <c r="A306" s="37">
        <v>2136</v>
      </c>
      <c r="B306" s="150" t="s">
        <v>36</v>
      </c>
      <c r="C306" s="164">
        <v>9067</v>
      </c>
      <c r="D306" s="152">
        <v>45839</v>
      </c>
      <c r="E306" s="152">
        <v>45858</v>
      </c>
      <c r="F306" s="153" t="s">
        <v>11</v>
      </c>
      <c r="G306" s="154">
        <v>0.01</v>
      </c>
      <c r="H306" s="148">
        <v>4.0000000000000001E-3</v>
      </c>
      <c r="I306" s="149" t="s">
        <v>21</v>
      </c>
      <c r="J306" s="159">
        <v>45845</v>
      </c>
      <c r="K306" s="155" t="s">
        <v>2463</v>
      </c>
      <c r="L306" s="155" t="s">
        <v>2130</v>
      </c>
    </row>
    <row r="307" spans="1:12">
      <c r="A307" s="37">
        <v>2137</v>
      </c>
      <c r="B307" s="150" t="s">
        <v>36</v>
      </c>
      <c r="C307" s="164">
        <v>9067</v>
      </c>
      <c r="D307" s="152">
        <v>45839</v>
      </c>
      <c r="E307" s="152">
        <v>45858</v>
      </c>
      <c r="F307" s="153" t="s">
        <v>11</v>
      </c>
      <c r="G307" s="154">
        <v>0.01</v>
      </c>
      <c r="H307" s="148">
        <v>4.0000000000000001E-3</v>
      </c>
      <c r="I307" s="149" t="s">
        <v>21</v>
      </c>
      <c r="J307" s="159">
        <v>45845</v>
      </c>
      <c r="K307" s="155" t="s">
        <v>2463</v>
      </c>
      <c r="L307" s="155" t="s">
        <v>1942</v>
      </c>
    </row>
    <row r="308" spans="1:12">
      <c r="A308" s="37">
        <v>2138</v>
      </c>
      <c r="B308" s="150" t="s">
        <v>36</v>
      </c>
      <c r="C308" s="151">
        <v>8835</v>
      </c>
      <c r="D308" s="152">
        <v>45839</v>
      </c>
      <c r="E308" s="152">
        <v>45869</v>
      </c>
      <c r="F308" s="173" t="s">
        <v>11</v>
      </c>
      <c r="G308" s="154">
        <v>10000</v>
      </c>
      <c r="H308" s="148">
        <v>6.0000000000000001E-3</v>
      </c>
      <c r="I308" s="149" t="s">
        <v>21</v>
      </c>
      <c r="J308" s="159">
        <v>45845</v>
      </c>
      <c r="K308" s="155" t="s">
        <v>2129</v>
      </c>
      <c r="L308" s="156" t="s">
        <v>990</v>
      </c>
    </row>
    <row r="309" spans="1:12">
      <c r="A309" s="37">
        <v>2139</v>
      </c>
      <c r="B309" s="150" t="s">
        <v>36</v>
      </c>
      <c r="C309" s="151">
        <v>14993</v>
      </c>
      <c r="D309" s="152">
        <v>45839</v>
      </c>
      <c r="E309" s="152">
        <v>45869</v>
      </c>
      <c r="F309" s="173" t="s">
        <v>11</v>
      </c>
      <c r="G309" s="154">
        <v>0.01</v>
      </c>
      <c r="H309" s="148">
        <v>7.4999999999999997E-3</v>
      </c>
      <c r="I309" s="149" t="s">
        <v>20</v>
      </c>
      <c r="J309" s="159">
        <v>45845</v>
      </c>
      <c r="K309" s="155" t="s">
        <v>2128</v>
      </c>
      <c r="L309" s="156" t="s">
        <v>107</v>
      </c>
    </row>
    <row r="310" spans="1:12">
      <c r="A310" s="37">
        <v>2140</v>
      </c>
      <c r="B310" s="150" t="s">
        <v>36</v>
      </c>
      <c r="C310" s="151">
        <v>11208</v>
      </c>
      <c r="D310" s="152">
        <v>45839</v>
      </c>
      <c r="E310" s="152">
        <v>45869</v>
      </c>
      <c r="F310" s="173" t="s">
        <v>11</v>
      </c>
      <c r="G310" s="154">
        <v>200000</v>
      </c>
      <c r="H310" s="148">
        <v>2.5000000000000001E-3</v>
      </c>
      <c r="I310" s="149" t="s">
        <v>20</v>
      </c>
      <c r="J310" s="159">
        <v>45845</v>
      </c>
      <c r="K310" s="155" t="s">
        <v>2127</v>
      </c>
      <c r="L310" s="156" t="s">
        <v>107</v>
      </c>
    </row>
    <row r="311" spans="1:12">
      <c r="A311" s="37">
        <v>2141</v>
      </c>
      <c r="B311" s="150" t="s">
        <v>36</v>
      </c>
      <c r="C311" s="149">
        <v>16955</v>
      </c>
      <c r="D311" s="152">
        <v>45839</v>
      </c>
      <c r="E311" s="152">
        <v>45869</v>
      </c>
      <c r="F311" s="153" t="s">
        <v>11</v>
      </c>
      <c r="G311" s="154">
        <v>0.01</v>
      </c>
      <c r="H311" s="148">
        <v>6.0000000000000001E-3</v>
      </c>
      <c r="I311" s="149" t="s">
        <v>16</v>
      </c>
      <c r="J311" s="159">
        <v>45842</v>
      </c>
      <c r="K311" s="155" t="s">
        <v>2125</v>
      </c>
      <c r="L311" s="156" t="s">
        <v>107</v>
      </c>
    </row>
    <row r="312" spans="1:12">
      <c r="A312" s="37">
        <v>2142</v>
      </c>
      <c r="B312" s="150" t="s">
        <v>36</v>
      </c>
      <c r="C312" s="149">
        <v>13900</v>
      </c>
      <c r="D312" s="152">
        <v>45839</v>
      </c>
      <c r="E312" s="152">
        <v>45869</v>
      </c>
      <c r="F312" s="153" t="s">
        <v>11</v>
      </c>
      <c r="G312" s="154">
        <v>0.01</v>
      </c>
      <c r="H312" s="148">
        <v>1E-3</v>
      </c>
      <c r="I312" s="149" t="s">
        <v>13</v>
      </c>
      <c r="J312" s="159">
        <v>45841</v>
      </c>
      <c r="K312" s="155" t="s">
        <v>1549</v>
      </c>
      <c r="L312" s="156" t="s">
        <v>107</v>
      </c>
    </row>
    <row r="313" spans="1:12">
      <c r="A313" s="37">
        <v>2143</v>
      </c>
      <c r="B313" s="150" t="s">
        <v>36</v>
      </c>
      <c r="C313" s="164">
        <v>16713</v>
      </c>
      <c r="D313" s="152">
        <v>45839</v>
      </c>
      <c r="E313" s="152">
        <v>45869</v>
      </c>
      <c r="F313" s="153" t="s">
        <v>11</v>
      </c>
      <c r="G313" s="154">
        <v>0.01</v>
      </c>
      <c r="H313" s="148">
        <v>1.9E-2</v>
      </c>
      <c r="I313" s="149" t="s">
        <v>46</v>
      </c>
      <c r="J313" s="159">
        <v>45841</v>
      </c>
      <c r="K313" s="155" t="s">
        <v>1859</v>
      </c>
      <c r="L313" s="155" t="s">
        <v>2124</v>
      </c>
    </row>
    <row r="314" spans="1:12">
      <c r="A314" s="37">
        <v>2144</v>
      </c>
      <c r="B314" s="150" t="s">
        <v>36</v>
      </c>
      <c r="C314" s="164">
        <v>16713</v>
      </c>
      <c r="D314" s="152">
        <v>45839</v>
      </c>
      <c r="E314" s="152">
        <v>45869</v>
      </c>
      <c r="F314" s="153" t="s">
        <v>11</v>
      </c>
      <c r="G314" s="154">
        <v>0.01</v>
      </c>
      <c r="H314" s="148">
        <v>0.03</v>
      </c>
      <c r="I314" s="149" t="s">
        <v>13</v>
      </c>
      <c r="J314" s="159">
        <v>45841</v>
      </c>
      <c r="K314" s="155" t="s">
        <v>1859</v>
      </c>
      <c r="L314" s="155" t="s">
        <v>2123</v>
      </c>
    </row>
    <row r="315" spans="1:12">
      <c r="A315" s="37">
        <v>2145</v>
      </c>
      <c r="B315" s="150" t="s">
        <v>36</v>
      </c>
      <c r="C315" s="149" t="s">
        <v>2051</v>
      </c>
      <c r="D315" s="152">
        <v>45839</v>
      </c>
      <c r="E315" s="152">
        <v>45869</v>
      </c>
      <c r="F315" s="153" t="s">
        <v>11</v>
      </c>
      <c r="G315" s="154">
        <v>0.01</v>
      </c>
      <c r="H315" s="148">
        <v>5.0000000000000001E-3</v>
      </c>
      <c r="I315" s="149" t="s">
        <v>13</v>
      </c>
      <c r="J315" s="159">
        <v>45841</v>
      </c>
      <c r="K315" s="155" t="s">
        <v>2121</v>
      </c>
      <c r="L315" s="156" t="s">
        <v>107</v>
      </c>
    </row>
    <row r="316" spans="1:12" ht="40.5">
      <c r="A316" s="37">
        <v>2146</v>
      </c>
      <c r="B316" s="150" t="s">
        <v>36</v>
      </c>
      <c r="C316" s="149">
        <v>14916</v>
      </c>
      <c r="D316" s="152">
        <v>45839</v>
      </c>
      <c r="E316" s="152">
        <v>45869</v>
      </c>
      <c r="F316" s="153" t="s">
        <v>11</v>
      </c>
      <c r="G316" s="154">
        <v>50000</v>
      </c>
      <c r="H316" s="148">
        <v>1E-3</v>
      </c>
      <c r="I316" s="149" t="s">
        <v>22</v>
      </c>
      <c r="J316" s="159">
        <v>45839</v>
      </c>
      <c r="K316" s="155" t="s">
        <v>2120</v>
      </c>
      <c r="L316" s="156" t="s">
        <v>2471</v>
      </c>
    </row>
    <row r="317" spans="1:12" ht="40.5">
      <c r="A317" s="37">
        <v>2147</v>
      </c>
      <c r="B317" s="150" t="s">
        <v>36</v>
      </c>
      <c r="C317" s="149">
        <v>14649</v>
      </c>
      <c r="D317" s="152">
        <v>45839</v>
      </c>
      <c r="E317" s="152">
        <v>45869</v>
      </c>
      <c r="F317" s="153" t="s">
        <v>11</v>
      </c>
      <c r="G317" s="154">
        <v>50000</v>
      </c>
      <c r="H317" s="148">
        <v>1E-3</v>
      </c>
      <c r="I317" s="149" t="s">
        <v>101</v>
      </c>
      <c r="J317" s="159">
        <v>45839</v>
      </c>
      <c r="K317" s="155" t="s">
        <v>2120</v>
      </c>
      <c r="L317" s="156" t="s">
        <v>2471</v>
      </c>
    </row>
    <row r="318" spans="1:12" ht="40.5">
      <c r="A318" s="37">
        <v>2148</v>
      </c>
      <c r="B318" s="150" t="s">
        <v>36</v>
      </c>
      <c r="C318" s="149">
        <v>17427</v>
      </c>
      <c r="D318" s="152">
        <v>45839</v>
      </c>
      <c r="E318" s="152">
        <v>45869</v>
      </c>
      <c r="F318" s="153" t="s">
        <v>11</v>
      </c>
      <c r="G318" s="154">
        <v>50000</v>
      </c>
      <c r="H318" s="148">
        <v>1E-3</v>
      </c>
      <c r="I318" s="149" t="s">
        <v>101</v>
      </c>
      <c r="J318" s="159">
        <v>45839</v>
      </c>
      <c r="K318" s="155" t="s">
        <v>2120</v>
      </c>
      <c r="L318" s="156" t="s">
        <v>2471</v>
      </c>
    </row>
    <row r="319" spans="1:12" ht="27">
      <c r="A319" s="37">
        <v>2149</v>
      </c>
      <c r="B319" s="150" t="s">
        <v>36</v>
      </c>
      <c r="C319" s="149">
        <v>16801</v>
      </c>
      <c r="D319" s="152">
        <v>45839</v>
      </c>
      <c r="E319" s="152">
        <v>45869</v>
      </c>
      <c r="F319" s="153" t="s">
        <v>11</v>
      </c>
      <c r="G319" s="154">
        <v>50000</v>
      </c>
      <c r="H319" s="148">
        <v>1E-3</v>
      </c>
      <c r="I319" s="149" t="s">
        <v>101</v>
      </c>
      <c r="J319" s="159">
        <v>45839</v>
      </c>
      <c r="K319" s="155" t="s">
        <v>2120</v>
      </c>
      <c r="L319" s="156" t="s">
        <v>2472</v>
      </c>
    </row>
    <row r="320" spans="1:12" ht="27">
      <c r="A320" s="37">
        <v>2150</v>
      </c>
      <c r="B320" s="150" t="s">
        <v>36</v>
      </c>
      <c r="C320" s="149">
        <v>16797</v>
      </c>
      <c r="D320" s="152">
        <v>45839</v>
      </c>
      <c r="E320" s="152">
        <v>45869</v>
      </c>
      <c r="F320" s="153" t="s">
        <v>11</v>
      </c>
      <c r="G320" s="154">
        <v>50000</v>
      </c>
      <c r="H320" s="148">
        <v>1E-3</v>
      </c>
      <c r="I320" s="149" t="s">
        <v>101</v>
      </c>
      <c r="J320" s="159">
        <v>45839</v>
      </c>
      <c r="K320" s="155" t="s">
        <v>2120</v>
      </c>
      <c r="L320" s="156" t="s">
        <v>2472</v>
      </c>
    </row>
    <row r="321" spans="1:12" ht="27">
      <c r="A321" s="37">
        <v>2151</v>
      </c>
      <c r="B321" s="150" t="s">
        <v>36</v>
      </c>
      <c r="C321" s="149">
        <v>15914</v>
      </c>
      <c r="D321" s="152">
        <v>45839</v>
      </c>
      <c r="E321" s="152">
        <v>45869</v>
      </c>
      <c r="F321" s="153" t="s">
        <v>11</v>
      </c>
      <c r="G321" s="154">
        <v>50000</v>
      </c>
      <c r="H321" s="148">
        <v>1E-3</v>
      </c>
      <c r="I321" s="149" t="s">
        <v>101</v>
      </c>
      <c r="J321" s="159">
        <v>45839</v>
      </c>
      <c r="K321" s="155" t="s">
        <v>2120</v>
      </c>
      <c r="L321" s="156" t="s">
        <v>2472</v>
      </c>
    </row>
    <row r="322" spans="1:12" ht="27">
      <c r="A322" s="37">
        <v>2152</v>
      </c>
      <c r="B322" s="150" t="s">
        <v>36</v>
      </c>
      <c r="C322" s="149">
        <v>15853</v>
      </c>
      <c r="D322" s="152">
        <v>45839</v>
      </c>
      <c r="E322" s="152">
        <v>45869</v>
      </c>
      <c r="F322" s="153" t="s">
        <v>11</v>
      </c>
      <c r="G322" s="154">
        <v>50000</v>
      </c>
      <c r="H322" s="148">
        <v>1E-3</v>
      </c>
      <c r="I322" s="149" t="s">
        <v>101</v>
      </c>
      <c r="J322" s="159">
        <v>45839</v>
      </c>
      <c r="K322" s="155" t="s">
        <v>2120</v>
      </c>
      <c r="L322" s="156" t="s">
        <v>2472</v>
      </c>
    </row>
    <row r="323" spans="1:12" ht="27">
      <c r="A323" s="37">
        <v>2153</v>
      </c>
      <c r="B323" s="150" t="s">
        <v>36</v>
      </c>
      <c r="C323" s="149">
        <v>15639</v>
      </c>
      <c r="D323" s="152">
        <v>45839</v>
      </c>
      <c r="E323" s="152">
        <v>45869</v>
      </c>
      <c r="F323" s="153" t="s">
        <v>11</v>
      </c>
      <c r="G323" s="154">
        <v>50000</v>
      </c>
      <c r="H323" s="148">
        <v>1E-3</v>
      </c>
      <c r="I323" s="149" t="s">
        <v>101</v>
      </c>
      <c r="J323" s="159">
        <v>45839</v>
      </c>
      <c r="K323" s="155" t="s">
        <v>2120</v>
      </c>
      <c r="L323" s="156" t="s">
        <v>2472</v>
      </c>
    </row>
    <row r="324" spans="1:12" ht="27">
      <c r="A324" s="37">
        <v>2154</v>
      </c>
      <c r="B324" s="150" t="s">
        <v>36</v>
      </c>
      <c r="C324" s="149">
        <v>15514</v>
      </c>
      <c r="D324" s="152">
        <v>45839</v>
      </c>
      <c r="E324" s="152">
        <v>45869</v>
      </c>
      <c r="F324" s="153" t="s">
        <v>11</v>
      </c>
      <c r="G324" s="154">
        <v>50000</v>
      </c>
      <c r="H324" s="148">
        <v>1E-3</v>
      </c>
      <c r="I324" s="149" t="s">
        <v>101</v>
      </c>
      <c r="J324" s="159">
        <v>45839</v>
      </c>
      <c r="K324" s="155" t="s">
        <v>2120</v>
      </c>
      <c r="L324" s="156" t="s">
        <v>2472</v>
      </c>
    </row>
    <row r="325" spans="1:12" ht="27">
      <c r="A325" s="37">
        <v>2155</v>
      </c>
      <c r="B325" s="150" t="s">
        <v>36</v>
      </c>
      <c r="C325" s="149">
        <v>15511</v>
      </c>
      <c r="D325" s="152">
        <v>45839</v>
      </c>
      <c r="E325" s="152">
        <v>45869</v>
      </c>
      <c r="F325" s="153" t="s">
        <v>11</v>
      </c>
      <c r="G325" s="154">
        <v>50000</v>
      </c>
      <c r="H325" s="148">
        <v>1E-3</v>
      </c>
      <c r="I325" s="149" t="s">
        <v>101</v>
      </c>
      <c r="J325" s="159">
        <v>45839</v>
      </c>
      <c r="K325" s="155" t="s">
        <v>2120</v>
      </c>
      <c r="L325" s="156" t="s">
        <v>2472</v>
      </c>
    </row>
    <row r="326" spans="1:12" ht="27">
      <c r="A326" s="37">
        <v>2156</v>
      </c>
      <c r="B326" s="150" t="s">
        <v>36</v>
      </c>
      <c r="C326" s="149">
        <v>14397</v>
      </c>
      <c r="D326" s="152">
        <v>45839</v>
      </c>
      <c r="E326" s="152">
        <v>45869</v>
      </c>
      <c r="F326" s="153" t="s">
        <v>11</v>
      </c>
      <c r="G326" s="154">
        <v>50000</v>
      </c>
      <c r="H326" s="148">
        <v>1E-3</v>
      </c>
      <c r="I326" s="149" t="s">
        <v>101</v>
      </c>
      <c r="J326" s="159">
        <v>45839</v>
      </c>
      <c r="K326" s="155" t="s">
        <v>2120</v>
      </c>
      <c r="L326" s="156" t="s">
        <v>2472</v>
      </c>
    </row>
    <row r="327" spans="1:12" ht="27">
      <c r="A327" s="37">
        <v>2157</v>
      </c>
      <c r="B327" s="150" t="s">
        <v>36</v>
      </c>
      <c r="C327" s="149">
        <v>14242</v>
      </c>
      <c r="D327" s="152">
        <v>45839</v>
      </c>
      <c r="E327" s="152">
        <v>45869</v>
      </c>
      <c r="F327" s="153" t="s">
        <v>11</v>
      </c>
      <c r="G327" s="154">
        <v>50000</v>
      </c>
      <c r="H327" s="148">
        <v>1E-3</v>
      </c>
      <c r="I327" s="149" t="s">
        <v>101</v>
      </c>
      <c r="J327" s="159">
        <v>45839</v>
      </c>
      <c r="K327" s="155" t="s">
        <v>2120</v>
      </c>
      <c r="L327" s="156" t="s">
        <v>2472</v>
      </c>
    </row>
    <row r="328" spans="1:12" ht="27">
      <c r="A328" s="37">
        <v>2158</v>
      </c>
      <c r="B328" s="150" t="s">
        <v>36</v>
      </c>
      <c r="C328" s="149">
        <v>13193</v>
      </c>
      <c r="D328" s="152">
        <v>45839</v>
      </c>
      <c r="E328" s="152">
        <v>45869</v>
      </c>
      <c r="F328" s="153" t="s">
        <v>11</v>
      </c>
      <c r="G328" s="154">
        <v>50000</v>
      </c>
      <c r="H328" s="148">
        <v>1E-3</v>
      </c>
      <c r="I328" s="149" t="s">
        <v>101</v>
      </c>
      <c r="J328" s="159">
        <v>45839</v>
      </c>
      <c r="K328" s="155" t="s">
        <v>2120</v>
      </c>
      <c r="L328" s="156" t="s">
        <v>2472</v>
      </c>
    </row>
    <row r="329" spans="1:12" ht="27">
      <c r="A329" s="37">
        <v>2159</v>
      </c>
      <c r="B329" s="150" t="s">
        <v>36</v>
      </c>
      <c r="C329" s="149">
        <v>17727</v>
      </c>
      <c r="D329" s="152">
        <v>45839</v>
      </c>
      <c r="E329" s="152">
        <v>45869</v>
      </c>
      <c r="F329" s="153" t="s">
        <v>11</v>
      </c>
      <c r="G329" s="154">
        <v>50000</v>
      </c>
      <c r="H329" s="148">
        <v>1E-3</v>
      </c>
      <c r="I329" s="149" t="s">
        <v>101</v>
      </c>
      <c r="J329" s="159">
        <v>45839</v>
      </c>
      <c r="K329" s="155" t="s">
        <v>2120</v>
      </c>
      <c r="L329" s="156" t="s">
        <v>2472</v>
      </c>
    </row>
    <row r="330" spans="1:12" ht="27">
      <c r="A330" s="37">
        <v>2160</v>
      </c>
      <c r="B330" s="150" t="s">
        <v>36</v>
      </c>
      <c r="C330" s="149">
        <v>17430</v>
      </c>
      <c r="D330" s="152">
        <v>45839</v>
      </c>
      <c r="E330" s="152">
        <v>45869</v>
      </c>
      <c r="F330" s="153" t="s">
        <v>11</v>
      </c>
      <c r="G330" s="154">
        <v>50000</v>
      </c>
      <c r="H330" s="148">
        <v>1E-3</v>
      </c>
      <c r="I330" s="149" t="s">
        <v>101</v>
      </c>
      <c r="J330" s="159">
        <v>45839</v>
      </c>
      <c r="K330" s="155" t="s">
        <v>2120</v>
      </c>
      <c r="L330" s="156" t="s">
        <v>2472</v>
      </c>
    </row>
    <row r="331" spans="1:12" ht="27">
      <c r="A331" s="37">
        <v>2161</v>
      </c>
      <c r="B331" s="150" t="s">
        <v>36</v>
      </c>
      <c r="C331" s="149">
        <v>17416</v>
      </c>
      <c r="D331" s="152">
        <v>45839</v>
      </c>
      <c r="E331" s="152">
        <v>45869</v>
      </c>
      <c r="F331" s="153" t="s">
        <v>11</v>
      </c>
      <c r="G331" s="154">
        <v>50000</v>
      </c>
      <c r="H331" s="148">
        <v>1E-3</v>
      </c>
      <c r="I331" s="149" t="s">
        <v>101</v>
      </c>
      <c r="J331" s="159">
        <v>45839</v>
      </c>
      <c r="K331" s="155" t="s">
        <v>2120</v>
      </c>
      <c r="L331" s="156" t="s">
        <v>2472</v>
      </c>
    </row>
    <row r="332" spans="1:12" ht="27">
      <c r="A332" s="37">
        <v>2162</v>
      </c>
      <c r="B332" s="150" t="s">
        <v>36</v>
      </c>
      <c r="C332" s="149">
        <v>17251</v>
      </c>
      <c r="D332" s="152">
        <v>45839</v>
      </c>
      <c r="E332" s="152">
        <v>45869</v>
      </c>
      <c r="F332" s="153" t="s">
        <v>11</v>
      </c>
      <c r="G332" s="154">
        <v>50000</v>
      </c>
      <c r="H332" s="148">
        <v>1E-3</v>
      </c>
      <c r="I332" s="149" t="s">
        <v>101</v>
      </c>
      <c r="J332" s="159">
        <v>45839</v>
      </c>
      <c r="K332" s="155" t="s">
        <v>2120</v>
      </c>
      <c r="L332" s="156" t="s">
        <v>2472</v>
      </c>
    </row>
    <row r="333" spans="1:12" ht="27">
      <c r="A333" s="37">
        <v>2163</v>
      </c>
      <c r="B333" s="150" t="s">
        <v>36</v>
      </c>
      <c r="C333" s="149">
        <v>16584</v>
      </c>
      <c r="D333" s="152">
        <v>45839</v>
      </c>
      <c r="E333" s="152">
        <v>45869</v>
      </c>
      <c r="F333" s="153" t="s">
        <v>11</v>
      </c>
      <c r="G333" s="154">
        <v>50000</v>
      </c>
      <c r="H333" s="148">
        <v>1E-3</v>
      </c>
      <c r="I333" s="149" t="s">
        <v>101</v>
      </c>
      <c r="J333" s="159">
        <v>45839</v>
      </c>
      <c r="K333" s="155" t="s">
        <v>2120</v>
      </c>
      <c r="L333" s="156" t="s">
        <v>2472</v>
      </c>
    </row>
    <row r="334" spans="1:12" ht="27">
      <c r="A334" s="37">
        <v>2164</v>
      </c>
      <c r="B334" s="150" t="s">
        <v>36</v>
      </c>
      <c r="C334" s="149">
        <v>16393</v>
      </c>
      <c r="D334" s="152">
        <v>45839</v>
      </c>
      <c r="E334" s="152">
        <v>45869</v>
      </c>
      <c r="F334" s="153" t="s">
        <v>11</v>
      </c>
      <c r="G334" s="154">
        <v>50000</v>
      </c>
      <c r="H334" s="148">
        <v>1E-3</v>
      </c>
      <c r="I334" s="149" t="s">
        <v>101</v>
      </c>
      <c r="J334" s="159">
        <v>45839</v>
      </c>
      <c r="K334" s="155" t="s">
        <v>2120</v>
      </c>
      <c r="L334" s="156" t="s">
        <v>2472</v>
      </c>
    </row>
    <row r="335" spans="1:12" ht="27">
      <c r="A335" s="37">
        <v>2165</v>
      </c>
      <c r="B335" s="150" t="s">
        <v>36</v>
      </c>
      <c r="C335" s="149">
        <v>15948</v>
      </c>
      <c r="D335" s="152">
        <v>45839</v>
      </c>
      <c r="E335" s="152">
        <v>45869</v>
      </c>
      <c r="F335" s="153" t="s">
        <v>11</v>
      </c>
      <c r="G335" s="154">
        <v>50000</v>
      </c>
      <c r="H335" s="148">
        <v>1E-3</v>
      </c>
      <c r="I335" s="149" t="s">
        <v>101</v>
      </c>
      <c r="J335" s="159">
        <v>45839</v>
      </c>
      <c r="K335" s="155" t="s">
        <v>2120</v>
      </c>
      <c r="L335" s="156" t="s">
        <v>2472</v>
      </c>
    </row>
    <row r="336" spans="1:12" ht="27">
      <c r="A336" s="37">
        <v>2166</v>
      </c>
      <c r="B336" s="150" t="s">
        <v>36</v>
      </c>
      <c r="C336" s="149">
        <v>15880</v>
      </c>
      <c r="D336" s="152">
        <v>45839</v>
      </c>
      <c r="E336" s="152">
        <v>45869</v>
      </c>
      <c r="F336" s="153" t="s">
        <v>11</v>
      </c>
      <c r="G336" s="154">
        <v>50000</v>
      </c>
      <c r="H336" s="148">
        <v>1E-3</v>
      </c>
      <c r="I336" s="149" t="s">
        <v>101</v>
      </c>
      <c r="J336" s="159">
        <v>45839</v>
      </c>
      <c r="K336" s="155" t="s">
        <v>2120</v>
      </c>
      <c r="L336" s="156" t="s">
        <v>2472</v>
      </c>
    </row>
    <row r="337" spans="1:12" ht="27">
      <c r="A337" s="37">
        <v>2167</v>
      </c>
      <c r="B337" s="150" t="s">
        <v>36</v>
      </c>
      <c r="C337" s="149">
        <v>15566</v>
      </c>
      <c r="D337" s="152">
        <v>45839</v>
      </c>
      <c r="E337" s="152">
        <v>45869</v>
      </c>
      <c r="F337" s="153" t="s">
        <v>11</v>
      </c>
      <c r="G337" s="154">
        <v>50000</v>
      </c>
      <c r="H337" s="148">
        <v>1E-3</v>
      </c>
      <c r="I337" s="149" t="s">
        <v>101</v>
      </c>
      <c r="J337" s="159">
        <v>45839</v>
      </c>
      <c r="K337" s="155" t="s">
        <v>2120</v>
      </c>
      <c r="L337" s="156" t="s">
        <v>2472</v>
      </c>
    </row>
    <row r="338" spans="1:12" ht="27">
      <c r="A338" s="37">
        <v>2168</v>
      </c>
      <c r="B338" s="150" t="s">
        <v>36</v>
      </c>
      <c r="C338" s="149">
        <v>15509</v>
      </c>
      <c r="D338" s="152">
        <v>45839</v>
      </c>
      <c r="E338" s="152">
        <v>45869</v>
      </c>
      <c r="F338" s="153" t="s">
        <v>11</v>
      </c>
      <c r="G338" s="154">
        <v>50000</v>
      </c>
      <c r="H338" s="148">
        <v>1E-3</v>
      </c>
      <c r="I338" s="149" t="s">
        <v>101</v>
      </c>
      <c r="J338" s="159">
        <v>45839</v>
      </c>
      <c r="K338" s="155" t="s">
        <v>2120</v>
      </c>
      <c r="L338" s="156" t="s">
        <v>2472</v>
      </c>
    </row>
    <row r="339" spans="1:12" ht="27">
      <c r="A339" s="37">
        <v>2169</v>
      </c>
      <c r="B339" s="150" t="s">
        <v>36</v>
      </c>
      <c r="C339" s="149">
        <v>15475</v>
      </c>
      <c r="D339" s="152">
        <v>45839</v>
      </c>
      <c r="E339" s="152">
        <v>45869</v>
      </c>
      <c r="F339" s="153" t="s">
        <v>11</v>
      </c>
      <c r="G339" s="154">
        <v>50000</v>
      </c>
      <c r="H339" s="148">
        <v>1E-3</v>
      </c>
      <c r="I339" s="149" t="s">
        <v>101</v>
      </c>
      <c r="J339" s="159">
        <v>45839</v>
      </c>
      <c r="K339" s="155" t="s">
        <v>2120</v>
      </c>
      <c r="L339" s="156" t="s">
        <v>2472</v>
      </c>
    </row>
    <row r="340" spans="1:12" ht="27">
      <c r="A340" s="37">
        <v>2170</v>
      </c>
      <c r="B340" s="150" t="s">
        <v>36</v>
      </c>
      <c r="C340" s="149">
        <v>14629</v>
      </c>
      <c r="D340" s="152">
        <v>45839</v>
      </c>
      <c r="E340" s="152">
        <v>45869</v>
      </c>
      <c r="F340" s="153" t="s">
        <v>11</v>
      </c>
      <c r="G340" s="154">
        <v>50000</v>
      </c>
      <c r="H340" s="148">
        <v>1E-3</v>
      </c>
      <c r="I340" s="149" t="s">
        <v>101</v>
      </c>
      <c r="J340" s="159">
        <v>45839</v>
      </c>
      <c r="K340" s="155" t="s">
        <v>2120</v>
      </c>
      <c r="L340" s="156" t="s">
        <v>2472</v>
      </c>
    </row>
    <row r="341" spans="1:12" ht="27">
      <c r="A341" s="37">
        <v>2171</v>
      </c>
      <c r="B341" s="150" t="s">
        <v>36</v>
      </c>
      <c r="C341" s="149">
        <v>15493</v>
      </c>
      <c r="D341" s="152">
        <v>45839</v>
      </c>
      <c r="E341" s="152">
        <v>45869</v>
      </c>
      <c r="F341" s="153" t="s">
        <v>11</v>
      </c>
      <c r="G341" s="154">
        <v>50000</v>
      </c>
      <c r="H341" s="148">
        <v>1E-3</v>
      </c>
      <c r="I341" s="149" t="s">
        <v>101</v>
      </c>
      <c r="J341" s="159">
        <v>45839</v>
      </c>
      <c r="K341" s="155" t="s">
        <v>2120</v>
      </c>
      <c r="L341" s="156" t="s">
        <v>2472</v>
      </c>
    </row>
    <row r="342" spans="1:12" ht="27">
      <c r="A342" s="37">
        <v>2172</v>
      </c>
      <c r="B342" s="150" t="s">
        <v>36</v>
      </c>
      <c r="C342" s="149">
        <v>15277</v>
      </c>
      <c r="D342" s="152">
        <v>45839</v>
      </c>
      <c r="E342" s="152">
        <v>45869</v>
      </c>
      <c r="F342" s="153" t="s">
        <v>11</v>
      </c>
      <c r="G342" s="154">
        <v>50000</v>
      </c>
      <c r="H342" s="148">
        <v>1E-3</v>
      </c>
      <c r="I342" s="149" t="s">
        <v>101</v>
      </c>
      <c r="J342" s="159">
        <v>45839</v>
      </c>
      <c r="K342" s="155" t="s">
        <v>2120</v>
      </c>
      <c r="L342" s="156" t="s">
        <v>2472</v>
      </c>
    </row>
    <row r="343" spans="1:12" ht="27">
      <c r="A343" s="37">
        <v>2173</v>
      </c>
      <c r="B343" s="150" t="s">
        <v>36</v>
      </c>
      <c r="C343" s="149">
        <v>15202</v>
      </c>
      <c r="D343" s="152">
        <v>45839</v>
      </c>
      <c r="E343" s="152">
        <v>45869</v>
      </c>
      <c r="F343" s="153" t="s">
        <v>11</v>
      </c>
      <c r="G343" s="154">
        <v>50000</v>
      </c>
      <c r="H343" s="148">
        <v>1E-3</v>
      </c>
      <c r="I343" s="149" t="s">
        <v>101</v>
      </c>
      <c r="J343" s="159">
        <v>45839</v>
      </c>
      <c r="K343" s="155" t="s">
        <v>2120</v>
      </c>
      <c r="L343" s="156" t="s">
        <v>2472</v>
      </c>
    </row>
    <row r="344" spans="1:12" ht="27">
      <c r="A344" s="37">
        <v>2174</v>
      </c>
      <c r="B344" s="150" t="s">
        <v>36</v>
      </c>
      <c r="C344" s="149">
        <v>16099</v>
      </c>
      <c r="D344" s="152">
        <v>45839</v>
      </c>
      <c r="E344" s="152">
        <v>45869</v>
      </c>
      <c r="F344" s="153" t="s">
        <v>11</v>
      </c>
      <c r="G344" s="154">
        <v>50000</v>
      </c>
      <c r="H344" s="148">
        <v>1E-3</v>
      </c>
      <c r="I344" s="149" t="s">
        <v>101</v>
      </c>
      <c r="J344" s="159">
        <v>45839</v>
      </c>
      <c r="K344" s="155" t="s">
        <v>2120</v>
      </c>
      <c r="L344" s="156" t="s">
        <v>2472</v>
      </c>
    </row>
    <row r="345" spans="1:12" ht="27">
      <c r="A345" s="37">
        <v>2175</v>
      </c>
      <c r="B345" s="150" t="s">
        <v>36</v>
      </c>
      <c r="C345" s="149">
        <v>15660</v>
      </c>
      <c r="D345" s="152">
        <v>45839</v>
      </c>
      <c r="E345" s="152">
        <v>45869</v>
      </c>
      <c r="F345" s="153" t="s">
        <v>11</v>
      </c>
      <c r="G345" s="154">
        <v>50000</v>
      </c>
      <c r="H345" s="148">
        <v>1E-3</v>
      </c>
      <c r="I345" s="149" t="s">
        <v>101</v>
      </c>
      <c r="J345" s="159">
        <v>45839</v>
      </c>
      <c r="K345" s="155" t="s">
        <v>2120</v>
      </c>
      <c r="L345" s="156" t="s">
        <v>2472</v>
      </c>
    </row>
    <row r="346" spans="1:12" ht="27">
      <c r="A346" s="37">
        <v>2176</v>
      </c>
      <c r="B346" s="150" t="s">
        <v>36</v>
      </c>
      <c r="C346" s="149">
        <v>16057</v>
      </c>
      <c r="D346" s="152">
        <v>45839</v>
      </c>
      <c r="E346" s="152">
        <v>45869</v>
      </c>
      <c r="F346" s="153" t="s">
        <v>11</v>
      </c>
      <c r="G346" s="154">
        <v>100000</v>
      </c>
      <c r="H346" s="148">
        <v>1E-3</v>
      </c>
      <c r="I346" s="149" t="s">
        <v>101</v>
      </c>
      <c r="J346" s="159">
        <v>45839</v>
      </c>
      <c r="K346" s="155" t="s">
        <v>2120</v>
      </c>
      <c r="L346" s="156" t="s">
        <v>2472</v>
      </c>
    </row>
    <row r="347" spans="1:12" ht="27">
      <c r="A347" s="37">
        <v>2177</v>
      </c>
      <c r="B347" s="150" t="s">
        <v>36</v>
      </c>
      <c r="C347" s="149">
        <v>15813</v>
      </c>
      <c r="D347" s="152">
        <v>45839</v>
      </c>
      <c r="E347" s="152">
        <v>45869</v>
      </c>
      <c r="F347" s="153" t="s">
        <v>11</v>
      </c>
      <c r="G347" s="154">
        <v>100000</v>
      </c>
      <c r="H347" s="148">
        <v>1E-3</v>
      </c>
      <c r="I347" s="149" t="s">
        <v>101</v>
      </c>
      <c r="J347" s="159">
        <v>45839</v>
      </c>
      <c r="K347" s="155" t="s">
        <v>2120</v>
      </c>
      <c r="L347" s="156" t="s">
        <v>2472</v>
      </c>
    </row>
    <row r="348" spans="1:12" ht="27">
      <c r="A348" s="37">
        <v>2178</v>
      </c>
      <c r="B348" s="150" t="s">
        <v>36</v>
      </c>
      <c r="C348" s="149">
        <v>13141</v>
      </c>
      <c r="D348" s="152">
        <v>45839</v>
      </c>
      <c r="E348" s="152">
        <v>45869</v>
      </c>
      <c r="F348" s="153" t="s">
        <v>11</v>
      </c>
      <c r="G348" s="154">
        <v>100000</v>
      </c>
      <c r="H348" s="148">
        <v>1E-3</v>
      </c>
      <c r="I348" s="149" t="s">
        <v>101</v>
      </c>
      <c r="J348" s="159">
        <v>45839</v>
      </c>
      <c r="K348" s="155" t="s">
        <v>2120</v>
      </c>
      <c r="L348" s="156" t="s">
        <v>2472</v>
      </c>
    </row>
    <row r="349" spans="1:12" ht="27">
      <c r="A349" s="37">
        <v>2179</v>
      </c>
      <c r="B349" s="150" t="s">
        <v>36</v>
      </c>
      <c r="C349" s="149">
        <v>13224</v>
      </c>
      <c r="D349" s="152">
        <v>45839</v>
      </c>
      <c r="E349" s="152">
        <v>45869</v>
      </c>
      <c r="F349" s="153" t="s">
        <v>11</v>
      </c>
      <c r="G349" s="154">
        <v>100000</v>
      </c>
      <c r="H349" s="148">
        <v>1E-3</v>
      </c>
      <c r="I349" s="149" t="s">
        <v>101</v>
      </c>
      <c r="J349" s="159">
        <v>45839</v>
      </c>
      <c r="K349" s="155" t="s">
        <v>2120</v>
      </c>
      <c r="L349" s="156" t="s">
        <v>2472</v>
      </c>
    </row>
    <row r="350" spans="1:12" ht="27">
      <c r="A350" s="37">
        <v>2180</v>
      </c>
      <c r="B350" s="150" t="s">
        <v>36</v>
      </c>
      <c r="C350" s="149">
        <v>15814</v>
      </c>
      <c r="D350" s="152">
        <v>45839</v>
      </c>
      <c r="E350" s="152">
        <v>45869</v>
      </c>
      <c r="F350" s="153" t="s">
        <v>11</v>
      </c>
      <c r="G350" s="154">
        <v>100000</v>
      </c>
      <c r="H350" s="148">
        <v>1E-3</v>
      </c>
      <c r="I350" s="149" t="s">
        <v>101</v>
      </c>
      <c r="J350" s="159">
        <v>45839</v>
      </c>
      <c r="K350" s="155" t="s">
        <v>2120</v>
      </c>
      <c r="L350" s="156" t="s">
        <v>2472</v>
      </c>
    </row>
    <row r="351" spans="1:12" ht="27">
      <c r="A351" s="37">
        <v>2181</v>
      </c>
      <c r="B351" s="150" t="s">
        <v>36</v>
      </c>
      <c r="C351" s="149">
        <v>16742</v>
      </c>
      <c r="D351" s="152">
        <v>45839</v>
      </c>
      <c r="E351" s="152">
        <v>45869</v>
      </c>
      <c r="F351" s="153" t="s">
        <v>11</v>
      </c>
      <c r="G351" s="154">
        <v>100000</v>
      </c>
      <c r="H351" s="148">
        <v>1E-3</v>
      </c>
      <c r="I351" s="149" t="s">
        <v>101</v>
      </c>
      <c r="J351" s="159">
        <v>45839</v>
      </c>
      <c r="K351" s="155" t="s">
        <v>2120</v>
      </c>
      <c r="L351" s="156" t="s">
        <v>2472</v>
      </c>
    </row>
    <row r="352" spans="1:12" ht="27">
      <c r="A352" s="37">
        <v>2182</v>
      </c>
      <c r="B352" s="150" t="s">
        <v>36</v>
      </c>
      <c r="C352" s="149">
        <v>16431</v>
      </c>
      <c r="D352" s="152">
        <v>45839</v>
      </c>
      <c r="E352" s="152">
        <v>45869</v>
      </c>
      <c r="F352" s="153" t="s">
        <v>11</v>
      </c>
      <c r="G352" s="154">
        <v>100000</v>
      </c>
      <c r="H352" s="148">
        <v>1E-3</v>
      </c>
      <c r="I352" s="149" t="s">
        <v>101</v>
      </c>
      <c r="J352" s="159">
        <v>45839</v>
      </c>
      <c r="K352" s="155" t="s">
        <v>2120</v>
      </c>
      <c r="L352" s="156" t="s">
        <v>2472</v>
      </c>
    </row>
    <row r="353" spans="1:12" ht="27">
      <c r="A353" s="37">
        <v>2183</v>
      </c>
      <c r="B353" s="150" t="s">
        <v>36</v>
      </c>
      <c r="C353" s="149">
        <v>14786</v>
      </c>
      <c r="D353" s="152">
        <v>45839</v>
      </c>
      <c r="E353" s="152">
        <v>45869</v>
      </c>
      <c r="F353" s="153" t="s">
        <v>11</v>
      </c>
      <c r="G353" s="154">
        <v>100000</v>
      </c>
      <c r="H353" s="148">
        <v>1E-3</v>
      </c>
      <c r="I353" s="149" t="s">
        <v>101</v>
      </c>
      <c r="J353" s="159">
        <v>45839</v>
      </c>
      <c r="K353" s="155" t="s">
        <v>2120</v>
      </c>
      <c r="L353" s="156" t="s">
        <v>2472</v>
      </c>
    </row>
    <row r="354" spans="1:12" ht="27">
      <c r="A354" s="37">
        <v>2184</v>
      </c>
      <c r="B354" s="150" t="s">
        <v>36</v>
      </c>
      <c r="C354" s="149">
        <v>16354</v>
      </c>
      <c r="D354" s="152">
        <v>45839</v>
      </c>
      <c r="E354" s="152">
        <v>45869</v>
      </c>
      <c r="F354" s="153" t="s">
        <v>11</v>
      </c>
      <c r="G354" s="154">
        <v>100000</v>
      </c>
      <c r="H354" s="148">
        <v>1E-3</v>
      </c>
      <c r="I354" s="149" t="s">
        <v>101</v>
      </c>
      <c r="J354" s="159">
        <v>45839</v>
      </c>
      <c r="K354" s="155" t="s">
        <v>2120</v>
      </c>
      <c r="L354" s="156" t="s">
        <v>2472</v>
      </c>
    </row>
    <row r="355" spans="1:12" ht="27">
      <c r="A355" s="37">
        <v>2185</v>
      </c>
      <c r="B355" s="150" t="s">
        <v>36</v>
      </c>
      <c r="C355" s="149">
        <v>14341</v>
      </c>
      <c r="D355" s="152">
        <v>45839</v>
      </c>
      <c r="E355" s="152">
        <v>45869</v>
      </c>
      <c r="F355" s="153" t="s">
        <v>11</v>
      </c>
      <c r="G355" s="154">
        <v>100000</v>
      </c>
      <c r="H355" s="148">
        <v>1E-3</v>
      </c>
      <c r="I355" s="149" t="s">
        <v>101</v>
      </c>
      <c r="J355" s="159">
        <v>45839</v>
      </c>
      <c r="K355" s="155" t="s">
        <v>2120</v>
      </c>
      <c r="L355" s="156" t="s">
        <v>2472</v>
      </c>
    </row>
    <row r="356" spans="1:12">
      <c r="A356" s="37">
        <v>2186</v>
      </c>
      <c r="B356" s="150" t="s">
        <v>36</v>
      </c>
      <c r="C356" s="151">
        <v>13215</v>
      </c>
      <c r="D356" s="152">
        <v>45839</v>
      </c>
      <c r="E356" s="152">
        <v>45869</v>
      </c>
      <c r="F356" s="153" t="s">
        <v>11</v>
      </c>
      <c r="G356" s="154">
        <v>100000</v>
      </c>
      <c r="H356" s="148">
        <v>1E-3</v>
      </c>
      <c r="I356" s="149" t="s">
        <v>101</v>
      </c>
      <c r="J356" s="159">
        <v>45859</v>
      </c>
      <c r="K356" s="155" t="s">
        <v>2120</v>
      </c>
      <c r="L356" s="156" t="s">
        <v>2473</v>
      </c>
    </row>
    <row r="357" spans="1:12" ht="27">
      <c r="A357" s="37">
        <v>2187</v>
      </c>
      <c r="B357" s="150" t="s">
        <v>36</v>
      </c>
      <c r="C357" s="149">
        <v>14926</v>
      </c>
      <c r="D357" s="152">
        <v>45839</v>
      </c>
      <c r="E357" s="152">
        <v>45869</v>
      </c>
      <c r="F357" s="153" t="s">
        <v>11</v>
      </c>
      <c r="G357" s="154">
        <v>100000</v>
      </c>
      <c r="H357" s="148">
        <v>1E-3</v>
      </c>
      <c r="I357" s="149" t="s">
        <v>101</v>
      </c>
      <c r="J357" s="159">
        <v>45839</v>
      </c>
      <c r="K357" s="155" t="s">
        <v>2120</v>
      </c>
      <c r="L357" s="156" t="s">
        <v>2472</v>
      </c>
    </row>
    <row r="358" spans="1:12" ht="27">
      <c r="A358" s="37">
        <v>2188</v>
      </c>
      <c r="B358" s="150" t="s">
        <v>36</v>
      </c>
      <c r="C358" s="164">
        <v>16347</v>
      </c>
      <c r="D358" s="152">
        <v>45839</v>
      </c>
      <c r="E358" s="152">
        <v>45869</v>
      </c>
      <c r="F358" s="153" t="s">
        <v>11</v>
      </c>
      <c r="G358" s="154">
        <v>150000</v>
      </c>
      <c r="H358" s="148">
        <v>1E-3</v>
      </c>
      <c r="I358" s="149" t="s">
        <v>101</v>
      </c>
      <c r="J358" s="159">
        <v>45839</v>
      </c>
      <c r="K358" s="155" t="s">
        <v>2120</v>
      </c>
      <c r="L358" s="156" t="s">
        <v>2472</v>
      </c>
    </row>
    <row r="359" spans="1:12">
      <c r="A359" s="37">
        <v>2189</v>
      </c>
      <c r="B359" s="150" t="s">
        <v>36</v>
      </c>
      <c r="C359" s="164">
        <v>3121</v>
      </c>
      <c r="D359" s="152">
        <v>45839</v>
      </c>
      <c r="E359" s="152">
        <v>45869</v>
      </c>
      <c r="F359" s="153" t="s">
        <v>11</v>
      </c>
      <c r="G359" s="154">
        <v>0.01</v>
      </c>
      <c r="H359" s="148">
        <v>2E-3</v>
      </c>
      <c r="I359" s="149" t="s">
        <v>101</v>
      </c>
      <c r="J359" s="159">
        <v>45840</v>
      </c>
      <c r="K359" s="155" t="s">
        <v>1927</v>
      </c>
      <c r="L359" s="155" t="s">
        <v>716</v>
      </c>
    </row>
    <row r="360" spans="1:12">
      <c r="A360" s="37">
        <v>2190</v>
      </c>
      <c r="B360" s="150" t="s">
        <v>36</v>
      </c>
      <c r="C360" s="164">
        <v>1818</v>
      </c>
      <c r="D360" s="152">
        <v>45839</v>
      </c>
      <c r="E360" s="152">
        <v>45869</v>
      </c>
      <c r="F360" s="153" t="s">
        <v>11</v>
      </c>
      <c r="G360" s="154">
        <v>500000</v>
      </c>
      <c r="H360" s="148">
        <v>2E-3</v>
      </c>
      <c r="I360" s="149" t="s">
        <v>12</v>
      </c>
      <c r="J360" s="159">
        <v>45839</v>
      </c>
      <c r="K360" s="155" t="s">
        <v>1532</v>
      </c>
      <c r="L360" s="155" t="s">
        <v>2086</v>
      </c>
    </row>
    <row r="361" spans="1:12">
      <c r="A361" s="37">
        <v>2191</v>
      </c>
      <c r="B361" s="150" t="s">
        <v>36</v>
      </c>
      <c r="C361" s="164">
        <v>16239</v>
      </c>
      <c r="D361" s="152">
        <v>45839</v>
      </c>
      <c r="E361" s="152">
        <v>45869</v>
      </c>
      <c r="F361" s="153" t="s">
        <v>11</v>
      </c>
      <c r="G361" s="154">
        <v>0.01</v>
      </c>
      <c r="H361" s="148">
        <v>7.4999999999999997E-3</v>
      </c>
      <c r="I361" s="149" t="s">
        <v>19</v>
      </c>
      <c r="J361" s="159">
        <v>45839</v>
      </c>
      <c r="K361" s="155" t="s">
        <v>2118</v>
      </c>
      <c r="L361" s="156" t="s">
        <v>107</v>
      </c>
    </row>
    <row r="362" spans="1:12">
      <c r="A362" s="37">
        <v>2192</v>
      </c>
      <c r="B362" s="150" t="s">
        <v>36</v>
      </c>
      <c r="C362" s="164">
        <v>14363</v>
      </c>
      <c r="D362" s="152">
        <v>45839</v>
      </c>
      <c r="E362" s="152">
        <v>45869</v>
      </c>
      <c r="F362" s="153" t="s">
        <v>11</v>
      </c>
      <c r="G362" s="154">
        <v>1000</v>
      </c>
      <c r="H362" s="148">
        <v>1.4999999999999999E-2</v>
      </c>
      <c r="I362" s="149" t="s">
        <v>16</v>
      </c>
      <c r="J362" s="159">
        <v>45838</v>
      </c>
      <c r="K362" s="155" t="s">
        <v>1134</v>
      </c>
      <c r="L362" s="155" t="s">
        <v>1509</v>
      </c>
    </row>
    <row r="363" spans="1:12">
      <c r="A363" s="37">
        <v>2193</v>
      </c>
      <c r="B363" s="150" t="s">
        <v>36</v>
      </c>
      <c r="C363" s="164">
        <v>17806</v>
      </c>
      <c r="D363" s="152">
        <v>45839</v>
      </c>
      <c r="E363" s="152">
        <v>45869</v>
      </c>
      <c r="F363" s="153" t="s">
        <v>11</v>
      </c>
      <c r="G363" s="154">
        <v>0.01</v>
      </c>
      <c r="H363" s="148">
        <v>5.0000000000000001E-3</v>
      </c>
      <c r="I363" s="149" t="s">
        <v>15</v>
      </c>
      <c r="J363" s="159">
        <v>45835</v>
      </c>
      <c r="K363" s="155" t="s">
        <v>2093</v>
      </c>
      <c r="L363" s="156" t="s">
        <v>107</v>
      </c>
    </row>
    <row r="364" spans="1:12" ht="27">
      <c r="A364" s="37">
        <v>2194</v>
      </c>
      <c r="B364" s="150" t="s">
        <v>36</v>
      </c>
      <c r="C364" s="164">
        <v>14026</v>
      </c>
      <c r="D364" s="152">
        <v>45839</v>
      </c>
      <c r="E364" s="152">
        <v>45869</v>
      </c>
      <c r="F364" s="153" t="s">
        <v>11</v>
      </c>
      <c r="G364" s="154">
        <v>0.01</v>
      </c>
      <c r="H364" s="148">
        <v>5.0000000000000001E-3</v>
      </c>
      <c r="I364" s="149" t="s">
        <v>95</v>
      </c>
      <c r="J364" s="159">
        <v>45835</v>
      </c>
      <c r="K364" s="155" t="s">
        <v>2091</v>
      </c>
      <c r="L364" s="155" t="s">
        <v>2092</v>
      </c>
    </row>
    <row r="365" spans="1:12">
      <c r="A365" s="37">
        <v>2195</v>
      </c>
      <c r="B365" s="150" t="s">
        <v>36</v>
      </c>
      <c r="C365" s="164">
        <v>17354</v>
      </c>
      <c r="D365" s="152">
        <v>45839</v>
      </c>
      <c r="E365" s="152">
        <v>45869</v>
      </c>
      <c r="F365" s="153" t="s">
        <v>11</v>
      </c>
      <c r="G365" s="154">
        <v>0.01</v>
      </c>
      <c r="H365" s="148">
        <v>6.0000000000000001E-3</v>
      </c>
      <c r="I365" s="149" t="s">
        <v>19</v>
      </c>
      <c r="J365" s="159">
        <v>45828</v>
      </c>
      <c r="K365" s="155" t="s">
        <v>2058</v>
      </c>
      <c r="L365" s="155" t="s">
        <v>2059</v>
      </c>
    </row>
    <row r="366" spans="1:12">
      <c r="A366" s="37">
        <v>2196</v>
      </c>
      <c r="B366" s="150" t="s">
        <v>36</v>
      </c>
      <c r="C366" s="164" t="s">
        <v>2029</v>
      </c>
      <c r="D366" s="152">
        <v>45840</v>
      </c>
      <c r="E366" s="152">
        <v>45869</v>
      </c>
      <c r="F366" s="153" t="s">
        <v>1913</v>
      </c>
      <c r="G366" s="154">
        <v>500000</v>
      </c>
      <c r="H366" s="148">
        <v>3.0000000000000001E-3</v>
      </c>
      <c r="I366" s="149" t="s">
        <v>42</v>
      </c>
      <c r="J366" s="159">
        <v>45824</v>
      </c>
      <c r="K366" s="155" t="s">
        <v>2028</v>
      </c>
      <c r="L366" s="155" t="s">
        <v>2241</v>
      </c>
    </row>
    <row r="367" spans="1:12">
      <c r="A367" s="37">
        <v>2197</v>
      </c>
      <c r="B367" s="150" t="s">
        <v>36</v>
      </c>
      <c r="C367" s="164">
        <v>936</v>
      </c>
      <c r="D367" s="152">
        <v>45839</v>
      </c>
      <c r="E367" s="152">
        <v>45869</v>
      </c>
      <c r="F367" s="153" t="s">
        <v>11</v>
      </c>
      <c r="G367" s="154">
        <v>500000</v>
      </c>
      <c r="H367" s="148">
        <v>2E-3</v>
      </c>
      <c r="I367" s="149" t="s">
        <v>16</v>
      </c>
      <c r="J367" s="159">
        <v>45824</v>
      </c>
      <c r="K367" s="155" t="s">
        <v>1996</v>
      </c>
      <c r="L367" s="155" t="s">
        <v>1997</v>
      </c>
    </row>
    <row r="368" spans="1:12">
      <c r="A368" s="37">
        <v>2198</v>
      </c>
      <c r="B368" s="150" t="s">
        <v>36</v>
      </c>
      <c r="C368" s="164">
        <v>4079</v>
      </c>
      <c r="D368" s="152">
        <v>45839</v>
      </c>
      <c r="E368" s="152">
        <v>45869</v>
      </c>
      <c r="F368" s="153" t="s">
        <v>11</v>
      </c>
      <c r="G368" s="154">
        <v>0.01</v>
      </c>
      <c r="H368" s="148">
        <v>7.4999999999999997E-3</v>
      </c>
      <c r="I368" s="149" t="s">
        <v>19</v>
      </c>
      <c r="J368" s="159">
        <v>45819</v>
      </c>
      <c r="K368" s="155" t="s">
        <v>1924</v>
      </c>
      <c r="L368" s="156" t="s">
        <v>107</v>
      </c>
    </row>
    <row r="369" spans="1:12">
      <c r="A369" s="37">
        <v>2199</v>
      </c>
      <c r="B369" s="150" t="s">
        <v>36</v>
      </c>
      <c r="C369" s="164" t="s">
        <v>1920</v>
      </c>
      <c r="D369" s="152">
        <v>45839</v>
      </c>
      <c r="E369" s="152">
        <v>45869</v>
      </c>
      <c r="F369" s="153" t="s">
        <v>11</v>
      </c>
      <c r="G369" s="154">
        <v>500000</v>
      </c>
      <c r="H369" s="148">
        <v>0.01</v>
      </c>
      <c r="I369" s="149" t="s">
        <v>17</v>
      </c>
      <c r="J369" s="159">
        <v>45818</v>
      </c>
      <c r="K369" s="155" t="s">
        <v>1919</v>
      </c>
      <c r="L369" s="155" t="s">
        <v>2240</v>
      </c>
    </row>
    <row r="370" spans="1:12">
      <c r="A370" s="37">
        <v>2200</v>
      </c>
      <c r="B370" s="150" t="s">
        <v>36</v>
      </c>
      <c r="C370" s="164" t="s">
        <v>1920</v>
      </c>
      <c r="D370" s="152">
        <v>45839</v>
      </c>
      <c r="E370" s="152">
        <v>45869</v>
      </c>
      <c r="F370" s="153" t="s">
        <v>11</v>
      </c>
      <c r="G370" s="154">
        <v>1000000</v>
      </c>
      <c r="H370" s="148">
        <v>0.02</v>
      </c>
      <c r="I370" s="149" t="s">
        <v>29</v>
      </c>
      <c r="J370" s="159">
        <v>45818</v>
      </c>
      <c r="K370" s="155" t="s">
        <v>1919</v>
      </c>
      <c r="L370" s="155" t="s">
        <v>2240</v>
      </c>
    </row>
    <row r="371" spans="1:12">
      <c r="A371" s="37">
        <v>2201</v>
      </c>
      <c r="B371" s="150" t="s">
        <v>36</v>
      </c>
      <c r="C371" s="164">
        <v>6312</v>
      </c>
      <c r="D371" s="152">
        <v>45809</v>
      </c>
      <c r="E371" s="152">
        <v>45869</v>
      </c>
      <c r="F371" s="153" t="s">
        <v>1913</v>
      </c>
      <c r="G371" s="154">
        <v>1000</v>
      </c>
      <c r="H371" s="148">
        <v>5.0000000000000001E-3</v>
      </c>
      <c r="I371" s="149" t="s">
        <v>29</v>
      </c>
      <c r="J371" s="159">
        <v>45818</v>
      </c>
      <c r="K371" s="155" t="s">
        <v>1912</v>
      </c>
      <c r="L371" s="155" t="s">
        <v>2404</v>
      </c>
    </row>
    <row r="372" spans="1:12">
      <c r="A372" s="37">
        <v>2202</v>
      </c>
      <c r="B372" s="150" t="s">
        <v>36</v>
      </c>
      <c r="C372" s="164">
        <v>2598</v>
      </c>
      <c r="D372" s="152">
        <v>45839</v>
      </c>
      <c r="E372" s="152">
        <v>45869</v>
      </c>
      <c r="F372" s="173" t="s">
        <v>11</v>
      </c>
      <c r="G372" s="154">
        <v>0.01</v>
      </c>
      <c r="H372" s="148">
        <v>2.5000000000000001E-3</v>
      </c>
      <c r="I372" s="149" t="s">
        <v>18</v>
      </c>
      <c r="J372" s="159">
        <v>45779</v>
      </c>
      <c r="K372" s="155" t="s">
        <v>1501</v>
      </c>
      <c r="L372" s="155" t="s">
        <v>1502</v>
      </c>
    </row>
    <row r="373" spans="1:12" ht="27">
      <c r="A373" s="37">
        <v>2203</v>
      </c>
      <c r="B373" s="150" t="s">
        <v>36</v>
      </c>
      <c r="C373" s="164">
        <v>1427</v>
      </c>
      <c r="D373" s="152">
        <v>45839</v>
      </c>
      <c r="E373" s="152">
        <v>45869</v>
      </c>
      <c r="F373" s="153" t="s">
        <v>11</v>
      </c>
      <c r="G373" s="154">
        <v>0.01</v>
      </c>
      <c r="H373" s="148">
        <v>4.4999999999999997E-3</v>
      </c>
      <c r="I373" s="149" t="s">
        <v>29</v>
      </c>
      <c r="J373" s="159">
        <v>45721</v>
      </c>
      <c r="K373" s="155" t="s">
        <v>797</v>
      </c>
      <c r="L373" s="156" t="s">
        <v>1471</v>
      </c>
    </row>
    <row r="374" spans="1:12">
      <c r="A374" s="37">
        <v>2204</v>
      </c>
      <c r="B374" s="150" t="s">
        <v>36</v>
      </c>
      <c r="C374" s="164" t="s">
        <v>190</v>
      </c>
      <c r="D374" s="152">
        <v>45839</v>
      </c>
      <c r="E374" s="152">
        <v>45869</v>
      </c>
      <c r="F374" s="153" t="s">
        <v>11</v>
      </c>
      <c r="G374" s="154">
        <v>300000</v>
      </c>
      <c r="H374" s="148">
        <v>1E-3</v>
      </c>
      <c r="I374" s="149" t="s">
        <v>19</v>
      </c>
      <c r="J374" s="159">
        <v>45762</v>
      </c>
      <c r="K374" s="155" t="s">
        <v>1414</v>
      </c>
      <c r="L374" s="178" t="s">
        <v>144</v>
      </c>
    </row>
    <row r="375" spans="1:12">
      <c r="A375" s="37">
        <v>2205</v>
      </c>
      <c r="B375" s="150" t="s">
        <v>36</v>
      </c>
      <c r="C375" s="164" t="s">
        <v>190</v>
      </c>
      <c r="D375" s="152">
        <v>45839</v>
      </c>
      <c r="E375" s="152">
        <v>45869</v>
      </c>
      <c r="F375" s="153" t="s">
        <v>11</v>
      </c>
      <c r="G375" s="154">
        <v>500000</v>
      </c>
      <c r="H375" s="148">
        <v>2E-3</v>
      </c>
      <c r="I375" s="149" t="s">
        <v>17</v>
      </c>
      <c r="J375" s="159">
        <v>45762</v>
      </c>
      <c r="K375" s="155" t="s">
        <v>1414</v>
      </c>
      <c r="L375" s="178" t="s">
        <v>144</v>
      </c>
    </row>
    <row r="376" spans="1:12" ht="27">
      <c r="A376" s="37">
        <v>2206</v>
      </c>
      <c r="B376" s="150" t="s">
        <v>36</v>
      </c>
      <c r="C376" s="164" t="s">
        <v>1202</v>
      </c>
      <c r="D376" s="152">
        <v>45839</v>
      </c>
      <c r="E376" s="152">
        <v>45869</v>
      </c>
      <c r="F376" s="153" t="s">
        <v>11</v>
      </c>
      <c r="G376" s="154">
        <v>1</v>
      </c>
      <c r="H376" s="148">
        <v>2E-3</v>
      </c>
      <c r="I376" s="149" t="s">
        <v>17</v>
      </c>
      <c r="J376" s="159">
        <v>45754</v>
      </c>
      <c r="K376" s="155" t="s">
        <v>1201</v>
      </c>
      <c r="L376" s="155" t="s">
        <v>2490</v>
      </c>
    </row>
    <row r="377" spans="1:12">
      <c r="A377" s="37">
        <v>2207</v>
      </c>
      <c r="B377" s="150" t="s">
        <v>36</v>
      </c>
      <c r="C377" s="164" t="s">
        <v>1040</v>
      </c>
      <c r="D377" s="152">
        <v>45839</v>
      </c>
      <c r="E377" s="152">
        <v>45869</v>
      </c>
      <c r="F377" s="153" t="s">
        <v>11</v>
      </c>
      <c r="G377" s="154">
        <v>600000</v>
      </c>
      <c r="H377" s="148">
        <v>5.0000000000000001E-3</v>
      </c>
      <c r="I377" s="149" t="s">
        <v>29</v>
      </c>
      <c r="J377" s="159">
        <v>45737</v>
      </c>
      <c r="K377" s="155" t="s">
        <v>1039</v>
      </c>
      <c r="L377" s="155" t="s">
        <v>63</v>
      </c>
    </row>
    <row r="378" spans="1:12">
      <c r="A378" s="37">
        <v>2208</v>
      </c>
      <c r="B378" s="150" t="s">
        <v>36</v>
      </c>
      <c r="C378" s="164">
        <v>7934</v>
      </c>
      <c r="D378" s="152">
        <v>45839</v>
      </c>
      <c r="E378" s="152">
        <v>45869</v>
      </c>
      <c r="F378" s="153" t="s">
        <v>11</v>
      </c>
      <c r="G378" s="154">
        <v>1000</v>
      </c>
      <c r="H378" s="148">
        <v>2E-3</v>
      </c>
      <c r="I378" s="149" t="s">
        <v>19</v>
      </c>
      <c r="J378" s="159">
        <v>45734</v>
      </c>
      <c r="K378" s="155" t="s">
        <v>999</v>
      </c>
      <c r="L378" s="155" t="s">
        <v>1001</v>
      </c>
    </row>
    <row r="379" spans="1:12">
      <c r="A379" s="37">
        <v>2209</v>
      </c>
      <c r="B379" s="150" t="s">
        <v>36</v>
      </c>
      <c r="C379" s="164" t="s">
        <v>983</v>
      </c>
      <c r="D379" s="152">
        <v>45839</v>
      </c>
      <c r="E379" s="152">
        <v>45869</v>
      </c>
      <c r="F379" s="153" t="s">
        <v>11</v>
      </c>
      <c r="G379" s="154">
        <v>300000</v>
      </c>
      <c r="H379" s="148">
        <v>4.0000000000000001E-3</v>
      </c>
      <c r="I379" s="149" t="s">
        <v>27</v>
      </c>
      <c r="J379" s="159">
        <v>45728</v>
      </c>
      <c r="K379" s="155" t="s">
        <v>974</v>
      </c>
      <c r="L379" s="155" t="s">
        <v>2239</v>
      </c>
    </row>
    <row r="380" spans="1:12">
      <c r="A380" s="37">
        <v>2210</v>
      </c>
      <c r="B380" s="150" t="s">
        <v>36</v>
      </c>
      <c r="C380" s="164" t="s">
        <v>962</v>
      </c>
      <c r="D380" s="152">
        <v>45839</v>
      </c>
      <c r="E380" s="152">
        <v>45869</v>
      </c>
      <c r="F380" s="153" t="s">
        <v>11</v>
      </c>
      <c r="G380" s="154">
        <v>300000</v>
      </c>
      <c r="H380" s="148">
        <v>2E-3</v>
      </c>
      <c r="I380" s="149" t="s">
        <v>19</v>
      </c>
      <c r="J380" s="159">
        <v>45721</v>
      </c>
      <c r="K380" s="155" t="s">
        <v>961</v>
      </c>
      <c r="L380" s="155" t="s">
        <v>2411</v>
      </c>
    </row>
    <row r="381" spans="1:12">
      <c r="A381" s="37">
        <v>2211</v>
      </c>
      <c r="B381" s="150" t="s">
        <v>36</v>
      </c>
      <c r="C381" s="151" t="s">
        <v>985</v>
      </c>
      <c r="D381" s="152">
        <v>45839</v>
      </c>
      <c r="E381" s="152">
        <v>45869</v>
      </c>
      <c r="F381" s="173" t="s">
        <v>11</v>
      </c>
      <c r="G381" s="154">
        <v>0.01</v>
      </c>
      <c r="H381" s="148">
        <v>1E-3</v>
      </c>
      <c r="I381" s="149" t="s">
        <v>19</v>
      </c>
      <c r="J381" s="159">
        <v>45580</v>
      </c>
      <c r="K381" s="155" t="s">
        <v>191</v>
      </c>
      <c r="L381" s="175" t="s">
        <v>2238</v>
      </c>
    </row>
    <row r="382" spans="1:12">
      <c r="A382" s="37">
        <v>2212</v>
      </c>
      <c r="B382" s="150" t="s">
        <v>36</v>
      </c>
      <c r="C382" s="164">
        <v>4190</v>
      </c>
      <c r="D382" s="152">
        <v>45859</v>
      </c>
      <c r="E382" s="152">
        <v>45869</v>
      </c>
      <c r="F382" s="153" t="s">
        <v>11</v>
      </c>
      <c r="G382" s="154">
        <v>2000</v>
      </c>
      <c r="H382" s="148">
        <v>2E-3</v>
      </c>
      <c r="I382" s="149" t="s">
        <v>29</v>
      </c>
      <c r="J382" s="159">
        <v>45862</v>
      </c>
      <c r="K382" s="155" t="s">
        <v>2353</v>
      </c>
      <c r="L382" s="155" t="s">
        <v>2354</v>
      </c>
    </row>
    <row r="383" spans="1:12">
      <c r="A383" s="37">
        <v>2213</v>
      </c>
      <c r="B383" s="150" t="s">
        <v>36</v>
      </c>
      <c r="C383" s="164">
        <v>4190</v>
      </c>
      <c r="D383" s="152">
        <v>45859</v>
      </c>
      <c r="E383" s="152">
        <v>45869</v>
      </c>
      <c r="F383" s="153" t="s">
        <v>11</v>
      </c>
      <c r="G383" s="154">
        <v>2000</v>
      </c>
      <c r="H383" s="148">
        <v>2E-3</v>
      </c>
      <c r="I383" s="149" t="s">
        <v>17</v>
      </c>
      <c r="J383" s="159">
        <v>45862</v>
      </c>
      <c r="K383" s="155" t="s">
        <v>2353</v>
      </c>
      <c r="L383" s="155" t="s">
        <v>2355</v>
      </c>
    </row>
    <row r="384" spans="1:12">
      <c r="A384" s="37">
        <v>2214</v>
      </c>
      <c r="B384" s="150" t="s">
        <v>36</v>
      </c>
      <c r="C384" s="164">
        <v>4190</v>
      </c>
      <c r="D384" s="152">
        <v>45859</v>
      </c>
      <c r="E384" s="152">
        <v>45869</v>
      </c>
      <c r="F384" s="153" t="s">
        <v>11</v>
      </c>
      <c r="G384" s="154">
        <v>2000</v>
      </c>
      <c r="H384" s="148">
        <v>2E-3</v>
      </c>
      <c r="I384" s="149" t="s">
        <v>17</v>
      </c>
      <c r="J384" s="159">
        <v>45862</v>
      </c>
      <c r="K384" s="155" t="s">
        <v>2353</v>
      </c>
      <c r="L384" s="156" t="s">
        <v>107</v>
      </c>
    </row>
    <row r="385" spans="1:12">
      <c r="A385" s="37">
        <v>2215</v>
      </c>
      <c r="B385" s="150" t="s">
        <v>36</v>
      </c>
      <c r="C385" s="164">
        <v>4190</v>
      </c>
      <c r="D385" s="152">
        <v>45859</v>
      </c>
      <c r="E385" s="152">
        <v>45869</v>
      </c>
      <c r="F385" s="153" t="s">
        <v>11</v>
      </c>
      <c r="G385" s="154">
        <v>2000</v>
      </c>
      <c r="H385" s="148">
        <v>2E-3</v>
      </c>
      <c r="I385" s="149" t="s">
        <v>17</v>
      </c>
      <c r="J385" s="159">
        <v>45862</v>
      </c>
      <c r="K385" s="155" t="s">
        <v>2353</v>
      </c>
      <c r="L385" s="155" t="s">
        <v>2357</v>
      </c>
    </row>
    <row r="386" spans="1:12">
      <c r="A386" s="37">
        <v>2216</v>
      </c>
      <c r="B386" s="150" t="s">
        <v>36</v>
      </c>
      <c r="C386" s="164">
        <v>4190</v>
      </c>
      <c r="D386" s="152">
        <v>45859</v>
      </c>
      <c r="E386" s="152">
        <v>45869</v>
      </c>
      <c r="F386" s="153" t="s">
        <v>11</v>
      </c>
      <c r="G386" s="154">
        <v>2000</v>
      </c>
      <c r="H386" s="148">
        <v>2E-3</v>
      </c>
      <c r="I386" s="149" t="s">
        <v>17</v>
      </c>
      <c r="J386" s="159">
        <v>45862</v>
      </c>
      <c r="K386" s="155" t="s">
        <v>2353</v>
      </c>
      <c r="L386" s="155" t="s">
        <v>2358</v>
      </c>
    </row>
    <row r="387" spans="1:12">
      <c r="A387" s="37">
        <v>2217</v>
      </c>
      <c r="B387" s="150" t="s">
        <v>36</v>
      </c>
      <c r="C387" s="164">
        <v>4190</v>
      </c>
      <c r="D387" s="152">
        <v>45859</v>
      </c>
      <c r="E387" s="152">
        <v>45869</v>
      </c>
      <c r="F387" s="153" t="s">
        <v>11</v>
      </c>
      <c r="G387" s="154">
        <v>2000</v>
      </c>
      <c r="H387" s="148">
        <v>2E-3</v>
      </c>
      <c r="I387" s="149" t="s">
        <v>17</v>
      </c>
      <c r="J387" s="159">
        <v>45862</v>
      </c>
      <c r="K387" s="155" t="s">
        <v>2353</v>
      </c>
      <c r="L387" s="155" t="s">
        <v>2359</v>
      </c>
    </row>
    <row r="388" spans="1:12">
      <c r="A388" s="37">
        <v>2218</v>
      </c>
      <c r="B388" s="150" t="s">
        <v>36</v>
      </c>
      <c r="C388" s="164">
        <v>4190</v>
      </c>
      <c r="D388" s="152">
        <v>45859</v>
      </c>
      <c r="E388" s="152">
        <v>45869</v>
      </c>
      <c r="F388" s="153" t="s">
        <v>11</v>
      </c>
      <c r="G388" s="154">
        <v>2000</v>
      </c>
      <c r="H388" s="148">
        <v>2E-3</v>
      </c>
      <c r="I388" s="149" t="s">
        <v>17</v>
      </c>
      <c r="J388" s="159">
        <v>45862</v>
      </c>
      <c r="K388" s="155" t="s">
        <v>2353</v>
      </c>
      <c r="L388" s="155" t="s">
        <v>2360</v>
      </c>
    </row>
    <row r="389" spans="1:12">
      <c r="A389" s="37">
        <v>2219</v>
      </c>
      <c r="B389" s="150" t="s">
        <v>36</v>
      </c>
      <c r="C389" s="164" t="s">
        <v>2365</v>
      </c>
      <c r="D389" s="152">
        <v>45839</v>
      </c>
      <c r="E389" s="152">
        <v>45869</v>
      </c>
      <c r="F389" s="153" t="s">
        <v>11</v>
      </c>
      <c r="G389" s="154">
        <v>0.01</v>
      </c>
      <c r="H389" s="148">
        <v>1.4999999999999999E-2</v>
      </c>
      <c r="I389" s="149" t="s">
        <v>17</v>
      </c>
      <c r="J389" s="159">
        <v>45849</v>
      </c>
      <c r="K389" s="155" t="s">
        <v>2184</v>
      </c>
      <c r="L389" s="155" t="s">
        <v>2500</v>
      </c>
    </row>
    <row r="390" spans="1:12">
      <c r="A390" s="37">
        <v>2220</v>
      </c>
      <c r="B390" s="150" t="s">
        <v>36</v>
      </c>
      <c r="C390" s="164" t="s">
        <v>2362</v>
      </c>
      <c r="D390" s="152">
        <v>45861</v>
      </c>
      <c r="E390" s="152">
        <v>45869</v>
      </c>
      <c r="F390" s="153" t="s">
        <v>11</v>
      </c>
      <c r="G390" s="154">
        <v>0.01</v>
      </c>
      <c r="H390" s="148">
        <v>2E-3</v>
      </c>
      <c r="I390" s="149" t="s">
        <v>168</v>
      </c>
      <c r="J390" s="159">
        <v>45862</v>
      </c>
      <c r="K390" s="155" t="s">
        <v>2361</v>
      </c>
      <c r="L390" s="155" t="s">
        <v>2363</v>
      </c>
    </row>
    <row r="391" spans="1:12">
      <c r="A391" s="37">
        <v>2221</v>
      </c>
      <c r="B391" s="150" t="s">
        <v>36</v>
      </c>
      <c r="C391" s="164">
        <v>13711</v>
      </c>
      <c r="D391" s="152">
        <v>45859</v>
      </c>
      <c r="E391" s="152">
        <v>45869</v>
      </c>
      <c r="F391" s="153" t="s">
        <v>11</v>
      </c>
      <c r="G391" s="154">
        <v>0.01</v>
      </c>
      <c r="H391" s="148">
        <v>2.5000000000000001E-3</v>
      </c>
      <c r="I391" s="149" t="s">
        <v>25</v>
      </c>
      <c r="J391" s="159">
        <v>45860</v>
      </c>
      <c r="K391" s="155" t="s">
        <v>2344</v>
      </c>
      <c r="L391" s="156" t="s">
        <v>132</v>
      </c>
    </row>
    <row r="392" spans="1:12">
      <c r="A392" s="37">
        <v>2222</v>
      </c>
      <c r="B392" s="150" t="s">
        <v>36</v>
      </c>
      <c r="C392" s="164">
        <v>13891</v>
      </c>
      <c r="D392" s="152">
        <v>45861</v>
      </c>
      <c r="E392" s="152">
        <v>45869</v>
      </c>
      <c r="F392" s="153" t="s">
        <v>11</v>
      </c>
      <c r="G392" s="154">
        <v>0.01</v>
      </c>
      <c r="H392" s="148">
        <v>1.2500000000000001E-2</v>
      </c>
      <c r="I392" s="149" t="s">
        <v>15</v>
      </c>
      <c r="J392" s="159">
        <v>45862</v>
      </c>
      <c r="K392" s="155" t="s">
        <v>2367</v>
      </c>
      <c r="L392" s="155" t="s">
        <v>347</v>
      </c>
    </row>
    <row r="393" spans="1:12">
      <c r="A393" s="37">
        <v>2223</v>
      </c>
      <c r="B393" s="150" t="s">
        <v>36</v>
      </c>
      <c r="C393" s="164">
        <v>16818</v>
      </c>
      <c r="D393" s="152">
        <v>45860</v>
      </c>
      <c r="E393" s="152">
        <v>45869</v>
      </c>
      <c r="F393" s="153" t="s">
        <v>11</v>
      </c>
      <c r="G393" s="154">
        <v>0.01</v>
      </c>
      <c r="H393" s="148">
        <v>2E-3</v>
      </c>
      <c r="I393" s="149" t="s">
        <v>13</v>
      </c>
      <c r="J393" s="159">
        <v>45862</v>
      </c>
      <c r="K393" s="155" t="s">
        <v>2368</v>
      </c>
      <c r="L393" s="155" t="s">
        <v>2369</v>
      </c>
    </row>
    <row r="394" spans="1:12">
      <c r="A394" s="37">
        <v>2224</v>
      </c>
      <c r="B394" s="150" t="s">
        <v>36</v>
      </c>
      <c r="C394" s="164">
        <v>15332</v>
      </c>
      <c r="D394" s="152">
        <v>45859</v>
      </c>
      <c r="E394" s="152">
        <v>45869</v>
      </c>
      <c r="F394" s="153" t="s">
        <v>11</v>
      </c>
      <c r="G394" s="154">
        <v>0.01</v>
      </c>
      <c r="H394" s="148">
        <v>0.01</v>
      </c>
      <c r="I394" s="149" t="s">
        <v>20</v>
      </c>
      <c r="J394" s="159">
        <v>45862</v>
      </c>
      <c r="K394" s="155" t="s">
        <v>1844</v>
      </c>
      <c r="L394" s="155" t="s">
        <v>347</v>
      </c>
    </row>
    <row r="395" spans="1:12">
      <c r="A395" s="37">
        <v>2225</v>
      </c>
      <c r="B395" s="150" t="s">
        <v>36</v>
      </c>
      <c r="C395" s="164" t="s">
        <v>395</v>
      </c>
      <c r="D395" s="152">
        <v>45860</v>
      </c>
      <c r="E395" s="152">
        <v>45869</v>
      </c>
      <c r="F395" s="153" t="s">
        <v>11</v>
      </c>
      <c r="G395" s="154">
        <v>0.01</v>
      </c>
      <c r="H395" s="148">
        <v>1.7999999999999999E-2</v>
      </c>
      <c r="I395" s="149" t="s">
        <v>19</v>
      </c>
      <c r="J395" s="159">
        <v>45863</v>
      </c>
      <c r="K395" s="155" t="s">
        <v>2370</v>
      </c>
      <c r="L395" s="155" t="s">
        <v>2405</v>
      </c>
    </row>
    <row r="396" spans="1:12">
      <c r="A396" s="37">
        <v>2226</v>
      </c>
      <c r="B396" s="150" t="s">
        <v>36</v>
      </c>
      <c r="C396" s="164" t="s">
        <v>395</v>
      </c>
      <c r="D396" s="152">
        <v>45860</v>
      </c>
      <c r="E396" s="152">
        <v>45869</v>
      </c>
      <c r="F396" s="153" t="s">
        <v>11</v>
      </c>
      <c r="G396" s="154">
        <v>0.01</v>
      </c>
      <c r="H396" s="148">
        <v>5.0000000000000001E-3</v>
      </c>
      <c r="I396" s="149" t="s">
        <v>30</v>
      </c>
      <c r="J396" s="159">
        <v>45863</v>
      </c>
      <c r="K396" s="155" t="s">
        <v>2370</v>
      </c>
      <c r="L396" s="179" t="s">
        <v>2443</v>
      </c>
    </row>
    <row r="397" spans="1:12">
      <c r="A397" s="37">
        <v>2227</v>
      </c>
      <c r="B397" s="150" t="s">
        <v>36</v>
      </c>
      <c r="C397" s="164">
        <v>17467</v>
      </c>
      <c r="D397" s="152">
        <v>45859</v>
      </c>
      <c r="E397" s="152">
        <v>45869</v>
      </c>
      <c r="F397" s="153" t="s">
        <v>11</v>
      </c>
      <c r="G397" s="154">
        <v>1000</v>
      </c>
      <c r="H397" s="148">
        <v>7.4999999999999997E-3</v>
      </c>
      <c r="I397" s="149" t="s">
        <v>30</v>
      </c>
      <c r="J397" s="159">
        <v>45863</v>
      </c>
      <c r="K397" s="155" t="s">
        <v>2371</v>
      </c>
      <c r="L397" s="156" t="s">
        <v>107</v>
      </c>
    </row>
    <row r="398" spans="1:12">
      <c r="A398" s="37">
        <v>2228</v>
      </c>
      <c r="B398" s="150" t="s">
        <v>36</v>
      </c>
      <c r="C398" s="164">
        <v>16713</v>
      </c>
      <c r="D398" s="152">
        <v>45859</v>
      </c>
      <c r="E398" s="152">
        <v>45869</v>
      </c>
      <c r="F398" s="153" t="s">
        <v>11</v>
      </c>
      <c r="G398" s="154">
        <v>0.01</v>
      </c>
      <c r="H398" s="148">
        <v>2.7E-2</v>
      </c>
      <c r="I398" s="149" t="s">
        <v>16</v>
      </c>
      <c r="J398" s="159">
        <v>45861</v>
      </c>
      <c r="K398" s="155" t="s">
        <v>2346</v>
      </c>
      <c r="L398" s="155" t="s">
        <v>2347</v>
      </c>
    </row>
    <row r="399" spans="1:12" ht="40.5">
      <c r="A399" s="37">
        <v>2229</v>
      </c>
      <c r="B399" s="150" t="s">
        <v>36</v>
      </c>
      <c r="C399" s="164">
        <v>9281</v>
      </c>
      <c r="D399" s="152">
        <v>45860</v>
      </c>
      <c r="E399" s="152">
        <v>45869</v>
      </c>
      <c r="F399" s="153" t="s">
        <v>11</v>
      </c>
      <c r="G399" s="154">
        <v>0.01</v>
      </c>
      <c r="H399" s="148">
        <v>5.0000000000000001E-3</v>
      </c>
      <c r="I399" s="149" t="s">
        <v>13</v>
      </c>
      <c r="J399" s="159">
        <v>45861</v>
      </c>
      <c r="K399" s="155" t="s">
        <v>2348</v>
      </c>
      <c r="L399" s="155" t="s">
        <v>2492</v>
      </c>
    </row>
    <row r="400" spans="1:12">
      <c r="A400" s="37">
        <v>2230</v>
      </c>
      <c r="B400" s="150" t="s">
        <v>36</v>
      </c>
      <c r="C400" s="164" t="s">
        <v>2350</v>
      </c>
      <c r="D400" s="152">
        <v>45859</v>
      </c>
      <c r="E400" s="152">
        <v>45869</v>
      </c>
      <c r="F400" s="153" t="s">
        <v>11</v>
      </c>
      <c r="G400" s="154">
        <v>1000</v>
      </c>
      <c r="H400" s="148">
        <v>3.8E-3</v>
      </c>
      <c r="I400" s="149" t="s">
        <v>15</v>
      </c>
      <c r="J400" s="159">
        <v>45861</v>
      </c>
      <c r="K400" s="155" t="s">
        <v>2349</v>
      </c>
      <c r="L400" s="155" t="s">
        <v>2351</v>
      </c>
    </row>
    <row r="401" spans="1:12">
      <c r="A401" s="37">
        <v>2231</v>
      </c>
      <c r="B401" s="150" t="s">
        <v>36</v>
      </c>
      <c r="C401" s="164" t="s">
        <v>2350</v>
      </c>
      <c r="D401" s="152">
        <v>45859</v>
      </c>
      <c r="E401" s="152">
        <v>45869</v>
      </c>
      <c r="F401" s="153" t="s">
        <v>11</v>
      </c>
      <c r="G401" s="154">
        <v>1000</v>
      </c>
      <c r="H401" s="148">
        <v>2E-3</v>
      </c>
      <c r="I401" s="149" t="s">
        <v>27</v>
      </c>
      <c r="J401" s="159">
        <v>45861</v>
      </c>
      <c r="K401" s="155" t="s">
        <v>2349</v>
      </c>
      <c r="L401" s="155" t="s">
        <v>2372</v>
      </c>
    </row>
    <row r="402" spans="1:12">
      <c r="A402" s="37">
        <v>2232</v>
      </c>
      <c r="B402" s="150" t="s">
        <v>36</v>
      </c>
      <c r="C402" s="164">
        <v>6887</v>
      </c>
      <c r="D402" s="152">
        <v>45839</v>
      </c>
      <c r="E402" s="152">
        <v>45869</v>
      </c>
      <c r="F402" s="153" t="s">
        <v>11</v>
      </c>
      <c r="G402" s="154">
        <v>100000</v>
      </c>
      <c r="H402" s="148">
        <v>5.0000000000000001E-3</v>
      </c>
      <c r="I402" s="149" t="s">
        <v>27</v>
      </c>
      <c r="J402" s="159">
        <v>45861</v>
      </c>
      <c r="K402" s="155" t="s">
        <v>2352</v>
      </c>
      <c r="L402" s="155" t="s">
        <v>2406</v>
      </c>
    </row>
    <row r="403" spans="1:12">
      <c r="A403" s="37">
        <v>2233</v>
      </c>
      <c r="B403" s="150" t="s">
        <v>36</v>
      </c>
      <c r="C403" s="164">
        <v>1942</v>
      </c>
      <c r="D403" s="152">
        <v>45855</v>
      </c>
      <c r="E403" s="152">
        <v>45869</v>
      </c>
      <c r="F403" s="153" t="s">
        <v>11</v>
      </c>
      <c r="G403" s="154">
        <v>50000</v>
      </c>
      <c r="H403" s="148">
        <v>5.0000000000000001E-3</v>
      </c>
      <c r="I403" s="149" t="s">
        <v>18</v>
      </c>
      <c r="J403" s="159"/>
      <c r="K403" s="155" t="s">
        <v>2426</v>
      </c>
      <c r="L403" s="155" t="s">
        <v>2406</v>
      </c>
    </row>
    <row r="404" spans="1:12">
      <c r="A404" s="37">
        <v>2234</v>
      </c>
      <c r="B404" s="150" t="s">
        <v>36</v>
      </c>
      <c r="C404" s="164">
        <v>6305</v>
      </c>
      <c r="D404" s="152">
        <v>45855</v>
      </c>
      <c r="E404" s="152">
        <v>45869</v>
      </c>
      <c r="F404" s="153" t="s">
        <v>11</v>
      </c>
      <c r="G404" s="154">
        <v>200000</v>
      </c>
      <c r="H404" s="180">
        <v>200</v>
      </c>
      <c r="I404" s="149" t="s">
        <v>18</v>
      </c>
      <c r="J404" s="159">
        <v>45863</v>
      </c>
      <c r="K404" s="155" t="s">
        <v>2427</v>
      </c>
      <c r="L404" s="155" t="s">
        <v>144</v>
      </c>
    </row>
    <row r="405" spans="1:12">
      <c r="A405" s="37">
        <v>2235</v>
      </c>
      <c r="B405" s="150" t="s">
        <v>36</v>
      </c>
      <c r="C405" s="164">
        <v>1929</v>
      </c>
      <c r="D405" s="152">
        <v>45855</v>
      </c>
      <c r="E405" s="152">
        <v>45869</v>
      </c>
      <c r="F405" s="153" t="s">
        <v>11</v>
      </c>
      <c r="G405" s="154">
        <v>1000</v>
      </c>
      <c r="H405" s="148">
        <v>1E-3</v>
      </c>
      <c r="I405" s="149" t="s">
        <v>18</v>
      </c>
      <c r="J405" s="159">
        <v>45863</v>
      </c>
      <c r="K405" s="155" t="s">
        <v>2427</v>
      </c>
      <c r="L405" s="155" t="s">
        <v>144</v>
      </c>
    </row>
    <row r="406" spans="1:12">
      <c r="A406" s="37">
        <v>2236</v>
      </c>
      <c r="B406" s="150" t="s">
        <v>36</v>
      </c>
      <c r="C406" s="164">
        <v>12378</v>
      </c>
      <c r="D406" s="152">
        <v>45862</v>
      </c>
      <c r="E406" s="152">
        <v>45869</v>
      </c>
      <c r="F406" s="153" t="s">
        <v>11</v>
      </c>
      <c r="G406" s="154">
        <v>0.01</v>
      </c>
      <c r="H406" s="148">
        <v>7.0000000000000001E-3</v>
      </c>
      <c r="I406" s="149" t="s">
        <v>18</v>
      </c>
      <c r="J406" s="159">
        <v>45863</v>
      </c>
      <c r="K406" s="155" t="s">
        <v>2428</v>
      </c>
      <c r="L406" s="155" t="s">
        <v>2429</v>
      </c>
    </row>
    <row r="407" spans="1:12">
      <c r="A407" s="37">
        <v>2237</v>
      </c>
      <c r="B407" s="150" t="s">
        <v>36</v>
      </c>
      <c r="C407" s="164" t="s">
        <v>2431</v>
      </c>
      <c r="D407" s="152">
        <v>45839</v>
      </c>
      <c r="E407" s="152">
        <v>45869</v>
      </c>
      <c r="F407" s="153" t="s">
        <v>11</v>
      </c>
      <c r="G407" s="154">
        <v>0.01</v>
      </c>
      <c r="H407" s="148">
        <v>1.7500000000000002E-2</v>
      </c>
      <c r="I407" s="149" t="s">
        <v>32</v>
      </c>
      <c r="J407" s="159">
        <v>45860</v>
      </c>
      <c r="K407" s="155" t="s">
        <v>2430</v>
      </c>
      <c r="L407" s="155" t="s">
        <v>2493</v>
      </c>
    </row>
    <row r="408" spans="1:12">
      <c r="A408" s="37">
        <v>2238</v>
      </c>
      <c r="B408" s="150" t="s">
        <v>36</v>
      </c>
      <c r="C408" s="164" t="s">
        <v>2431</v>
      </c>
      <c r="D408" s="152">
        <v>45839</v>
      </c>
      <c r="E408" s="152">
        <v>45869</v>
      </c>
      <c r="F408" s="153" t="s">
        <v>11</v>
      </c>
      <c r="G408" s="154">
        <v>0.01</v>
      </c>
      <c r="H408" s="148">
        <v>6.3E-3</v>
      </c>
      <c r="I408" s="149" t="s">
        <v>27</v>
      </c>
      <c r="J408" s="159">
        <v>45860</v>
      </c>
      <c r="K408" s="155" t="s">
        <v>2430</v>
      </c>
      <c r="L408" s="155" t="s">
        <v>2445</v>
      </c>
    </row>
    <row r="409" spans="1:12">
      <c r="A409" s="37">
        <v>2239</v>
      </c>
      <c r="B409" s="150" t="s">
        <v>36</v>
      </c>
      <c r="C409" s="164" t="s">
        <v>1753</v>
      </c>
      <c r="D409" s="152">
        <v>45839</v>
      </c>
      <c r="E409" s="152">
        <v>45869</v>
      </c>
      <c r="F409" s="153" t="s">
        <v>11</v>
      </c>
      <c r="G409" s="154">
        <v>0.01</v>
      </c>
      <c r="H409" s="148">
        <v>1.7500000000000002E-2</v>
      </c>
      <c r="I409" s="149" t="s">
        <v>27</v>
      </c>
      <c r="J409" s="159">
        <v>45860</v>
      </c>
      <c r="K409" s="155" t="s">
        <v>2430</v>
      </c>
      <c r="L409" s="155" t="s">
        <v>154</v>
      </c>
    </row>
    <row r="410" spans="1:12">
      <c r="A410" s="37">
        <v>2240</v>
      </c>
      <c r="B410" s="150" t="s">
        <v>36</v>
      </c>
      <c r="C410" s="164" t="s">
        <v>2432</v>
      </c>
      <c r="D410" s="152">
        <v>45839</v>
      </c>
      <c r="E410" s="152">
        <v>45869</v>
      </c>
      <c r="F410" s="153" t="s">
        <v>11</v>
      </c>
      <c r="G410" s="154">
        <v>0.01</v>
      </c>
      <c r="H410" s="148">
        <v>0.02</v>
      </c>
      <c r="I410" s="149" t="s">
        <v>27</v>
      </c>
      <c r="J410" s="159">
        <v>45860</v>
      </c>
      <c r="K410" s="155" t="s">
        <v>2430</v>
      </c>
      <c r="L410" s="155" t="s">
        <v>2433</v>
      </c>
    </row>
    <row r="411" spans="1:12">
      <c r="A411" s="37">
        <v>2241</v>
      </c>
      <c r="B411" s="150" t="s">
        <v>36</v>
      </c>
      <c r="C411" s="164" t="s">
        <v>1753</v>
      </c>
      <c r="D411" s="152">
        <v>45839</v>
      </c>
      <c r="E411" s="152">
        <v>45869</v>
      </c>
      <c r="F411" s="153" t="s">
        <v>11</v>
      </c>
      <c r="G411" s="154">
        <v>0.01</v>
      </c>
      <c r="H411" s="148">
        <v>7.4999999999999997E-3</v>
      </c>
      <c r="I411" s="149" t="e">
        <v>#VALUE!</v>
      </c>
      <c r="J411" s="159">
        <v>45860</v>
      </c>
      <c r="K411" s="155" t="s">
        <v>2430</v>
      </c>
      <c r="L411" s="155" t="s">
        <v>1038</v>
      </c>
    </row>
    <row r="412" spans="1:12">
      <c r="A412" s="37">
        <v>2242</v>
      </c>
      <c r="B412" s="150" t="s">
        <v>36</v>
      </c>
      <c r="C412" s="164" t="s">
        <v>122</v>
      </c>
      <c r="D412" s="152">
        <v>45839</v>
      </c>
      <c r="E412" s="152">
        <v>45869</v>
      </c>
      <c r="F412" s="153" t="s">
        <v>11</v>
      </c>
      <c r="G412" s="154">
        <v>0.01</v>
      </c>
      <c r="H412" s="148">
        <v>5.0000000000000001E-3</v>
      </c>
      <c r="I412" s="149" t="s">
        <v>27</v>
      </c>
      <c r="J412" s="159">
        <v>45860</v>
      </c>
      <c r="K412" s="155" t="s">
        <v>2430</v>
      </c>
      <c r="L412" s="155" t="s">
        <v>1507</v>
      </c>
    </row>
    <row r="413" spans="1:12">
      <c r="A413" s="37">
        <v>2243</v>
      </c>
      <c r="B413" s="150" t="s">
        <v>36</v>
      </c>
      <c r="C413" s="164" t="s">
        <v>122</v>
      </c>
      <c r="D413" s="152">
        <v>45839</v>
      </c>
      <c r="E413" s="152">
        <v>45869</v>
      </c>
      <c r="F413" s="153" t="s">
        <v>11</v>
      </c>
      <c r="G413" s="154">
        <v>0.01</v>
      </c>
      <c r="H413" s="148">
        <v>5.0000000000000001E-3</v>
      </c>
      <c r="I413" s="149" t="s">
        <v>27</v>
      </c>
      <c r="J413" s="159">
        <v>45860</v>
      </c>
      <c r="K413" s="155" t="s">
        <v>2430</v>
      </c>
      <c r="L413" s="155" t="s">
        <v>1834</v>
      </c>
    </row>
    <row r="414" spans="1:12">
      <c r="A414" s="37">
        <v>2244</v>
      </c>
      <c r="B414" s="150" t="s">
        <v>36</v>
      </c>
      <c r="C414" s="164" t="s">
        <v>122</v>
      </c>
      <c r="D414" s="152">
        <v>45839</v>
      </c>
      <c r="E414" s="152">
        <v>45869</v>
      </c>
      <c r="F414" s="153" t="s">
        <v>11</v>
      </c>
      <c r="G414" s="154">
        <v>0.01</v>
      </c>
      <c r="H414" s="148">
        <v>0.02</v>
      </c>
      <c r="I414" s="149" t="s">
        <v>27</v>
      </c>
      <c r="J414" s="159">
        <v>45860</v>
      </c>
      <c r="K414" s="155" t="s">
        <v>2430</v>
      </c>
      <c r="L414" s="155" t="s">
        <v>1835</v>
      </c>
    </row>
    <row r="415" spans="1:12">
      <c r="A415" s="37">
        <v>2245</v>
      </c>
      <c r="B415" s="150" t="s">
        <v>36</v>
      </c>
      <c r="C415" s="164">
        <v>17396</v>
      </c>
      <c r="D415" s="152">
        <v>45863</v>
      </c>
      <c r="E415" s="152">
        <v>45869</v>
      </c>
      <c r="F415" s="153" t="s">
        <v>11</v>
      </c>
      <c r="G415" s="154">
        <v>1</v>
      </c>
      <c r="H415" s="148">
        <v>2E-3</v>
      </c>
      <c r="I415" s="149" t="s">
        <v>27</v>
      </c>
      <c r="J415" s="159">
        <v>45866</v>
      </c>
      <c r="K415" s="155" t="s">
        <v>2434</v>
      </c>
      <c r="L415" s="155" t="s">
        <v>2435</v>
      </c>
    </row>
    <row r="416" spans="1:12">
      <c r="A416" s="37">
        <v>2246</v>
      </c>
      <c r="B416" s="150" t="s">
        <v>36</v>
      </c>
      <c r="C416" s="164">
        <v>17396</v>
      </c>
      <c r="D416" s="152">
        <v>45863</v>
      </c>
      <c r="E416" s="152">
        <v>45869</v>
      </c>
      <c r="F416" s="153" t="s">
        <v>11</v>
      </c>
      <c r="G416" s="154">
        <v>1</v>
      </c>
      <c r="H416" s="148">
        <v>2E-3</v>
      </c>
      <c r="I416" s="149" t="s">
        <v>13</v>
      </c>
      <c r="J416" s="159">
        <v>45866</v>
      </c>
      <c r="K416" s="155" t="s">
        <v>2434</v>
      </c>
      <c r="L416" s="155" t="s">
        <v>2436</v>
      </c>
    </row>
    <row r="417" spans="1:12">
      <c r="A417" s="37">
        <v>2247</v>
      </c>
      <c r="B417" s="150" t="s">
        <v>36</v>
      </c>
      <c r="C417" s="164">
        <v>8851</v>
      </c>
      <c r="D417" s="152">
        <v>45859</v>
      </c>
      <c r="E417" s="152">
        <v>45869</v>
      </c>
      <c r="F417" s="153" t="s">
        <v>11</v>
      </c>
      <c r="G417" s="154">
        <v>0.01</v>
      </c>
      <c r="H417" s="148">
        <v>2E-3</v>
      </c>
      <c r="I417" s="149" t="s">
        <v>13</v>
      </c>
      <c r="J417" s="159">
        <v>45866</v>
      </c>
      <c r="K417" s="155" t="s">
        <v>2437</v>
      </c>
      <c r="L417" s="155" t="s">
        <v>2438</v>
      </c>
    </row>
    <row r="418" spans="1:12">
      <c r="A418" s="37">
        <v>2248</v>
      </c>
      <c r="B418" s="150" t="s">
        <v>36</v>
      </c>
      <c r="C418" s="164">
        <v>8851</v>
      </c>
      <c r="D418" s="152">
        <v>45859</v>
      </c>
      <c r="E418" s="152">
        <v>45869</v>
      </c>
      <c r="F418" s="153" t="s">
        <v>11</v>
      </c>
      <c r="G418" s="154">
        <v>0.01</v>
      </c>
      <c r="H418" s="148">
        <v>2E-3</v>
      </c>
      <c r="I418" s="149" t="s">
        <v>41</v>
      </c>
      <c r="J418" s="159">
        <v>45866</v>
      </c>
      <c r="K418" s="155" t="s">
        <v>2437</v>
      </c>
      <c r="L418" s="155" t="s">
        <v>2439</v>
      </c>
    </row>
    <row r="419" spans="1:12">
      <c r="A419" s="37">
        <v>2249</v>
      </c>
      <c r="B419" s="150" t="s">
        <v>36</v>
      </c>
      <c r="C419" s="164">
        <v>7274</v>
      </c>
      <c r="D419" s="152">
        <v>45862</v>
      </c>
      <c r="E419" s="152">
        <v>45869</v>
      </c>
      <c r="F419" s="153" t="s">
        <v>11</v>
      </c>
      <c r="G419" s="154">
        <v>0.01</v>
      </c>
      <c r="H419" s="148">
        <v>0.01</v>
      </c>
      <c r="I419" s="149" t="s">
        <v>41</v>
      </c>
      <c r="J419" s="159">
        <v>45866</v>
      </c>
      <c r="K419" s="155" t="s">
        <v>2290</v>
      </c>
      <c r="L419" s="155" t="s">
        <v>2440</v>
      </c>
    </row>
    <row r="420" spans="1:12" ht="67.5">
      <c r="A420" s="37">
        <v>2250</v>
      </c>
      <c r="B420" s="150" t="s">
        <v>36</v>
      </c>
      <c r="C420" s="164" t="s">
        <v>2441</v>
      </c>
      <c r="D420" s="152">
        <v>45859</v>
      </c>
      <c r="E420" s="152">
        <v>45869</v>
      </c>
      <c r="F420" s="153" t="s">
        <v>11</v>
      </c>
      <c r="G420" s="154">
        <v>1000</v>
      </c>
      <c r="H420" s="148">
        <v>2E-3</v>
      </c>
      <c r="I420" s="149" t="s">
        <v>30</v>
      </c>
      <c r="J420" s="159">
        <v>45866</v>
      </c>
      <c r="K420" s="155" t="s">
        <v>1211</v>
      </c>
      <c r="L420" s="155" t="s">
        <v>2494</v>
      </c>
    </row>
    <row r="421" spans="1:12">
      <c r="A421" s="37">
        <v>2251</v>
      </c>
      <c r="B421" s="150" t="s">
        <v>36</v>
      </c>
      <c r="C421" s="164">
        <v>2404</v>
      </c>
      <c r="D421" s="152">
        <v>45862</v>
      </c>
      <c r="E421" s="152">
        <v>45869</v>
      </c>
      <c r="F421" s="153" t="s">
        <v>11</v>
      </c>
      <c r="G421" s="154">
        <v>0.01</v>
      </c>
      <c r="H421" s="148">
        <v>5.0000000000000001E-3</v>
      </c>
      <c r="I421" s="149" t="s">
        <v>101</v>
      </c>
      <c r="J421" s="159">
        <v>45862</v>
      </c>
      <c r="K421" s="155" t="s">
        <v>2364</v>
      </c>
      <c r="L421" s="155" t="s">
        <v>2495</v>
      </c>
    </row>
    <row r="422" spans="1:12">
      <c r="A422" s="37">
        <v>2252</v>
      </c>
      <c r="B422" s="150" t="s">
        <v>36</v>
      </c>
      <c r="C422" s="164">
        <v>16898</v>
      </c>
      <c r="D422" s="152">
        <v>45863</v>
      </c>
      <c r="E422" s="152">
        <v>45869</v>
      </c>
      <c r="F422" s="153" t="s">
        <v>11</v>
      </c>
      <c r="G422" s="154">
        <v>0.01</v>
      </c>
      <c r="H422" s="148">
        <v>4.4999999999999997E-3</v>
      </c>
      <c r="I422" s="149" t="s">
        <v>24</v>
      </c>
      <c r="J422" s="159">
        <v>45867</v>
      </c>
      <c r="K422" s="155" t="s">
        <v>2446</v>
      </c>
      <c r="L422" s="155" t="s">
        <v>76</v>
      </c>
    </row>
    <row r="423" spans="1:12">
      <c r="A423" s="37">
        <v>2253</v>
      </c>
      <c r="B423" s="150" t="s">
        <v>36</v>
      </c>
      <c r="C423" s="164" t="s">
        <v>1042</v>
      </c>
      <c r="D423" s="152">
        <v>45839</v>
      </c>
      <c r="E423" s="152">
        <v>45869</v>
      </c>
      <c r="F423" s="153" t="s">
        <v>11</v>
      </c>
      <c r="G423" s="154">
        <v>0.01</v>
      </c>
      <c r="H423" s="148">
        <v>1.7999999999999999E-2</v>
      </c>
      <c r="I423" s="149" t="s">
        <v>168</v>
      </c>
      <c r="J423" s="159">
        <v>45867</v>
      </c>
      <c r="K423" s="155" t="s">
        <v>2447</v>
      </c>
      <c r="L423" s="155" t="s">
        <v>2450</v>
      </c>
    </row>
    <row r="424" spans="1:12">
      <c r="A424" s="37">
        <v>2254</v>
      </c>
      <c r="B424" s="150" t="s">
        <v>36</v>
      </c>
      <c r="C424" s="164" t="s">
        <v>1042</v>
      </c>
      <c r="D424" s="152">
        <v>45839</v>
      </c>
      <c r="E424" s="152">
        <v>45869</v>
      </c>
      <c r="F424" s="153" t="s">
        <v>11</v>
      </c>
      <c r="G424" s="154">
        <v>0.01</v>
      </c>
      <c r="H424" s="148">
        <v>5.0000000000000001E-3</v>
      </c>
      <c r="I424" s="149" t="s">
        <v>14</v>
      </c>
      <c r="J424" s="159">
        <v>45867</v>
      </c>
      <c r="K424" s="155" t="s">
        <v>2447</v>
      </c>
      <c r="L424" s="155" t="s">
        <v>2451</v>
      </c>
    </row>
    <row r="425" spans="1:12">
      <c r="A425" s="37">
        <v>2255</v>
      </c>
      <c r="B425" s="150" t="s">
        <v>36</v>
      </c>
      <c r="C425" s="164" t="s">
        <v>1042</v>
      </c>
      <c r="D425" s="152">
        <v>45839</v>
      </c>
      <c r="E425" s="152">
        <v>45869</v>
      </c>
      <c r="F425" s="153" t="s">
        <v>11</v>
      </c>
      <c r="G425" s="154">
        <v>0.01</v>
      </c>
      <c r="H425" s="148">
        <v>5.0000000000000001E-3</v>
      </c>
      <c r="I425" s="149" t="s">
        <v>14</v>
      </c>
      <c r="J425" s="159">
        <v>45867</v>
      </c>
      <c r="K425" s="155" t="s">
        <v>2447</v>
      </c>
      <c r="L425" s="155" t="s">
        <v>2499</v>
      </c>
    </row>
    <row r="426" spans="1:12">
      <c r="A426" s="37">
        <v>2256</v>
      </c>
      <c r="B426" s="150" t="s">
        <v>36</v>
      </c>
      <c r="C426" s="164" t="s">
        <v>1042</v>
      </c>
      <c r="D426" s="152">
        <v>45839</v>
      </c>
      <c r="E426" s="152">
        <v>45869</v>
      </c>
      <c r="F426" s="153" t="s">
        <v>11</v>
      </c>
      <c r="G426" s="154">
        <v>0.01</v>
      </c>
      <c r="H426" s="148">
        <v>2.75E-2</v>
      </c>
      <c r="I426" s="149" t="s">
        <v>14</v>
      </c>
      <c r="J426" s="159">
        <v>45867</v>
      </c>
      <c r="K426" s="155" t="s">
        <v>2447</v>
      </c>
      <c r="L426" s="155" t="s">
        <v>2452</v>
      </c>
    </row>
    <row r="427" spans="1:12">
      <c r="A427" s="37">
        <v>2257</v>
      </c>
      <c r="B427" s="150" t="s">
        <v>36</v>
      </c>
      <c r="C427" s="164" t="s">
        <v>1043</v>
      </c>
      <c r="D427" s="152">
        <v>45839</v>
      </c>
      <c r="E427" s="152">
        <v>45869</v>
      </c>
      <c r="F427" s="153" t="s">
        <v>11</v>
      </c>
      <c r="G427" s="154">
        <v>0.01</v>
      </c>
      <c r="H427" s="148">
        <v>1.5E-3</v>
      </c>
      <c r="I427" s="149" t="s">
        <v>14</v>
      </c>
      <c r="J427" s="159">
        <v>45867</v>
      </c>
      <c r="K427" s="155" t="s">
        <v>2447</v>
      </c>
      <c r="L427" s="155" t="s">
        <v>137</v>
      </c>
    </row>
    <row r="428" spans="1:12">
      <c r="A428" s="37">
        <v>2258</v>
      </c>
      <c r="B428" s="150" t="s">
        <v>36</v>
      </c>
      <c r="C428" s="164" t="s">
        <v>1520</v>
      </c>
      <c r="D428" s="152">
        <v>45839</v>
      </c>
      <c r="E428" s="152">
        <v>45869</v>
      </c>
      <c r="F428" s="153" t="s">
        <v>11</v>
      </c>
      <c r="G428" s="154">
        <v>0.01</v>
      </c>
      <c r="H428" s="148">
        <v>5.0000000000000001E-3</v>
      </c>
      <c r="I428" s="149" t="s">
        <v>14</v>
      </c>
      <c r="J428" s="159">
        <v>45867</v>
      </c>
      <c r="K428" s="155" t="s">
        <v>2447</v>
      </c>
      <c r="L428" s="155" t="s">
        <v>2453</v>
      </c>
    </row>
    <row r="429" spans="1:12">
      <c r="A429" s="37">
        <v>2259</v>
      </c>
      <c r="B429" s="150" t="s">
        <v>36</v>
      </c>
      <c r="C429" s="164" t="s">
        <v>1045</v>
      </c>
      <c r="D429" s="152">
        <v>45839</v>
      </c>
      <c r="E429" s="152">
        <v>45869</v>
      </c>
      <c r="F429" s="153" t="s">
        <v>11</v>
      </c>
      <c r="G429" s="154">
        <v>0.01</v>
      </c>
      <c r="H429" s="148">
        <v>4.0000000000000001E-3</v>
      </c>
      <c r="I429" s="149" t="s">
        <v>14</v>
      </c>
      <c r="J429" s="159">
        <v>45867</v>
      </c>
      <c r="K429" s="155" t="s">
        <v>2447</v>
      </c>
      <c r="L429" s="155" t="s">
        <v>2454</v>
      </c>
    </row>
    <row r="430" spans="1:12">
      <c r="A430" s="37">
        <v>2260</v>
      </c>
      <c r="B430" s="150" t="s">
        <v>36</v>
      </c>
      <c r="C430" s="164" t="s">
        <v>2448</v>
      </c>
      <c r="D430" s="152">
        <v>45839</v>
      </c>
      <c r="E430" s="152">
        <v>45869</v>
      </c>
      <c r="F430" s="153" t="s">
        <v>11</v>
      </c>
      <c r="G430" s="154">
        <v>0.01</v>
      </c>
      <c r="H430" s="148">
        <v>1.4999999999999999E-2</v>
      </c>
      <c r="I430" s="149" t="s">
        <v>14</v>
      </c>
      <c r="J430" s="159">
        <v>45867</v>
      </c>
      <c r="K430" s="155" t="s">
        <v>2447</v>
      </c>
      <c r="L430" s="155" t="s">
        <v>2454</v>
      </c>
    </row>
    <row r="431" spans="1:12">
      <c r="A431" s="37">
        <v>2261</v>
      </c>
      <c r="B431" s="150" t="s">
        <v>36</v>
      </c>
      <c r="C431" s="164" t="s">
        <v>2448</v>
      </c>
      <c r="D431" s="152">
        <v>45839</v>
      </c>
      <c r="E431" s="152">
        <v>45869</v>
      </c>
      <c r="F431" s="153" t="s">
        <v>11</v>
      </c>
      <c r="G431" s="154">
        <v>0.01</v>
      </c>
      <c r="H431" s="148">
        <v>3.0000000000000001E-3</v>
      </c>
      <c r="I431" s="149" t="e">
        <v>#VALUE!</v>
      </c>
      <c r="J431" s="159">
        <v>45867</v>
      </c>
      <c r="K431" s="155" t="s">
        <v>2447</v>
      </c>
      <c r="L431" s="155" t="s">
        <v>2455</v>
      </c>
    </row>
    <row r="432" spans="1:12">
      <c r="A432" s="37">
        <v>2262</v>
      </c>
      <c r="B432" s="150" t="s">
        <v>36</v>
      </c>
      <c r="C432" s="164" t="s">
        <v>92</v>
      </c>
      <c r="D432" s="152">
        <v>45839</v>
      </c>
      <c r="E432" s="152">
        <v>45869</v>
      </c>
      <c r="F432" s="153" t="s">
        <v>11</v>
      </c>
      <c r="G432" s="154">
        <v>0.01</v>
      </c>
      <c r="H432" s="148">
        <v>7.4999999999999997E-3</v>
      </c>
      <c r="I432" s="149" t="e">
        <v>#VALUE!</v>
      </c>
      <c r="J432" s="159">
        <v>45867</v>
      </c>
      <c r="K432" s="155" t="s">
        <v>2447</v>
      </c>
      <c r="L432" s="155" t="s">
        <v>137</v>
      </c>
    </row>
    <row r="433" spans="1:12">
      <c r="A433" s="37">
        <v>2263</v>
      </c>
      <c r="B433" s="150" t="s">
        <v>36</v>
      </c>
      <c r="C433" s="164" t="s">
        <v>2449</v>
      </c>
      <c r="D433" s="152">
        <v>45839</v>
      </c>
      <c r="E433" s="152">
        <v>45869</v>
      </c>
      <c r="F433" s="153" t="s">
        <v>11</v>
      </c>
      <c r="G433" s="154">
        <v>0.01</v>
      </c>
      <c r="H433" s="148">
        <v>1.7500000000000002E-2</v>
      </c>
      <c r="I433" s="149" t="s">
        <v>14</v>
      </c>
      <c r="J433" s="159">
        <v>45867</v>
      </c>
      <c r="K433" s="155" t="s">
        <v>2447</v>
      </c>
      <c r="L433" s="155" t="s">
        <v>2454</v>
      </c>
    </row>
    <row r="434" spans="1:12">
      <c r="A434" s="37">
        <v>2264</v>
      </c>
      <c r="B434" s="150" t="s">
        <v>36</v>
      </c>
      <c r="C434" s="164" t="s">
        <v>2449</v>
      </c>
      <c r="D434" s="152">
        <v>45839</v>
      </c>
      <c r="E434" s="152">
        <v>45869</v>
      </c>
      <c r="F434" s="153" t="s">
        <v>11</v>
      </c>
      <c r="G434" s="154">
        <v>0.01</v>
      </c>
      <c r="H434" s="148">
        <v>3.5000000000000003E-2</v>
      </c>
      <c r="I434" s="149" t="s">
        <v>14</v>
      </c>
      <c r="J434" s="159">
        <v>45867</v>
      </c>
      <c r="K434" s="155" t="s">
        <v>2447</v>
      </c>
      <c r="L434" s="155" t="s">
        <v>1848</v>
      </c>
    </row>
    <row r="435" spans="1:12">
      <c r="A435" s="37">
        <v>2265</v>
      </c>
      <c r="B435" s="150" t="s">
        <v>36</v>
      </c>
      <c r="C435" s="164">
        <v>6843</v>
      </c>
      <c r="D435" s="152">
        <v>45839</v>
      </c>
      <c r="E435" s="152">
        <v>45869</v>
      </c>
      <c r="F435" s="153" t="s">
        <v>11</v>
      </c>
      <c r="G435" s="154">
        <v>0.01</v>
      </c>
      <c r="H435" s="148">
        <v>7.0000000000000001E-3</v>
      </c>
      <c r="I435" s="149" t="s">
        <v>14</v>
      </c>
      <c r="J435" s="159">
        <v>45868</v>
      </c>
      <c r="K435" s="155" t="s">
        <v>2456</v>
      </c>
      <c r="L435" s="155" t="s">
        <v>1922</v>
      </c>
    </row>
    <row r="436" spans="1:12">
      <c r="A436" s="37">
        <v>2266</v>
      </c>
      <c r="B436" s="150" t="s">
        <v>36</v>
      </c>
      <c r="C436" s="164">
        <v>6843</v>
      </c>
      <c r="D436" s="152">
        <v>45839</v>
      </c>
      <c r="E436" s="152">
        <v>45869</v>
      </c>
      <c r="F436" s="153" t="s">
        <v>11</v>
      </c>
      <c r="G436" s="154">
        <v>0.01</v>
      </c>
      <c r="H436" s="148">
        <v>2E-3</v>
      </c>
      <c r="I436" s="149" t="s">
        <v>17</v>
      </c>
      <c r="J436" s="159">
        <v>45867</v>
      </c>
      <c r="K436" s="155" t="s">
        <v>2456</v>
      </c>
      <c r="L436" s="155" t="s">
        <v>2478</v>
      </c>
    </row>
    <row r="437" spans="1:12">
      <c r="A437" s="37">
        <v>2267</v>
      </c>
      <c r="B437" s="150" t="s">
        <v>36</v>
      </c>
      <c r="C437" s="164" t="s">
        <v>1037</v>
      </c>
      <c r="D437" s="152">
        <v>45859</v>
      </c>
      <c r="E437" s="152">
        <v>45869</v>
      </c>
      <c r="F437" s="153" t="s">
        <v>11</v>
      </c>
      <c r="G437" s="154">
        <v>0.01</v>
      </c>
      <c r="H437" s="148">
        <v>2E-3</v>
      </c>
      <c r="I437" s="149" t="s">
        <v>17</v>
      </c>
      <c r="J437" s="159">
        <v>45867</v>
      </c>
      <c r="K437" s="155" t="s">
        <v>2457</v>
      </c>
      <c r="L437" s="155" t="s">
        <v>2459</v>
      </c>
    </row>
    <row r="438" spans="1:12">
      <c r="A438" s="37">
        <v>2268</v>
      </c>
      <c r="B438" s="150" t="s">
        <v>36</v>
      </c>
      <c r="C438" s="164" t="s">
        <v>2458</v>
      </c>
      <c r="D438" s="152">
        <v>45859</v>
      </c>
      <c r="E438" s="152">
        <v>45869</v>
      </c>
      <c r="F438" s="153" t="s">
        <v>11</v>
      </c>
      <c r="G438" s="154">
        <v>0.01</v>
      </c>
      <c r="H438" s="148">
        <v>2E-3</v>
      </c>
      <c r="I438" s="149" t="s">
        <v>27</v>
      </c>
      <c r="J438" s="159">
        <v>45867</v>
      </c>
      <c r="K438" s="155" t="s">
        <v>2457</v>
      </c>
      <c r="L438" s="155" t="s">
        <v>2460</v>
      </c>
    </row>
    <row r="439" spans="1:12">
      <c r="A439" s="37">
        <v>2269</v>
      </c>
      <c r="B439" s="150" t="s">
        <v>36</v>
      </c>
      <c r="C439" s="164">
        <v>11994</v>
      </c>
      <c r="D439" s="152">
        <v>45855</v>
      </c>
      <c r="E439" s="152">
        <v>45869</v>
      </c>
      <c r="F439" s="153" t="s">
        <v>11</v>
      </c>
      <c r="G439" s="154">
        <v>1000</v>
      </c>
      <c r="H439" s="148">
        <v>2E-3</v>
      </c>
      <c r="I439" s="149" t="s">
        <v>27</v>
      </c>
      <c r="J439" s="159">
        <v>45868</v>
      </c>
      <c r="K439" s="155" t="s">
        <v>2461</v>
      </c>
      <c r="L439" s="155" t="s">
        <v>2462</v>
      </c>
    </row>
    <row r="440" spans="1:12">
      <c r="A440" s="37">
        <v>2270</v>
      </c>
      <c r="B440" s="150" t="s">
        <v>36</v>
      </c>
      <c r="C440" s="164" t="s">
        <v>1037</v>
      </c>
      <c r="D440" s="152">
        <v>45867</v>
      </c>
      <c r="E440" s="152">
        <v>45869</v>
      </c>
      <c r="F440" s="153" t="s">
        <v>11</v>
      </c>
      <c r="G440" s="154">
        <v>0.01</v>
      </c>
      <c r="H440" s="148">
        <v>5.0000000000000001E-3</v>
      </c>
      <c r="I440" s="149" t="s">
        <v>30</v>
      </c>
      <c r="J440" s="159">
        <v>45870</v>
      </c>
      <c r="K440" s="155" t="s">
        <v>2479</v>
      </c>
      <c r="L440" s="155" t="s">
        <v>2480</v>
      </c>
    </row>
    <row r="441" spans="1:12">
      <c r="A441" s="37">
        <v>2271</v>
      </c>
      <c r="B441" s="150" t="s">
        <v>36</v>
      </c>
      <c r="C441" s="164" t="s">
        <v>1037</v>
      </c>
      <c r="D441" s="152">
        <v>45867</v>
      </c>
      <c r="E441" s="152">
        <v>45869</v>
      </c>
      <c r="F441" s="153" t="s">
        <v>11</v>
      </c>
      <c r="G441" s="154">
        <v>0.01</v>
      </c>
      <c r="H441" s="148">
        <v>0.02</v>
      </c>
      <c r="I441" s="149" t="s">
        <v>27</v>
      </c>
      <c r="J441" s="159">
        <v>45870</v>
      </c>
      <c r="K441" s="155" t="s">
        <v>2479</v>
      </c>
      <c r="L441" s="155" t="s">
        <v>2481</v>
      </c>
    </row>
    <row r="442" spans="1:12">
      <c r="A442" s="37">
        <v>2272</v>
      </c>
      <c r="B442" s="150" t="s">
        <v>36</v>
      </c>
      <c r="C442" s="164" t="s">
        <v>1037</v>
      </c>
      <c r="D442" s="152">
        <v>45867</v>
      </c>
      <c r="E442" s="152">
        <v>45869</v>
      </c>
      <c r="F442" s="153" t="s">
        <v>11</v>
      </c>
      <c r="G442" s="154">
        <v>0.01</v>
      </c>
      <c r="H442" s="148">
        <v>2.75E-2</v>
      </c>
      <c r="I442" s="149" t="s">
        <v>27</v>
      </c>
      <c r="J442" s="159">
        <v>45870</v>
      </c>
      <c r="K442" s="155" t="s">
        <v>2479</v>
      </c>
      <c r="L442" s="155" t="s">
        <v>2482</v>
      </c>
    </row>
    <row r="443" spans="1:12">
      <c r="A443" s="37">
        <v>2273</v>
      </c>
      <c r="B443" s="150" t="s">
        <v>36</v>
      </c>
      <c r="C443" s="164" t="s">
        <v>1037</v>
      </c>
      <c r="D443" s="152">
        <v>45867</v>
      </c>
      <c r="E443" s="152">
        <v>45869</v>
      </c>
      <c r="F443" s="153" t="s">
        <v>11</v>
      </c>
      <c r="G443" s="154">
        <v>0.01</v>
      </c>
      <c r="H443" s="148">
        <v>7.4999999999999997E-3</v>
      </c>
      <c r="I443" s="149" t="s">
        <v>27</v>
      </c>
      <c r="J443" s="159">
        <v>45870</v>
      </c>
      <c r="K443" s="155" t="s">
        <v>2479</v>
      </c>
      <c r="L443" s="155" t="s">
        <v>2483</v>
      </c>
    </row>
    <row r="444" spans="1:12">
      <c r="A444" s="37">
        <v>2274</v>
      </c>
      <c r="B444" s="150" t="s">
        <v>36</v>
      </c>
      <c r="C444" s="164" t="s">
        <v>1037</v>
      </c>
      <c r="D444" s="152">
        <v>45867</v>
      </c>
      <c r="E444" s="152">
        <v>45869</v>
      </c>
      <c r="F444" s="153" t="s">
        <v>11</v>
      </c>
      <c r="G444" s="154">
        <v>0.01</v>
      </c>
      <c r="H444" s="148" t="s">
        <v>2485</v>
      </c>
      <c r="I444" s="149" t="s">
        <v>27</v>
      </c>
      <c r="J444" s="159">
        <v>45870</v>
      </c>
      <c r="K444" s="155" t="s">
        <v>2479</v>
      </c>
      <c r="L444" s="174" t="s">
        <v>2484</v>
      </c>
    </row>
  </sheetData>
  <autoFilter ref="A1:L444" xr:uid="{01F131C7-2ED3-454D-878B-3A69CF469467}"/>
  <conditionalFormatting sqref="B18:I18 J18:L21 B19:H86 I19:I444 J22:K22 J23:L28 J29:K31 J32:L87 B87:F90 G87:H96 J88:K88 B88:B166 J89:L103 C91:F96 C97:H166 J104:K105 J106:L114 J115:K115 J116:L122 J123:K124 J125:L165 J166:K167 B167:H444 J168:L195 J196:K196 J197:L197 J198:K198 J199:L236 J237:K237 J238:L257 J258:K260 J261:L262 J263:K263 J264:L296 J297:K297 J298:L373 J374:K375 J376:L395 J396:K396 J444:K444">
    <cfRule type="expression" dxfId="9" priority="2">
      <formula>#REF!="2- MANUAL"</formula>
    </cfRule>
  </conditionalFormatting>
  <conditionalFormatting sqref="F266">
    <cfRule type="expression" dxfId="8" priority="4">
      <formula>#REF!="2- MANUAL"</formula>
    </cfRule>
  </conditionalFormatting>
  <conditionalFormatting sqref="J397:L443">
    <cfRule type="expression" dxfId="7" priority="1">
      <formula>#REF!="2- MANUAL"</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7392-4F41-4225-AB0C-F2ECC98B4EF5}">
  <dimension ref="A1:U359"/>
  <sheetViews>
    <sheetView workbookViewId="0">
      <selection activeCell="F21" sqref="F21"/>
    </sheetView>
  </sheetViews>
  <sheetFormatPr defaultRowHeight="15"/>
  <cols>
    <col min="1" max="1" width="5" bestFit="1" customWidth="1"/>
    <col min="2" max="2" width="13.42578125" bestFit="1" customWidth="1"/>
    <col min="3" max="3" width="26.140625" bestFit="1" customWidth="1"/>
    <col min="4" max="5" width="10.7109375" bestFit="1" customWidth="1"/>
    <col min="6" max="6" width="22.5703125" bestFit="1" customWidth="1"/>
    <col min="7" max="7" width="27.140625" bestFit="1" customWidth="1"/>
    <col min="8" max="8" width="20" bestFit="1" customWidth="1"/>
    <col min="9" max="9" width="21.5703125" bestFit="1" customWidth="1"/>
    <col min="10" max="10" width="21" bestFit="1" customWidth="1"/>
    <col min="11" max="11" width="130.140625" bestFit="1" customWidth="1"/>
    <col min="12" max="12" width="201.42578125" bestFit="1" customWidth="1"/>
    <col min="13" max="13" width="34.570312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1490</v>
      </c>
      <c r="B2" s="51" t="s">
        <v>37</v>
      </c>
      <c r="C2" s="124" t="s">
        <v>985</v>
      </c>
      <c r="D2" s="125">
        <v>45809</v>
      </c>
      <c r="E2" s="125">
        <v>45838</v>
      </c>
      <c r="F2" s="133" t="s">
        <v>11</v>
      </c>
      <c r="G2" s="118">
        <v>0.01</v>
      </c>
      <c r="H2" s="134">
        <v>1E-3</v>
      </c>
      <c r="I2" s="29" t="s">
        <v>29</v>
      </c>
      <c r="J2" s="125">
        <v>45580</v>
      </c>
      <c r="K2" s="36" t="s">
        <v>191</v>
      </c>
      <c r="L2" s="135" t="s">
        <v>193</v>
      </c>
      <c r="M2" s="123"/>
    </row>
    <row r="3" spans="1:21">
      <c r="A3" s="37">
        <v>1491</v>
      </c>
      <c r="B3" s="51" t="s">
        <v>37</v>
      </c>
      <c r="C3" s="9" t="s">
        <v>148</v>
      </c>
      <c r="D3" s="4">
        <v>45809</v>
      </c>
      <c r="E3" s="125">
        <v>45838</v>
      </c>
      <c r="F3" s="40" t="s">
        <v>11</v>
      </c>
      <c r="G3" s="25">
        <v>800000</v>
      </c>
      <c r="H3" s="2">
        <v>1E-3</v>
      </c>
      <c r="I3" s="29" t="s">
        <v>17</v>
      </c>
      <c r="J3" s="4">
        <v>45730</v>
      </c>
      <c r="K3" s="18" t="s">
        <v>939</v>
      </c>
      <c r="L3" s="11" t="s">
        <v>946</v>
      </c>
      <c r="M3" s="83"/>
    </row>
    <row r="4" spans="1:21">
      <c r="A4" s="37">
        <v>1492</v>
      </c>
      <c r="B4" s="51" t="s">
        <v>37</v>
      </c>
      <c r="C4" s="9" t="s">
        <v>962</v>
      </c>
      <c r="D4" s="4">
        <v>45809</v>
      </c>
      <c r="E4" s="125">
        <v>45838</v>
      </c>
      <c r="F4" s="40" t="s">
        <v>11</v>
      </c>
      <c r="G4" s="25">
        <v>300000</v>
      </c>
      <c r="H4" s="2">
        <v>2E-3</v>
      </c>
      <c r="I4" s="29" t="s">
        <v>19</v>
      </c>
      <c r="J4" s="4">
        <v>45721</v>
      </c>
      <c r="K4" s="18" t="s">
        <v>961</v>
      </c>
      <c r="L4" s="11" t="s">
        <v>963</v>
      </c>
      <c r="M4" s="117"/>
    </row>
    <row r="5" spans="1:21">
      <c r="A5" s="37">
        <v>1493</v>
      </c>
      <c r="B5" s="51" t="s">
        <v>37</v>
      </c>
      <c r="C5" s="9" t="s">
        <v>678</v>
      </c>
      <c r="D5" s="4">
        <v>45809</v>
      </c>
      <c r="E5" s="125">
        <v>45838</v>
      </c>
      <c r="F5" s="40" t="s">
        <v>11</v>
      </c>
      <c r="G5" s="25">
        <v>300000</v>
      </c>
      <c r="H5" s="2">
        <v>4.0000000000000001E-3</v>
      </c>
      <c r="I5" s="29" t="s">
        <v>19</v>
      </c>
      <c r="J5" s="4">
        <v>45728</v>
      </c>
      <c r="K5" s="18" t="s">
        <v>974</v>
      </c>
      <c r="L5" s="11" t="s">
        <v>975</v>
      </c>
      <c r="M5" s="83"/>
    </row>
    <row r="6" spans="1:21">
      <c r="A6" s="37">
        <v>1494</v>
      </c>
      <c r="B6" s="51" t="s">
        <v>37</v>
      </c>
      <c r="C6" s="9">
        <v>7934</v>
      </c>
      <c r="D6" s="4">
        <v>45809</v>
      </c>
      <c r="E6" s="125">
        <v>45838</v>
      </c>
      <c r="F6" s="40" t="s">
        <v>11</v>
      </c>
      <c r="G6" s="25">
        <v>1000</v>
      </c>
      <c r="H6" s="2">
        <v>2E-3</v>
      </c>
      <c r="I6" s="29" t="s">
        <v>27</v>
      </c>
      <c r="J6" s="4">
        <v>45734</v>
      </c>
      <c r="K6" s="18" t="s">
        <v>999</v>
      </c>
      <c r="L6" s="11" t="s">
        <v>1001</v>
      </c>
      <c r="M6" s="83"/>
    </row>
    <row r="7" spans="1:21">
      <c r="A7" s="37">
        <v>1495</v>
      </c>
      <c r="B7" s="51" t="s">
        <v>37</v>
      </c>
      <c r="C7" s="9" t="s">
        <v>1040</v>
      </c>
      <c r="D7" s="4">
        <v>45809</v>
      </c>
      <c r="E7" s="125">
        <v>45838</v>
      </c>
      <c r="F7" s="40" t="s">
        <v>11</v>
      </c>
      <c r="G7" s="25">
        <v>600000</v>
      </c>
      <c r="H7" s="2">
        <v>5.0000000000000001E-3</v>
      </c>
      <c r="I7" s="29" t="s">
        <v>19</v>
      </c>
      <c r="J7" s="4">
        <v>45737</v>
      </c>
      <c r="K7" s="18" t="s">
        <v>1039</v>
      </c>
      <c r="L7" s="11" t="s">
        <v>1041</v>
      </c>
      <c r="M7" s="83"/>
    </row>
    <row r="8" spans="1:21">
      <c r="A8" s="37">
        <v>1496</v>
      </c>
      <c r="B8" s="51" t="s">
        <v>37</v>
      </c>
      <c r="C8" s="9">
        <v>16988</v>
      </c>
      <c r="D8" s="4">
        <v>45809</v>
      </c>
      <c r="E8" s="4">
        <v>45838</v>
      </c>
      <c r="F8" s="40" t="s">
        <v>11</v>
      </c>
      <c r="G8" s="118">
        <v>0.01</v>
      </c>
      <c r="H8" s="2">
        <v>7.4999999999999997E-3</v>
      </c>
      <c r="I8" s="29" t="s">
        <v>168</v>
      </c>
      <c r="J8" s="4">
        <v>45754</v>
      </c>
      <c r="K8" s="18" t="s">
        <v>1207</v>
      </c>
      <c r="L8" s="130" t="s">
        <v>107</v>
      </c>
      <c r="M8" s="83"/>
    </row>
    <row r="9" spans="1:21">
      <c r="A9" s="37">
        <v>1497</v>
      </c>
      <c r="B9" s="51" t="s">
        <v>37</v>
      </c>
      <c r="C9" s="9" t="s">
        <v>1202</v>
      </c>
      <c r="D9" s="4">
        <v>45809</v>
      </c>
      <c r="E9" s="4">
        <v>45838</v>
      </c>
      <c r="F9" s="40" t="s">
        <v>11</v>
      </c>
      <c r="G9" s="118">
        <v>0.01</v>
      </c>
      <c r="H9" s="2">
        <v>2E-3</v>
      </c>
      <c r="I9" s="29" t="s">
        <v>29</v>
      </c>
      <c r="J9" s="4">
        <v>45754</v>
      </c>
      <c r="K9" s="18" t="s">
        <v>1201</v>
      </c>
      <c r="L9" s="11" t="s">
        <v>2065</v>
      </c>
      <c r="M9" s="83"/>
    </row>
    <row r="10" spans="1:21">
      <c r="A10" s="37">
        <v>1498</v>
      </c>
      <c r="B10" s="51" t="s">
        <v>37</v>
      </c>
      <c r="C10" s="9" t="s">
        <v>1202</v>
      </c>
      <c r="D10" s="4">
        <v>45809</v>
      </c>
      <c r="E10" s="4">
        <v>45838</v>
      </c>
      <c r="F10" s="40" t="s">
        <v>11</v>
      </c>
      <c r="G10" s="118">
        <v>0.01</v>
      </c>
      <c r="H10" s="2">
        <v>2E-3</v>
      </c>
      <c r="I10" s="29" t="s">
        <v>29</v>
      </c>
      <c r="J10" s="4"/>
      <c r="K10" s="18"/>
      <c r="L10" s="11" t="s">
        <v>2106</v>
      </c>
      <c r="M10" s="83"/>
    </row>
    <row r="11" spans="1:21" s="12" customFormat="1" ht="30">
      <c r="A11" s="37">
        <v>1499</v>
      </c>
      <c r="B11" s="51" t="s">
        <v>37</v>
      </c>
      <c r="C11" s="9" t="s">
        <v>1394</v>
      </c>
      <c r="D11" s="4">
        <v>45809</v>
      </c>
      <c r="E11" s="125">
        <v>45838</v>
      </c>
      <c r="F11" s="40" t="s">
        <v>11</v>
      </c>
      <c r="G11" s="25">
        <v>300000</v>
      </c>
      <c r="H11" s="2">
        <v>2E-3</v>
      </c>
      <c r="I11" s="8" t="s">
        <v>19</v>
      </c>
      <c r="J11" s="4">
        <v>45763</v>
      </c>
      <c r="K11" s="18" t="s">
        <v>1393</v>
      </c>
      <c r="L11" s="11" t="s">
        <v>1419</v>
      </c>
      <c r="M11" s="83"/>
    </row>
    <row r="12" spans="1:21" s="12" customFormat="1">
      <c r="A12" s="37">
        <v>1500</v>
      </c>
      <c r="B12" s="51" t="s">
        <v>37</v>
      </c>
      <c r="C12" s="9" t="s">
        <v>188</v>
      </c>
      <c r="D12" s="4">
        <v>45809</v>
      </c>
      <c r="E12" s="125">
        <v>45838</v>
      </c>
      <c r="F12" s="40" t="s">
        <v>11</v>
      </c>
      <c r="G12" s="25">
        <v>200000</v>
      </c>
      <c r="H12" s="2">
        <v>5.0000000000000001E-3</v>
      </c>
      <c r="I12" s="8" t="s">
        <v>17</v>
      </c>
      <c r="J12" s="4">
        <v>45762</v>
      </c>
      <c r="K12" s="18" t="s">
        <v>1415</v>
      </c>
      <c r="L12" s="11" t="s">
        <v>2102</v>
      </c>
      <c r="M12" s="83"/>
    </row>
    <row r="13" spans="1:21">
      <c r="A13" s="37">
        <v>1501</v>
      </c>
      <c r="B13" s="51" t="s">
        <v>37</v>
      </c>
      <c r="C13" s="9" t="s">
        <v>188</v>
      </c>
      <c r="D13" s="4">
        <v>45809</v>
      </c>
      <c r="E13" s="125">
        <v>45838</v>
      </c>
      <c r="F13" s="40" t="s">
        <v>11</v>
      </c>
      <c r="G13" s="25">
        <v>200000</v>
      </c>
      <c r="H13" s="2">
        <v>5.0000000000000001E-3</v>
      </c>
      <c r="I13" s="29" t="s">
        <v>17</v>
      </c>
      <c r="J13" s="4">
        <v>45762</v>
      </c>
      <c r="K13" s="18" t="s">
        <v>1415</v>
      </c>
      <c r="L13" s="11" t="s">
        <v>1870</v>
      </c>
      <c r="M13" s="83"/>
    </row>
    <row r="14" spans="1:21">
      <c r="A14" s="37">
        <v>1502</v>
      </c>
      <c r="B14" s="51" t="s">
        <v>37</v>
      </c>
      <c r="C14" s="9" t="s">
        <v>188</v>
      </c>
      <c r="D14" s="4">
        <v>45809</v>
      </c>
      <c r="E14" s="125">
        <v>45838</v>
      </c>
      <c r="F14" s="40" t="s">
        <v>11</v>
      </c>
      <c r="G14" s="25">
        <v>150000</v>
      </c>
      <c r="H14" s="2">
        <v>2.5000000000000001E-3</v>
      </c>
      <c r="I14" s="29" t="s">
        <v>17</v>
      </c>
      <c r="J14" s="4">
        <v>45762</v>
      </c>
      <c r="K14" s="18" t="s">
        <v>1415</v>
      </c>
      <c r="L14" s="11" t="s">
        <v>1871</v>
      </c>
      <c r="M14" s="83"/>
    </row>
    <row r="15" spans="1:21">
      <c r="A15" s="37">
        <v>1503</v>
      </c>
      <c r="B15" s="51" t="s">
        <v>37</v>
      </c>
      <c r="C15" s="9">
        <v>16403</v>
      </c>
      <c r="D15" s="4">
        <v>45809</v>
      </c>
      <c r="E15" s="125">
        <v>45838</v>
      </c>
      <c r="F15" s="40" t="s">
        <v>11</v>
      </c>
      <c r="G15" s="25">
        <v>150000</v>
      </c>
      <c r="H15" s="2">
        <v>2.5000000000000001E-3</v>
      </c>
      <c r="I15" s="29" t="s">
        <v>17</v>
      </c>
      <c r="J15" s="4">
        <v>45763</v>
      </c>
      <c r="K15" s="18" t="s">
        <v>1407</v>
      </c>
      <c r="L15" s="11" t="s">
        <v>1872</v>
      </c>
      <c r="M15" s="83"/>
    </row>
    <row r="16" spans="1:21">
      <c r="A16" s="37">
        <v>1504</v>
      </c>
      <c r="B16" s="51" t="s">
        <v>37</v>
      </c>
      <c r="C16" s="9">
        <v>16403</v>
      </c>
      <c r="D16" s="4">
        <v>45809</v>
      </c>
      <c r="E16" s="125">
        <v>45838</v>
      </c>
      <c r="F16" s="40" t="s">
        <v>11</v>
      </c>
      <c r="G16" s="25">
        <v>100000</v>
      </c>
      <c r="H16" s="2">
        <v>3.0000000000000001E-3</v>
      </c>
      <c r="I16" s="29" t="s">
        <v>17</v>
      </c>
      <c r="J16" s="4">
        <v>45763</v>
      </c>
      <c r="K16" s="18" t="s">
        <v>1407</v>
      </c>
      <c r="L16" s="130" t="s">
        <v>107</v>
      </c>
      <c r="M16" s="83"/>
    </row>
    <row r="17" spans="1:13">
      <c r="A17" s="37">
        <v>1505</v>
      </c>
      <c r="B17" s="51" t="s">
        <v>37</v>
      </c>
      <c r="C17" s="9">
        <v>17375</v>
      </c>
      <c r="D17" s="4">
        <v>45809</v>
      </c>
      <c r="E17" s="125">
        <v>45838</v>
      </c>
      <c r="F17" s="40" t="s">
        <v>11</v>
      </c>
      <c r="G17" s="25">
        <v>40000</v>
      </c>
      <c r="H17" s="2">
        <v>5.0000000000000001E-3</v>
      </c>
      <c r="I17" s="29" t="s">
        <v>17</v>
      </c>
      <c r="J17" s="4">
        <v>45763</v>
      </c>
      <c r="K17" s="18" t="s">
        <v>1407</v>
      </c>
      <c r="L17" s="11" t="s">
        <v>1873</v>
      </c>
      <c r="M17" s="83"/>
    </row>
    <row r="18" spans="1:13" ht="30">
      <c r="A18" s="37">
        <v>1506</v>
      </c>
      <c r="B18" s="51" t="s">
        <v>37</v>
      </c>
      <c r="C18" s="9">
        <v>12340</v>
      </c>
      <c r="D18" s="4">
        <v>45809</v>
      </c>
      <c r="E18" s="125">
        <v>45838</v>
      </c>
      <c r="F18" s="40" t="s">
        <v>11</v>
      </c>
      <c r="G18" s="25" t="s">
        <v>1304</v>
      </c>
      <c r="H18" s="2" t="s">
        <v>1412</v>
      </c>
      <c r="I18" s="29" t="s">
        <v>17</v>
      </c>
      <c r="J18" s="4">
        <v>45763</v>
      </c>
      <c r="K18" s="18" t="s">
        <v>204</v>
      </c>
      <c r="L18" s="11" t="s">
        <v>1413</v>
      </c>
      <c r="M18" s="83"/>
    </row>
    <row r="19" spans="1:13">
      <c r="A19" s="37">
        <v>1507</v>
      </c>
      <c r="B19" s="51" t="s">
        <v>37</v>
      </c>
      <c r="C19" s="9" t="s">
        <v>190</v>
      </c>
      <c r="D19" s="4">
        <v>45809</v>
      </c>
      <c r="E19" s="125">
        <v>45838</v>
      </c>
      <c r="F19" s="40" t="s">
        <v>11</v>
      </c>
      <c r="G19" s="25" t="s">
        <v>1304</v>
      </c>
      <c r="H19" s="2" t="s">
        <v>1412</v>
      </c>
      <c r="I19" s="29" t="s">
        <v>17</v>
      </c>
      <c r="J19" s="4">
        <v>45762</v>
      </c>
      <c r="K19" s="18" t="s">
        <v>1414</v>
      </c>
      <c r="L19" s="11" t="s">
        <v>1874</v>
      </c>
      <c r="M19" s="83"/>
    </row>
    <row r="20" spans="1:13">
      <c r="A20" s="37">
        <v>1508</v>
      </c>
      <c r="B20" s="51" t="s">
        <v>37</v>
      </c>
      <c r="C20" s="9">
        <v>1427</v>
      </c>
      <c r="D20" s="4">
        <v>45809</v>
      </c>
      <c r="E20" s="125">
        <v>45838</v>
      </c>
      <c r="F20" s="40" t="s">
        <v>11</v>
      </c>
      <c r="G20" s="118">
        <v>0.01</v>
      </c>
      <c r="H20" s="2">
        <v>4.4999999999999997E-3</v>
      </c>
      <c r="I20" s="29" t="s">
        <v>19</v>
      </c>
      <c r="J20" s="4">
        <v>45721</v>
      </c>
      <c r="K20" s="18" t="s">
        <v>797</v>
      </c>
      <c r="L20" s="11" t="s">
        <v>128</v>
      </c>
      <c r="M20" s="83"/>
    </row>
    <row r="21" spans="1:13" ht="30">
      <c r="A21" s="37">
        <v>1509</v>
      </c>
      <c r="B21" s="51" t="s">
        <v>37</v>
      </c>
      <c r="C21" s="9">
        <v>16754</v>
      </c>
      <c r="D21" s="4">
        <v>45809</v>
      </c>
      <c r="E21" s="4">
        <v>45838</v>
      </c>
      <c r="F21" s="40" t="s">
        <v>11</v>
      </c>
      <c r="G21" s="118">
        <v>0.01</v>
      </c>
      <c r="H21" s="2">
        <v>0.01</v>
      </c>
      <c r="I21" s="29" t="s">
        <v>21</v>
      </c>
      <c r="J21" s="4">
        <v>45807</v>
      </c>
      <c r="K21" s="18" t="s">
        <v>1810</v>
      </c>
      <c r="L21" s="11" t="s">
        <v>1811</v>
      </c>
      <c r="M21" s="83"/>
    </row>
    <row r="22" spans="1:13">
      <c r="A22" s="37">
        <v>1510</v>
      </c>
      <c r="B22" s="51" t="s">
        <v>37</v>
      </c>
      <c r="C22" s="9">
        <v>17711</v>
      </c>
      <c r="D22" s="4">
        <v>45809</v>
      </c>
      <c r="E22" s="125">
        <v>45838</v>
      </c>
      <c r="F22" s="40" t="s">
        <v>11</v>
      </c>
      <c r="G22" s="118">
        <v>0.01</v>
      </c>
      <c r="H22" s="2">
        <v>7.4999999999999997E-3</v>
      </c>
      <c r="I22" s="29" t="s">
        <v>168</v>
      </c>
      <c r="J22" s="4">
        <v>45803</v>
      </c>
      <c r="K22" s="18" t="s">
        <v>1818</v>
      </c>
      <c r="L22" s="130" t="s">
        <v>107</v>
      </c>
      <c r="M22" s="83"/>
    </row>
    <row r="23" spans="1:13" ht="30">
      <c r="A23" s="37">
        <v>1511</v>
      </c>
      <c r="B23" s="51" t="s">
        <v>37</v>
      </c>
      <c r="C23" s="9">
        <v>10473</v>
      </c>
      <c r="D23" s="4">
        <v>45809</v>
      </c>
      <c r="E23" s="4">
        <v>45838</v>
      </c>
      <c r="F23" s="40" t="s">
        <v>11</v>
      </c>
      <c r="G23" s="25">
        <v>300000</v>
      </c>
      <c r="H23" s="2">
        <v>4.0000000000000001E-3</v>
      </c>
      <c r="I23" s="29" t="s">
        <v>16</v>
      </c>
      <c r="J23" s="4">
        <v>45811</v>
      </c>
      <c r="K23" s="18" t="s">
        <v>1824</v>
      </c>
      <c r="L23" s="11" t="s">
        <v>1711</v>
      </c>
      <c r="M23" s="83"/>
    </row>
    <row r="24" spans="1:13">
      <c r="A24" s="37">
        <v>1512</v>
      </c>
      <c r="B24" s="51" t="s">
        <v>37</v>
      </c>
      <c r="C24" s="9">
        <v>16572</v>
      </c>
      <c r="D24" s="4">
        <v>45809</v>
      </c>
      <c r="E24" s="4">
        <v>45838</v>
      </c>
      <c r="F24" s="40" t="s">
        <v>11</v>
      </c>
      <c r="G24" s="118">
        <v>0.01</v>
      </c>
      <c r="H24" s="2">
        <v>3.0000000000000001E-3</v>
      </c>
      <c r="I24" s="29" t="s">
        <v>12</v>
      </c>
      <c r="J24" s="4">
        <v>45811</v>
      </c>
      <c r="K24" s="18" t="s">
        <v>1825</v>
      </c>
      <c r="L24" s="11" t="s">
        <v>1146</v>
      </c>
      <c r="M24" s="83"/>
    </row>
    <row r="25" spans="1:13">
      <c r="A25" s="37">
        <v>1513</v>
      </c>
      <c r="B25" s="51" t="s">
        <v>37</v>
      </c>
      <c r="C25" s="9">
        <v>17350</v>
      </c>
      <c r="D25" s="4">
        <v>45809</v>
      </c>
      <c r="E25" s="4">
        <v>45838</v>
      </c>
      <c r="F25" s="40" t="s">
        <v>11</v>
      </c>
      <c r="G25" s="25">
        <v>1000</v>
      </c>
      <c r="H25" s="2">
        <v>5.0000000000000001E-3</v>
      </c>
      <c r="I25" s="29" t="s">
        <v>15</v>
      </c>
      <c r="J25" s="4">
        <v>45811</v>
      </c>
      <c r="K25" s="18" t="s">
        <v>1826</v>
      </c>
      <c r="L25" s="130" t="s">
        <v>107</v>
      </c>
      <c r="M25" s="83"/>
    </row>
    <row r="26" spans="1:13">
      <c r="A26" s="37">
        <v>1514</v>
      </c>
      <c r="B26" s="51" t="s">
        <v>37</v>
      </c>
      <c r="C26" s="9">
        <v>16446</v>
      </c>
      <c r="D26" s="4">
        <v>45809</v>
      </c>
      <c r="E26" s="4">
        <v>45838</v>
      </c>
      <c r="F26" s="40" t="s">
        <v>11</v>
      </c>
      <c r="G26" s="25">
        <v>30000</v>
      </c>
      <c r="H26" s="2">
        <v>2.5999999999999999E-3</v>
      </c>
      <c r="I26" s="29" t="s">
        <v>48</v>
      </c>
      <c r="J26" s="4">
        <v>45811</v>
      </c>
      <c r="K26" s="18" t="s">
        <v>1827</v>
      </c>
      <c r="L26" s="11" t="s">
        <v>1787</v>
      </c>
      <c r="M26" s="83"/>
    </row>
    <row r="27" spans="1:13">
      <c r="A27" s="37">
        <v>1515</v>
      </c>
      <c r="B27" s="51" t="s">
        <v>37</v>
      </c>
      <c r="C27" s="9">
        <v>16446</v>
      </c>
      <c r="D27" s="4">
        <v>45809</v>
      </c>
      <c r="E27" s="4">
        <v>45838</v>
      </c>
      <c r="F27" s="40" t="s">
        <v>11</v>
      </c>
      <c r="G27" s="25">
        <v>30000</v>
      </c>
      <c r="H27" s="2">
        <v>1.7999999999999999E-2</v>
      </c>
      <c r="I27" s="29" t="s">
        <v>48</v>
      </c>
      <c r="J27" s="4">
        <v>45811</v>
      </c>
      <c r="K27" s="18" t="s">
        <v>1828</v>
      </c>
      <c r="L27" s="11" t="s">
        <v>1578</v>
      </c>
      <c r="M27" s="83"/>
    </row>
    <row r="28" spans="1:13">
      <c r="A28" s="37">
        <v>1516</v>
      </c>
      <c r="B28" s="51" t="s">
        <v>37</v>
      </c>
      <c r="C28" s="9">
        <v>17142</v>
      </c>
      <c r="D28" s="4">
        <v>45809</v>
      </c>
      <c r="E28" s="4">
        <v>45838</v>
      </c>
      <c r="F28" s="40" t="s">
        <v>11</v>
      </c>
      <c r="G28" s="25">
        <v>30000</v>
      </c>
      <c r="H28" s="2">
        <v>5.0000000000000001E-3</v>
      </c>
      <c r="I28" s="29" t="s">
        <v>48</v>
      </c>
      <c r="J28" s="4">
        <v>45811</v>
      </c>
      <c r="K28" s="18" t="s">
        <v>1829</v>
      </c>
      <c r="L28" s="11" t="s">
        <v>1505</v>
      </c>
      <c r="M28" s="83"/>
    </row>
    <row r="29" spans="1:13">
      <c r="A29" s="37">
        <v>1517</v>
      </c>
      <c r="B29" s="51" t="s">
        <v>37</v>
      </c>
      <c r="C29" s="9">
        <v>14363</v>
      </c>
      <c r="D29" s="4">
        <v>45809</v>
      </c>
      <c r="E29" s="4">
        <v>45838</v>
      </c>
      <c r="F29" s="40" t="s">
        <v>11</v>
      </c>
      <c r="G29" s="25">
        <v>1000</v>
      </c>
      <c r="H29" s="2">
        <v>1.4999999999999999E-2</v>
      </c>
      <c r="I29" s="29" t="s">
        <v>15</v>
      </c>
      <c r="J29" s="4">
        <v>45807</v>
      </c>
      <c r="K29" s="18" t="s">
        <v>1830</v>
      </c>
      <c r="L29" s="11" t="s">
        <v>1509</v>
      </c>
      <c r="M29" s="83"/>
    </row>
    <row r="30" spans="1:13" ht="45">
      <c r="A30" s="37">
        <v>1518</v>
      </c>
      <c r="B30" s="51" t="s">
        <v>37</v>
      </c>
      <c r="C30" s="9">
        <v>6211</v>
      </c>
      <c r="D30" s="4">
        <v>45809</v>
      </c>
      <c r="E30" s="4">
        <v>45838</v>
      </c>
      <c r="F30" s="40" t="s">
        <v>11</v>
      </c>
      <c r="G30" s="25">
        <v>500000</v>
      </c>
      <c r="H30" s="2">
        <v>0.01</v>
      </c>
      <c r="I30" s="29" t="s">
        <v>39</v>
      </c>
      <c r="J30" s="4"/>
      <c r="K30" s="18" t="s">
        <v>1831</v>
      </c>
      <c r="L30" s="11" t="s">
        <v>1849</v>
      </c>
      <c r="M30" s="83"/>
    </row>
    <row r="31" spans="1:13">
      <c r="A31" s="37">
        <v>1519</v>
      </c>
      <c r="B31" s="51" t="s">
        <v>37</v>
      </c>
      <c r="C31" s="9">
        <v>17204</v>
      </c>
      <c r="D31" s="4">
        <v>45809</v>
      </c>
      <c r="E31" s="4">
        <v>45838</v>
      </c>
      <c r="F31" s="40" t="s">
        <v>11</v>
      </c>
      <c r="G31" s="118">
        <v>0.01</v>
      </c>
      <c r="H31" s="2">
        <v>1.7500000000000002E-2</v>
      </c>
      <c r="I31" s="29" t="s">
        <v>27</v>
      </c>
      <c r="J31" s="4">
        <v>45811</v>
      </c>
      <c r="K31" s="18" t="s">
        <v>1832</v>
      </c>
      <c r="L31" s="11" t="s">
        <v>1833</v>
      </c>
      <c r="M31" s="83"/>
    </row>
    <row r="32" spans="1:13">
      <c r="A32" s="37">
        <v>1520</v>
      </c>
      <c r="B32" s="51" t="s">
        <v>37</v>
      </c>
      <c r="C32" s="9" t="s">
        <v>122</v>
      </c>
      <c r="D32" s="4">
        <v>45809</v>
      </c>
      <c r="E32" s="4">
        <v>45838</v>
      </c>
      <c r="F32" s="40" t="s">
        <v>11</v>
      </c>
      <c r="G32" s="118">
        <v>0.01</v>
      </c>
      <c r="H32" s="131">
        <v>5.0000000000000001E-3</v>
      </c>
      <c r="I32" s="29" t="s">
        <v>27</v>
      </c>
      <c r="J32" s="4">
        <v>45811</v>
      </c>
      <c r="K32" s="18" t="s">
        <v>1832</v>
      </c>
      <c r="L32" s="130" t="s">
        <v>107</v>
      </c>
      <c r="M32" s="83"/>
    </row>
    <row r="33" spans="1:13">
      <c r="A33" s="37">
        <v>1521</v>
      </c>
      <c r="B33" s="51" t="s">
        <v>37</v>
      </c>
      <c r="C33" s="9" t="s">
        <v>122</v>
      </c>
      <c r="D33" s="4">
        <v>45809</v>
      </c>
      <c r="E33" s="4">
        <v>45838</v>
      </c>
      <c r="F33" s="40" t="s">
        <v>11</v>
      </c>
      <c r="G33" s="118">
        <v>0.01</v>
      </c>
      <c r="H33" s="2">
        <v>5.0000000000000001E-3</v>
      </c>
      <c r="I33" s="29" t="s">
        <v>27</v>
      </c>
      <c r="J33" s="4">
        <v>45811</v>
      </c>
      <c r="K33" s="18" t="s">
        <v>1832</v>
      </c>
      <c r="L33" s="11" t="s">
        <v>1834</v>
      </c>
      <c r="M33" s="83"/>
    </row>
    <row r="34" spans="1:13">
      <c r="A34" s="37">
        <v>1522</v>
      </c>
      <c r="B34" s="51" t="s">
        <v>37</v>
      </c>
      <c r="C34" s="9" t="s">
        <v>122</v>
      </c>
      <c r="D34" s="4">
        <v>45809</v>
      </c>
      <c r="E34" s="4">
        <v>45838</v>
      </c>
      <c r="F34" s="40" t="s">
        <v>11</v>
      </c>
      <c r="G34" s="118">
        <v>0.01</v>
      </c>
      <c r="H34" s="2">
        <v>0.02</v>
      </c>
      <c r="I34" s="29" t="s">
        <v>27</v>
      </c>
      <c r="J34" s="4">
        <v>45811</v>
      </c>
      <c r="K34" s="18" t="s">
        <v>1832</v>
      </c>
      <c r="L34" s="11" t="s">
        <v>1835</v>
      </c>
      <c r="M34" s="83"/>
    </row>
    <row r="35" spans="1:13">
      <c r="A35" s="37">
        <v>1523</v>
      </c>
      <c r="B35" s="51" t="s">
        <v>37</v>
      </c>
      <c r="C35" s="9">
        <v>14170</v>
      </c>
      <c r="D35" s="4">
        <v>45805</v>
      </c>
      <c r="E35" s="4">
        <v>45838</v>
      </c>
      <c r="F35" s="40" t="s">
        <v>11</v>
      </c>
      <c r="G35" s="118">
        <v>0.01</v>
      </c>
      <c r="H35" s="2">
        <v>8.9999999999999993E-3</v>
      </c>
      <c r="I35" s="29" t="s">
        <v>32</v>
      </c>
      <c r="J35" s="4">
        <v>45807</v>
      </c>
      <c r="K35" s="18" t="s">
        <v>1836</v>
      </c>
      <c r="L35" s="11" t="s">
        <v>1848</v>
      </c>
      <c r="M35" s="83"/>
    </row>
    <row r="36" spans="1:13">
      <c r="A36" s="37">
        <v>1524</v>
      </c>
      <c r="B36" s="51" t="s">
        <v>37</v>
      </c>
      <c r="C36" s="9">
        <v>15078</v>
      </c>
      <c r="D36" s="4">
        <v>45805</v>
      </c>
      <c r="E36" s="4">
        <v>45838</v>
      </c>
      <c r="F36" s="40" t="s">
        <v>11</v>
      </c>
      <c r="G36" s="118">
        <v>0.01</v>
      </c>
      <c r="H36" s="2">
        <v>8.9999999999999993E-3</v>
      </c>
      <c r="I36" s="29" t="s">
        <v>32</v>
      </c>
      <c r="J36" s="4">
        <v>45807</v>
      </c>
      <c r="K36" s="18" t="s">
        <v>1837</v>
      </c>
      <c r="L36" s="11" t="s">
        <v>1838</v>
      </c>
      <c r="M36" s="83"/>
    </row>
    <row r="37" spans="1:13">
      <c r="A37" s="37">
        <v>1525</v>
      </c>
      <c r="B37" s="51" t="s">
        <v>37</v>
      </c>
      <c r="C37" s="9">
        <v>3038</v>
      </c>
      <c r="D37" s="4">
        <v>45810</v>
      </c>
      <c r="E37" s="4">
        <v>45838</v>
      </c>
      <c r="F37" s="40" t="s">
        <v>11</v>
      </c>
      <c r="G37" s="118">
        <v>0.01</v>
      </c>
      <c r="H37" s="2">
        <v>2E-3</v>
      </c>
      <c r="I37" s="29" t="s">
        <v>19</v>
      </c>
      <c r="J37" s="4">
        <v>45810</v>
      </c>
      <c r="K37" s="18" t="s">
        <v>1839</v>
      </c>
      <c r="L37" s="11" t="s">
        <v>1840</v>
      </c>
      <c r="M37" s="83"/>
    </row>
    <row r="38" spans="1:13" ht="30">
      <c r="A38" s="37">
        <v>1526</v>
      </c>
      <c r="B38" s="51" t="s">
        <v>37</v>
      </c>
      <c r="C38" s="9">
        <v>12765</v>
      </c>
      <c r="D38" s="4">
        <v>45809</v>
      </c>
      <c r="E38" s="4">
        <v>45838</v>
      </c>
      <c r="F38" s="40" t="s">
        <v>11</v>
      </c>
      <c r="G38" s="25">
        <v>800000</v>
      </c>
      <c r="H38" s="2">
        <v>5.0000000000000001E-3</v>
      </c>
      <c r="I38" s="29" t="s">
        <v>39</v>
      </c>
      <c r="J38" s="4">
        <v>45810</v>
      </c>
      <c r="K38" s="18" t="s">
        <v>1841</v>
      </c>
      <c r="L38" s="11" t="s">
        <v>1850</v>
      </c>
      <c r="M38" s="83"/>
    </row>
    <row r="39" spans="1:13">
      <c r="A39" s="37">
        <v>1527</v>
      </c>
      <c r="B39" s="51" t="s">
        <v>37</v>
      </c>
      <c r="C39" s="9">
        <v>15087</v>
      </c>
      <c r="D39" s="4">
        <v>45809</v>
      </c>
      <c r="E39" s="4">
        <v>45817</v>
      </c>
      <c r="F39" s="40" t="s">
        <v>11</v>
      </c>
      <c r="G39" s="25">
        <v>30000</v>
      </c>
      <c r="H39" s="2">
        <v>5.0000000000000001E-3</v>
      </c>
      <c r="I39" s="29" t="s">
        <v>48</v>
      </c>
      <c r="J39" s="4">
        <v>45810</v>
      </c>
      <c r="K39" s="18" t="s">
        <v>1842</v>
      </c>
      <c r="L39" s="11" t="s">
        <v>1074</v>
      </c>
      <c r="M39" s="83"/>
    </row>
    <row r="40" spans="1:13">
      <c r="A40" s="37">
        <v>1528</v>
      </c>
      <c r="B40" s="51" t="s">
        <v>37</v>
      </c>
      <c r="C40" s="9">
        <v>15087</v>
      </c>
      <c r="D40" s="4">
        <v>45809</v>
      </c>
      <c r="E40" s="4">
        <v>45838</v>
      </c>
      <c r="F40" s="40" t="s">
        <v>11</v>
      </c>
      <c r="G40" s="25">
        <v>30000</v>
      </c>
      <c r="H40" s="2">
        <v>2.5000000000000001E-3</v>
      </c>
      <c r="I40" s="29" t="s">
        <v>48</v>
      </c>
      <c r="J40" s="4">
        <v>45810</v>
      </c>
      <c r="K40" s="18" t="s">
        <v>1073</v>
      </c>
      <c r="L40" s="11" t="s">
        <v>1843</v>
      </c>
      <c r="M40" s="83"/>
    </row>
    <row r="41" spans="1:13">
      <c r="A41" s="37">
        <v>1529</v>
      </c>
      <c r="B41" s="51" t="s">
        <v>37</v>
      </c>
      <c r="C41" s="9">
        <v>15332</v>
      </c>
      <c r="D41" s="4">
        <v>45809</v>
      </c>
      <c r="E41" s="4">
        <v>45838</v>
      </c>
      <c r="F41" s="40" t="s">
        <v>11</v>
      </c>
      <c r="G41" s="118">
        <v>0.01</v>
      </c>
      <c r="H41" s="2">
        <v>0.01</v>
      </c>
      <c r="I41" s="29" t="s">
        <v>19</v>
      </c>
      <c r="J41" s="4">
        <v>45811</v>
      </c>
      <c r="K41" s="18" t="s">
        <v>1844</v>
      </c>
      <c r="L41" s="11" t="s">
        <v>2045</v>
      </c>
      <c r="M41" s="83"/>
    </row>
    <row r="42" spans="1:13">
      <c r="A42" s="37">
        <v>1530</v>
      </c>
      <c r="B42" s="51" t="s">
        <v>37</v>
      </c>
      <c r="C42" s="9">
        <v>12633</v>
      </c>
      <c r="D42" s="4">
        <v>45809</v>
      </c>
      <c r="E42" s="4">
        <v>45838</v>
      </c>
      <c r="F42" s="40" t="s">
        <v>11</v>
      </c>
      <c r="G42" s="118">
        <v>0.01</v>
      </c>
      <c r="H42" s="2">
        <v>3.0000000000000001E-3</v>
      </c>
      <c r="I42" s="29" t="s">
        <v>27</v>
      </c>
      <c r="J42" s="4">
        <v>45811</v>
      </c>
      <c r="K42" s="18" t="s">
        <v>1845</v>
      </c>
      <c r="L42" s="130" t="s">
        <v>107</v>
      </c>
      <c r="M42" s="83"/>
    </row>
    <row r="43" spans="1:13">
      <c r="A43" s="37">
        <v>1531</v>
      </c>
      <c r="B43" s="51" t="s">
        <v>37</v>
      </c>
      <c r="C43" s="9">
        <v>5804</v>
      </c>
      <c r="D43" s="4">
        <v>45809</v>
      </c>
      <c r="E43" s="4">
        <v>45838</v>
      </c>
      <c r="F43" s="40" t="s">
        <v>11</v>
      </c>
      <c r="G43" s="118">
        <v>0.01</v>
      </c>
      <c r="H43" s="2">
        <v>5.0000000000000001E-3</v>
      </c>
      <c r="I43" s="29" t="s">
        <v>27</v>
      </c>
      <c r="J43" s="4">
        <v>45811</v>
      </c>
      <c r="K43" s="18" t="s">
        <v>1845</v>
      </c>
      <c r="L43" s="11" t="s">
        <v>1846</v>
      </c>
      <c r="M43" s="83"/>
    </row>
    <row r="44" spans="1:13">
      <c r="A44" s="37">
        <v>1532</v>
      </c>
      <c r="B44" s="51" t="s">
        <v>37</v>
      </c>
      <c r="C44" s="14">
        <v>15932</v>
      </c>
      <c r="D44" s="23">
        <v>45818</v>
      </c>
      <c r="E44" s="23">
        <v>45838</v>
      </c>
      <c r="F44" s="17" t="s">
        <v>11</v>
      </c>
      <c r="G44" s="121">
        <v>0.01</v>
      </c>
      <c r="H44" s="2">
        <v>7.4999999999999997E-3</v>
      </c>
      <c r="I44" s="29" t="s">
        <v>27</v>
      </c>
      <c r="J44" s="23">
        <v>45811</v>
      </c>
      <c r="K44" s="15" t="s">
        <v>1845</v>
      </c>
      <c r="L44" s="16" t="s">
        <v>1517</v>
      </c>
      <c r="M44" s="122"/>
    </row>
    <row r="45" spans="1:13">
      <c r="A45" s="37">
        <v>1533</v>
      </c>
      <c r="B45" s="51" t="s">
        <v>37</v>
      </c>
      <c r="C45" s="9">
        <v>15932</v>
      </c>
      <c r="D45" s="4">
        <v>45809</v>
      </c>
      <c r="E45" s="4">
        <v>45838</v>
      </c>
      <c r="F45" s="40" t="s">
        <v>11</v>
      </c>
      <c r="G45" s="118">
        <v>0.01</v>
      </c>
      <c r="H45" s="2">
        <v>3.5000000000000003E-2</v>
      </c>
      <c r="I45" s="29" t="s">
        <v>27</v>
      </c>
      <c r="J45" s="4">
        <v>45811</v>
      </c>
      <c r="K45" s="18" t="s">
        <v>1845</v>
      </c>
      <c r="L45" s="11" t="s">
        <v>1518</v>
      </c>
      <c r="M45" s="83"/>
    </row>
    <row r="46" spans="1:13">
      <c r="A46" s="37">
        <v>1534</v>
      </c>
      <c r="B46" s="51" t="s">
        <v>37</v>
      </c>
      <c r="C46" s="9">
        <v>15932</v>
      </c>
      <c r="D46" s="4">
        <v>45809</v>
      </c>
      <c r="E46" s="4">
        <v>45838</v>
      </c>
      <c r="F46" s="40" t="s">
        <v>11</v>
      </c>
      <c r="G46" s="118">
        <v>0.01</v>
      </c>
      <c r="H46" s="2">
        <v>0.01</v>
      </c>
      <c r="I46" s="29" t="s">
        <v>27</v>
      </c>
      <c r="J46" s="4">
        <v>45811</v>
      </c>
      <c r="K46" s="18" t="s">
        <v>1845</v>
      </c>
      <c r="L46" s="11" t="s">
        <v>1847</v>
      </c>
      <c r="M46" s="83"/>
    </row>
    <row r="47" spans="1:13">
      <c r="A47" s="37">
        <v>1535</v>
      </c>
      <c r="B47" s="51" t="s">
        <v>37</v>
      </c>
      <c r="C47" s="9">
        <v>14722</v>
      </c>
      <c r="D47" s="4">
        <v>45809</v>
      </c>
      <c r="E47" s="4">
        <v>45838</v>
      </c>
      <c r="F47" s="40" t="s">
        <v>11</v>
      </c>
      <c r="G47" s="25">
        <v>10000</v>
      </c>
      <c r="H47" s="2">
        <v>2.5999999999999999E-3</v>
      </c>
      <c r="I47" s="29" t="s">
        <v>25</v>
      </c>
      <c r="J47" s="4">
        <v>45812</v>
      </c>
      <c r="K47" s="18" t="s">
        <v>1852</v>
      </c>
      <c r="L47" s="11" t="s">
        <v>1854</v>
      </c>
      <c r="M47" s="83"/>
    </row>
    <row r="48" spans="1:13">
      <c r="A48" s="37">
        <v>1536</v>
      </c>
      <c r="B48" s="51" t="s">
        <v>37</v>
      </c>
      <c r="C48" s="9">
        <v>14722</v>
      </c>
      <c r="D48" s="4">
        <v>45809</v>
      </c>
      <c r="E48" s="4">
        <v>45838</v>
      </c>
      <c r="F48" s="40" t="s">
        <v>11</v>
      </c>
      <c r="G48" s="25">
        <v>10000</v>
      </c>
      <c r="H48" s="2">
        <v>2.0999999999999999E-3</v>
      </c>
      <c r="I48" s="29" t="s">
        <v>25</v>
      </c>
      <c r="J48" s="4">
        <v>45812</v>
      </c>
      <c r="K48" s="18" t="s">
        <v>1852</v>
      </c>
      <c r="L48" s="11" t="s">
        <v>1855</v>
      </c>
      <c r="M48" s="83"/>
    </row>
    <row r="49" spans="1:13">
      <c r="A49" s="37">
        <v>1537</v>
      </c>
      <c r="B49" s="51" t="s">
        <v>37</v>
      </c>
      <c r="C49" s="9">
        <v>14722</v>
      </c>
      <c r="D49" s="4">
        <v>45809</v>
      </c>
      <c r="E49" s="4">
        <v>45817</v>
      </c>
      <c r="F49" s="40" t="s">
        <v>11</v>
      </c>
      <c r="G49" s="25">
        <v>10000</v>
      </c>
      <c r="H49" s="2">
        <v>5.0000000000000001E-3</v>
      </c>
      <c r="I49" s="29" t="s">
        <v>25</v>
      </c>
      <c r="J49" s="4">
        <v>45812</v>
      </c>
      <c r="K49" s="18" t="s">
        <v>1852</v>
      </c>
      <c r="L49" s="11" t="s">
        <v>1619</v>
      </c>
      <c r="M49" s="83"/>
    </row>
    <row r="50" spans="1:13">
      <c r="A50" s="37">
        <v>1538</v>
      </c>
      <c r="B50" s="51" t="s">
        <v>37</v>
      </c>
      <c r="C50" s="9">
        <v>14722</v>
      </c>
      <c r="D50" s="4">
        <v>45809</v>
      </c>
      <c r="E50" s="4">
        <v>45838</v>
      </c>
      <c r="F50" s="40" t="s">
        <v>11</v>
      </c>
      <c r="G50" s="25">
        <v>10000</v>
      </c>
      <c r="H50" s="2">
        <v>7.4999999999999997E-3</v>
      </c>
      <c r="I50" s="29" t="s">
        <v>25</v>
      </c>
      <c r="J50" s="4">
        <v>45812</v>
      </c>
      <c r="K50" s="18" t="s">
        <v>1852</v>
      </c>
      <c r="L50" s="24" t="s">
        <v>2105</v>
      </c>
      <c r="M50" s="83"/>
    </row>
    <row r="51" spans="1:13">
      <c r="A51" s="37">
        <v>1539</v>
      </c>
      <c r="B51" s="51" t="s">
        <v>37</v>
      </c>
      <c r="C51" s="9" t="s">
        <v>874</v>
      </c>
      <c r="D51" s="4">
        <v>45809</v>
      </c>
      <c r="E51" s="4">
        <v>45838</v>
      </c>
      <c r="F51" s="40" t="s">
        <v>11</v>
      </c>
      <c r="G51" s="25">
        <v>1000</v>
      </c>
      <c r="H51" s="2">
        <v>2.2000000000000001E-3</v>
      </c>
      <c r="I51" s="29" t="s">
        <v>14</v>
      </c>
      <c r="J51" s="4">
        <v>45812</v>
      </c>
      <c r="K51" s="18" t="s">
        <v>1852</v>
      </c>
      <c r="L51" s="11" t="s">
        <v>1856</v>
      </c>
      <c r="M51" s="83"/>
    </row>
    <row r="52" spans="1:13">
      <c r="A52" s="37">
        <v>1540</v>
      </c>
      <c r="B52" s="51" t="s">
        <v>37</v>
      </c>
      <c r="C52" s="136" t="s">
        <v>421</v>
      </c>
      <c r="D52" s="137">
        <v>45809</v>
      </c>
      <c r="E52" s="137">
        <v>45838</v>
      </c>
      <c r="F52" s="138" t="s">
        <v>11</v>
      </c>
      <c r="G52" s="139">
        <v>1000</v>
      </c>
      <c r="H52" s="140">
        <v>5.0000000000000001E-3</v>
      </c>
      <c r="I52" s="29" t="s">
        <v>14</v>
      </c>
      <c r="J52" s="137">
        <v>45812</v>
      </c>
      <c r="K52" s="141" t="s">
        <v>1852</v>
      </c>
      <c r="L52" s="334" t="s">
        <v>1857</v>
      </c>
      <c r="M52" s="335"/>
    </row>
    <row r="53" spans="1:13">
      <c r="A53" s="37">
        <v>1541</v>
      </c>
      <c r="B53" s="51" t="s">
        <v>37</v>
      </c>
      <c r="C53" s="9" t="s">
        <v>421</v>
      </c>
      <c r="D53" s="4">
        <v>45809</v>
      </c>
      <c r="E53" s="4">
        <v>45838</v>
      </c>
      <c r="F53" s="40" t="s">
        <v>11</v>
      </c>
      <c r="G53" s="25">
        <v>1000</v>
      </c>
      <c r="H53" s="2">
        <v>0.02</v>
      </c>
      <c r="I53" s="29" t="s">
        <v>14</v>
      </c>
      <c r="J53" s="4">
        <v>45812</v>
      </c>
      <c r="K53" s="18" t="s">
        <v>1852</v>
      </c>
      <c r="L53" s="119" t="s">
        <v>1935</v>
      </c>
      <c r="M53" s="129"/>
    </row>
    <row r="54" spans="1:13">
      <c r="A54" s="37">
        <v>1542</v>
      </c>
      <c r="B54" s="51" t="s">
        <v>37</v>
      </c>
      <c r="C54" s="9" t="s">
        <v>421</v>
      </c>
      <c r="D54" s="4">
        <v>45809</v>
      </c>
      <c r="E54" s="4">
        <v>45838</v>
      </c>
      <c r="F54" s="40" t="s">
        <v>11</v>
      </c>
      <c r="G54" s="25">
        <v>1000</v>
      </c>
      <c r="H54" s="2">
        <v>1.7500000000000002E-2</v>
      </c>
      <c r="I54" s="29" t="s">
        <v>14</v>
      </c>
      <c r="J54" s="4">
        <v>45812</v>
      </c>
      <c r="K54" s="18" t="s">
        <v>1852</v>
      </c>
      <c r="L54" s="120" t="s">
        <v>1936</v>
      </c>
      <c r="M54" s="83"/>
    </row>
    <row r="55" spans="1:13">
      <c r="A55" s="37">
        <v>1543</v>
      </c>
      <c r="B55" s="51" t="s">
        <v>37</v>
      </c>
      <c r="C55" s="9" t="s">
        <v>1853</v>
      </c>
      <c r="D55" s="4">
        <v>45809</v>
      </c>
      <c r="E55" s="4">
        <v>45838</v>
      </c>
      <c r="F55" s="40" t="s">
        <v>11</v>
      </c>
      <c r="G55" s="25">
        <v>1000</v>
      </c>
      <c r="H55" s="2">
        <v>2.2000000000000001E-3</v>
      </c>
      <c r="I55" s="29" t="s">
        <v>14</v>
      </c>
      <c r="J55" s="4">
        <v>45812</v>
      </c>
      <c r="K55" s="18" t="s">
        <v>1852</v>
      </c>
      <c r="L55" s="11" t="s">
        <v>1856</v>
      </c>
      <c r="M55" s="83"/>
    </row>
    <row r="56" spans="1:13">
      <c r="A56" s="37">
        <v>1544</v>
      </c>
      <c r="B56" s="51" t="s">
        <v>37</v>
      </c>
      <c r="C56" s="9">
        <v>9212</v>
      </c>
      <c r="D56" s="4">
        <v>45809</v>
      </c>
      <c r="E56" s="4">
        <v>45838</v>
      </c>
      <c r="F56" s="40" t="s">
        <v>11</v>
      </c>
      <c r="G56" s="25">
        <v>1000</v>
      </c>
      <c r="H56" s="2">
        <v>7.4999999999999997E-3</v>
      </c>
      <c r="I56" s="29" t="s">
        <v>14</v>
      </c>
      <c r="J56" s="4">
        <v>45812</v>
      </c>
      <c r="K56" s="18" t="s">
        <v>1852</v>
      </c>
      <c r="L56" s="130" t="s">
        <v>107</v>
      </c>
      <c r="M56" s="83"/>
    </row>
    <row r="57" spans="1:13">
      <c r="A57" s="37">
        <v>1545</v>
      </c>
      <c r="B57" s="51" t="s">
        <v>37</v>
      </c>
      <c r="C57" s="9">
        <v>13053</v>
      </c>
      <c r="D57" s="4">
        <v>45811</v>
      </c>
      <c r="E57" s="4">
        <v>45838</v>
      </c>
      <c r="F57" s="40" t="s">
        <v>11</v>
      </c>
      <c r="G57" s="25">
        <v>1000</v>
      </c>
      <c r="H57" s="2">
        <v>1.4999999999999999E-2</v>
      </c>
      <c r="I57" s="29" t="s">
        <v>18</v>
      </c>
      <c r="J57" s="4">
        <v>45812</v>
      </c>
      <c r="K57" s="18" t="s">
        <v>1858</v>
      </c>
      <c r="L57" s="11" t="s">
        <v>1869</v>
      </c>
      <c r="M57" s="83"/>
    </row>
    <row r="58" spans="1:13">
      <c r="A58" s="37">
        <v>1546</v>
      </c>
      <c r="B58" s="51" t="s">
        <v>37</v>
      </c>
      <c r="C58" s="9">
        <v>16713</v>
      </c>
      <c r="D58" s="4">
        <v>45809</v>
      </c>
      <c r="E58" s="4">
        <v>45838</v>
      </c>
      <c r="F58" s="40" t="s">
        <v>11</v>
      </c>
      <c r="G58" s="118">
        <v>0.01</v>
      </c>
      <c r="H58" s="2">
        <v>0.03</v>
      </c>
      <c r="I58" s="29" t="s">
        <v>13</v>
      </c>
      <c r="J58" s="4">
        <v>45812</v>
      </c>
      <c r="K58" s="18" t="s">
        <v>1859</v>
      </c>
      <c r="L58" s="11" t="s">
        <v>1861</v>
      </c>
      <c r="M58" s="83" t="s">
        <v>1860</v>
      </c>
    </row>
    <row r="59" spans="1:13">
      <c r="A59" s="37">
        <v>1547</v>
      </c>
      <c r="B59" s="51" t="s">
        <v>37</v>
      </c>
      <c r="C59" s="9">
        <v>16713</v>
      </c>
      <c r="D59" s="4">
        <v>45809</v>
      </c>
      <c r="E59" s="4">
        <v>45838</v>
      </c>
      <c r="F59" s="40" t="s">
        <v>11</v>
      </c>
      <c r="G59" s="118">
        <v>0.01</v>
      </c>
      <c r="H59" s="2">
        <v>1.9E-2</v>
      </c>
      <c r="I59" s="29" t="s">
        <v>13</v>
      </c>
      <c r="J59" s="4">
        <v>45812</v>
      </c>
      <c r="K59" s="18" t="s">
        <v>1859</v>
      </c>
      <c r="L59" s="11" t="s">
        <v>1862</v>
      </c>
      <c r="M59" s="83"/>
    </row>
    <row r="60" spans="1:13">
      <c r="A60" s="37">
        <v>1548</v>
      </c>
      <c r="B60" s="51" t="s">
        <v>37</v>
      </c>
      <c r="C60" s="9">
        <v>8075</v>
      </c>
      <c r="D60" s="4">
        <v>45809</v>
      </c>
      <c r="E60" s="4">
        <v>45838</v>
      </c>
      <c r="F60" s="40" t="s">
        <v>11</v>
      </c>
      <c r="G60" s="25">
        <v>200000</v>
      </c>
      <c r="H60" s="41">
        <v>200</v>
      </c>
      <c r="I60" s="29" t="s">
        <v>32</v>
      </c>
      <c r="J60" s="4">
        <v>45812</v>
      </c>
      <c r="K60" s="18" t="s">
        <v>1863</v>
      </c>
      <c r="L60" s="11" t="s">
        <v>144</v>
      </c>
      <c r="M60" s="83"/>
    </row>
    <row r="61" spans="1:13">
      <c r="A61" s="37">
        <v>1549</v>
      </c>
      <c r="B61" s="51" t="s">
        <v>37</v>
      </c>
      <c r="C61" s="9">
        <v>3752</v>
      </c>
      <c r="D61" s="4">
        <v>45809</v>
      </c>
      <c r="E61" s="4">
        <v>45838</v>
      </c>
      <c r="F61" s="40" t="s">
        <v>11</v>
      </c>
      <c r="G61" s="25">
        <v>200000</v>
      </c>
      <c r="H61" s="41">
        <v>200</v>
      </c>
      <c r="I61" s="29" t="s">
        <v>32</v>
      </c>
      <c r="J61" s="4">
        <v>45812</v>
      </c>
      <c r="K61" s="18" t="s">
        <v>215</v>
      </c>
      <c r="L61" s="11" t="s">
        <v>144</v>
      </c>
      <c r="M61" s="83"/>
    </row>
    <row r="62" spans="1:13">
      <c r="A62" s="37">
        <v>1550</v>
      </c>
      <c r="B62" s="51" t="s">
        <v>37</v>
      </c>
      <c r="C62" s="9">
        <v>3594</v>
      </c>
      <c r="D62" s="4">
        <v>45809</v>
      </c>
      <c r="E62" s="4">
        <v>45838</v>
      </c>
      <c r="F62" s="40" t="s">
        <v>11</v>
      </c>
      <c r="G62" s="25">
        <v>200000</v>
      </c>
      <c r="H62" s="41">
        <v>200</v>
      </c>
      <c r="I62" s="29" t="s">
        <v>32</v>
      </c>
      <c r="J62" s="4">
        <v>45812</v>
      </c>
      <c r="K62" s="18" t="s">
        <v>1864</v>
      </c>
      <c r="L62" s="11" t="s">
        <v>144</v>
      </c>
      <c r="M62" s="83"/>
    </row>
    <row r="63" spans="1:13">
      <c r="A63" s="37">
        <v>1551</v>
      </c>
      <c r="B63" s="51" t="s">
        <v>37</v>
      </c>
      <c r="C63" s="9">
        <v>3443</v>
      </c>
      <c r="D63" s="4">
        <v>45809</v>
      </c>
      <c r="E63" s="4">
        <v>45838</v>
      </c>
      <c r="F63" s="40" t="s">
        <v>11</v>
      </c>
      <c r="G63" s="25">
        <v>200000</v>
      </c>
      <c r="H63" s="41">
        <v>200</v>
      </c>
      <c r="I63" s="29" t="s">
        <v>32</v>
      </c>
      <c r="J63" s="4">
        <v>45812</v>
      </c>
      <c r="K63" s="18" t="s">
        <v>1865</v>
      </c>
      <c r="L63" s="11" t="s">
        <v>144</v>
      </c>
      <c r="M63" s="83"/>
    </row>
    <row r="64" spans="1:13" ht="30">
      <c r="A64" s="37">
        <v>1552</v>
      </c>
      <c r="B64" s="51" t="s">
        <v>37</v>
      </c>
      <c r="C64" s="9" t="s">
        <v>1866</v>
      </c>
      <c r="D64" s="4">
        <v>45809</v>
      </c>
      <c r="E64" s="4">
        <v>45811</v>
      </c>
      <c r="F64" s="40" t="s">
        <v>11</v>
      </c>
      <c r="G64" s="25">
        <v>400000</v>
      </c>
      <c r="H64" s="2">
        <v>1E-3</v>
      </c>
      <c r="I64" s="29" t="s">
        <v>32</v>
      </c>
      <c r="J64" s="4">
        <v>45812</v>
      </c>
      <c r="K64" s="18" t="s">
        <v>1271</v>
      </c>
      <c r="L64" s="11" t="s">
        <v>1875</v>
      </c>
      <c r="M64" s="83"/>
    </row>
    <row r="65" spans="1:13">
      <c r="A65" s="37">
        <v>1553</v>
      </c>
      <c r="B65" s="51" t="s">
        <v>37</v>
      </c>
      <c r="C65" s="9">
        <v>17102</v>
      </c>
      <c r="D65" s="4">
        <v>45809</v>
      </c>
      <c r="E65" s="4">
        <v>45838</v>
      </c>
      <c r="F65" s="40" t="s">
        <v>11</v>
      </c>
      <c r="G65" s="118">
        <v>0.01</v>
      </c>
      <c r="H65" s="2">
        <v>2.5000000000000001E-3</v>
      </c>
      <c r="I65" s="29" t="s">
        <v>168</v>
      </c>
      <c r="J65" s="4">
        <v>45812</v>
      </c>
      <c r="K65" s="18" t="s">
        <v>1867</v>
      </c>
      <c r="L65" s="130" t="s">
        <v>107</v>
      </c>
      <c r="M65" s="83"/>
    </row>
    <row r="66" spans="1:13">
      <c r="A66" s="37">
        <v>1554</v>
      </c>
      <c r="B66" s="51" t="s">
        <v>37</v>
      </c>
      <c r="C66" s="9">
        <v>15216</v>
      </c>
      <c r="D66" s="4">
        <v>45809</v>
      </c>
      <c r="E66" s="4">
        <v>45838</v>
      </c>
      <c r="F66" s="40" t="s">
        <v>11</v>
      </c>
      <c r="G66" s="118">
        <v>0.01</v>
      </c>
      <c r="H66" s="2">
        <v>1.4999999999999999E-2</v>
      </c>
      <c r="I66" s="29" t="s">
        <v>29</v>
      </c>
      <c r="J66" s="4">
        <v>45812</v>
      </c>
      <c r="K66" s="18" t="s">
        <v>1868</v>
      </c>
      <c r="L66" s="11" t="s">
        <v>620</v>
      </c>
      <c r="M66" s="83"/>
    </row>
    <row r="67" spans="1:13">
      <c r="A67" s="37">
        <v>1555</v>
      </c>
      <c r="B67" s="51" t="s">
        <v>37</v>
      </c>
      <c r="C67" s="9">
        <v>16977</v>
      </c>
      <c r="D67" s="4">
        <v>45809</v>
      </c>
      <c r="E67" s="4">
        <v>45838</v>
      </c>
      <c r="F67" s="40" t="s">
        <v>11</v>
      </c>
      <c r="G67" s="118">
        <v>0.01</v>
      </c>
      <c r="H67" s="2">
        <v>8.0000000000000002E-3</v>
      </c>
      <c r="I67" s="29" t="s">
        <v>168</v>
      </c>
      <c r="J67" s="4">
        <v>45813</v>
      </c>
      <c r="K67" s="18" t="s">
        <v>1876</v>
      </c>
      <c r="L67" s="11" t="s">
        <v>1877</v>
      </c>
      <c r="M67" s="83"/>
    </row>
    <row r="68" spans="1:13">
      <c r="A68" s="37">
        <v>1556</v>
      </c>
      <c r="B68" s="51" t="s">
        <v>37</v>
      </c>
      <c r="C68" s="9">
        <v>16358</v>
      </c>
      <c r="D68" s="4">
        <v>45809</v>
      </c>
      <c r="E68" s="4">
        <v>45838</v>
      </c>
      <c r="F68" s="40" t="s">
        <v>11</v>
      </c>
      <c r="G68" s="118">
        <v>0.01</v>
      </c>
      <c r="H68" s="2">
        <v>6.0000000000000001E-3</v>
      </c>
      <c r="I68" s="29" t="s">
        <v>168</v>
      </c>
      <c r="J68" s="4">
        <v>45813</v>
      </c>
      <c r="K68" s="18" t="s">
        <v>1878</v>
      </c>
      <c r="L68" s="11" t="s">
        <v>107</v>
      </c>
      <c r="M68" s="83"/>
    </row>
    <row r="69" spans="1:13">
      <c r="A69" s="37">
        <v>1557</v>
      </c>
      <c r="B69" s="51" t="s">
        <v>37</v>
      </c>
      <c r="C69" s="9">
        <v>16977</v>
      </c>
      <c r="D69" s="4">
        <v>45809</v>
      </c>
      <c r="E69" s="4">
        <v>45838</v>
      </c>
      <c r="F69" s="40" t="s">
        <v>11</v>
      </c>
      <c r="G69" s="118">
        <v>0.01</v>
      </c>
      <c r="H69" s="2">
        <v>3.5000000000000003E-2</v>
      </c>
      <c r="I69" s="29" t="s">
        <v>168</v>
      </c>
      <c r="J69" s="4">
        <v>45813</v>
      </c>
      <c r="K69" s="18" t="s">
        <v>1879</v>
      </c>
      <c r="L69" s="11" t="s">
        <v>1457</v>
      </c>
      <c r="M69" s="83"/>
    </row>
    <row r="70" spans="1:13">
      <c r="A70" s="37">
        <v>1558</v>
      </c>
      <c r="B70" s="51" t="s">
        <v>37</v>
      </c>
      <c r="C70" s="9" t="s">
        <v>1881</v>
      </c>
      <c r="D70" s="4">
        <v>45810</v>
      </c>
      <c r="E70" s="4">
        <v>45838</v>
      </c>
      <c r="F70" s="40" t="s">
        <v>11</v>
      </c>
      <c r="G70" s="25">
        <v>200000</v>
      </c>
      <c r="H70" s="2">
        <v>2.5000000000000001E-3</v>
      </c>
      <c r="I70" s="29" t="s">
        <v>168</v>
      </c>
      <c r="J70" s="4">
        <v>45813</v>
      </c>
      <c r="K70" s="18" t="s">
        <v>1880</v>
      </c>
      <c r="L70" s="130" t="s">
        <v>107</v>
      </c>
      <c r="M70" s="83"/>
    </row>
    <row r="71" spans="1:13">
      <c r="A71" s="37">
        <v>1559</v>
      </c>
      <c r="B71" s="51" t="s">
        <v>37</v>
      </c>
      <c r="C71" s="9">
        <v>17225</v>
      </c>
      <c r="D71" s="4">
        <v>45809</v>
      </c>
      <c r="E71" s="4">
        <v>45838</v>
      </c>
      <c r="F71" s="40" t="s">
        <v>11</v>
      </c>
      <c r="G71" s="118">
        <v>0.01</v>
      </c>
      <c r="H71" s="2">
        <v>6.0000000000000001E-3</v>
      </c>
      <c r="I71" s="29" t="s">
        <v>20</v>
      </c>
      <c r="J71" s="4">
        <v>45813</v>
      </c>
      <c r="K71" s="18" t="s">
        <v>1882</v>
      </c>
      <c r="L71" s="130" t="s">
        <v>107</v>
      </c>
      <c r="M71" s="83"/>
    </row>
    <row r="72" spans="1:13">
      <c r="A72" s="37">
        <v>1560</v>
      </c>
      <c r="B72" s="51" t="s">
        <v>37</v>
      </c>
      <c r="C72" s="9">
        <v>12466</v>
      </c>
      <c r="D72" s="4">
        <v>45809</v>
      </c>
      <c r="E72" s="4">
        <v>45838</v>
      </c>
      <c r="F72" s="40" t="s">
        <v>11</v>
      </c>
      <c r="G72" s="118">
        <v>0.01</v>
      </c>
      <c r="H72" s="2">
        <v>0.02</v>
      </c>
      <c r="I72" s="29" t="s">
        <v>14</v>
      </c>
      <c r="J72" s="4">
        <v>45813</v>
      </c>
      <c r="K72" s="18" t="s">
        <v>1883</v>
      </c>
      <c r="L72" s="11" t="s">
        <v>399</v>
      </c>
      <c r="M72" s="83"/>
    </row>
    <row r="73" spans="1:13">
      <c r="A73" s="37">
        <v>1561</v>
      </c>
      <c r="B73" s="51" t="s">
        <v>37</v>
      </c>
      <c r="C73" s="9">
        <v>12466</v>
      </c>
      <c r="D73" s="4">
        <v>45809</v>
      </c>
      <c r="E73" s="4">
        <v>45838</v>
      </c>
      <c r="F73" s="40" t="s">
        <v>11</v>
      </c>
      <c r="G73" s="118">
        <v>0.01</v>
      </c>
      <c r="H73" s="2">
        <v>1.4999999999999999E-2</v>
      </c>
      <c r="I73" s="29" t="s">
        <v>14</v>
      </c>
      <c r="J73" s="4">
        <v>45813</v>
      </c>
      <c r="K73" s="18" t="s">
        <v>1883</v>
      </c>
      <c r="L73" s="11" t="s">
        <v>1906</v>
      </c>
      <c r="M73" s="83"/>
    </row>
    <row r="74" spans="1:13">
      <c r="A74" s="37">
        <v>1562</v>
      </c>
      <c r="B74" s="51" t="s">
        <v>37</v>
      </c>
      <c r="C74" s="9">
        <v>16709</v>
      </c>
      <c r="D74" s="4">
        <v>45809</v>
      </c>
      <c r="E74" s="4">
        <v>45838</v>
      </c>
      <c r="F74" s="40" t="s">
        <v>11</v>
      </c>
      <c r="G74" s="118">
        <v>0.01</v>
      </c>
      <c r="H74" s="2">
        <v>7.4999999999999997E-3</v>
      </c>
      <c r="I74" s="29" t="s">
        <v>14</v>
      </c>
      <c r="J74" s="4">
        <v>45813</v>
      </c>
      <c r="K74" s="18" t="s">
        <v>1883</v>
      </c>
      <c r="L74" s="130" t="s">
        <v>107</v>
      </c>
      <c r="M74" s="83"/>
    </row>
    <row r="75" spans="1:13">
      <c r="A75" s="37">
        <v>1563</v>
      </c>
      <c r="B75" s="51" t="s">
        <v>37</v>
      </c>
      <c r="C75" s="9">
        <v>16029</v>
      </c>
      <c r="D75" s="4">
        <v>45809</v>
      </c>
      <c r="E75" s="4">
        <v>45838</v>
      </c>
      <c r="F75" s="40" t="s">
        <v>11</v>
      </c>
      <c r="G75" s="118">
        <v>0.01</v>
      </c>
      <c r="H75" s="2">
        <v>7.4999999999999997E-3</v>
      </c>
      <c r="I75" s="29" t="s">
        <v>14</v>
      </c>
      <c r="J75" s="4">
        <v>45813</v>
      </c>
      <c r="K75" s="18" t="s">
        <v>1883</v>
      </c>
      <c r="L75" s="11" t="s">
        <v>1887</v>
      </c>
      <c r="M75" s="83"/>
    </row>
    <row r="76" spans="1:13">
      <c r="A76" s="37">
        <v>1564</v>
      </c>
      <c r="B76" s="51" t="s">
        <v>37</v>
      </c>
      <c r="C76" s="9">
        <v>13611</v>
      </c>
      <c r="D76" s="4">
        <v>45809</v>
      </c>
      <c r="E76" s="4">
        <v>45838</v>
      </c>
      <c r="F76" s="40" t="s">
        <v>11</v>
      </c>
      <c r="G76" s="118">
        <v>0.01</v>
      </c>
      <c r="H76" s="2">
        <v>7.4999999999999997E-3</v>
      </c>
      <c r="I76" s="29" t="s">
        <v>14</v>
      </c>
      <c r="J76" s="4">
        <v>45813</v>
      </c>
      <c r="K76" s="18" t="s">
        <v>1883</v>
      </c>
      <c r="L76" s="130" t="s">
        <v>107</v>
      </c>
      <c r="M76" s="83"/>
    </row>
    <row r="77" spans="1:13">
      <c r="A77" s="37">
        <v>1565</v>
      </c>
      <c r="B77" s="51" t="s">
        <v>37</v>
      </c>
      <c r="C77" s="9">
        <v>17514</v>
      </c>
      <c r="D77" s="4">
        <v>45809</v>
      </c>
      <c r="E77" s="4">
        <v>45838</v>
      </c>
      <c r="F77" s="40" t="s">
        <v>11</v>
      </c>
      <c r="G77" s="118">
        <v>0.01</v>
      </c>
      <c r="H77" s="2">
        <v>2.5999999999999999E-3</v>
      </c>
      <c r="I77" s="29" t="s">
        <v>25</v>
      </c>
      <c r="J77" s="4">
        <v>45813</v>
      </c>
      <c r="K77" s="18" t="s">
        <v>1883</v>
      </c>
      <c r="L77" s="11" t="s">
        <v>1854</v>
      </c>
      <c r="M77" s="83"/>
    </row>
    <row r="78" spans="1:13">
      <c r="A78" s="37">
        <v>1566</v>
      </c>
      <c r="B78" s="51" t="s">
        <v>37</v>
      </c>
      <c r="C78" s="9">
        <v>17514</v>
      </c>
      <c r="D78" s="4">
        <v>45809</v>
      </c>
      <c r="E78" s="4">
        <v>45838</v>
      </c>
      <c r="F78" s="40" t="s">
        <v>11</v>
      </c>
      <c r="G78" s="118">
        <v>0.01</v>
      </c>
      <c r="H78" s="2">
        <v>2.0999999999999999E-3</v>
      </c>
      <c r="I78" s="29" t="s">
        <v>25</v>
      </c>
      <c r="J78" s="4">
        <v>45813</v>
      </c>
      <c r="K78" s="18" t="s">
        <v>1883</v>
      </c>
      <c r="L78" s="11" t="s">
        <v>1888</v>
      </c>
      <c r="M78" s="83"/>
    </row>
    <row r="79" spans="1:13">
      <c r="A79" s="37">
        <v>1567</v>
      </c>
      <c r="B79" s="51" t="s">
        <v>37</v>
      </c>
      <c r="C79" s="9">
        <v>15980</v>
      </c>
      <c r="D79" s="4">
        <v>45809</v>
      </c>
      <c r="E79" s="4">
        <v>45838</v>
      </c>
      <c r="F79" s="40" t="s">
        <v>11</v>
      </c>
      <c r="G79" s="118">
        <v>0.01</v>
      </c>
      <c r="H79" s="2">
        <v>7.0000000000000001E-3</v>
      </c>
      <c r="I79" s="29" t="s">
        <v>20</v>
      </c>
      <c r="J79" s="4">
        <v>45813</v>
      </c>
      <c r="K79" s="18" t="s">
        <v>1884</v>
      </c>
      <c r="L79" s="11" t="s">
        <v>1889</v>
      </c>
      <c r="M79" s="83"/>
    </row>
    <row r="80" spans="1:13">
      <c r="A80" s="37">
        <v>1568</v>
      </c>
      <c r="B80" s="51" t="s">
        <v>37</v>
      </c>
      <c r="C80" s="9" t="s">
        <v>1886</v>
      </c>
      <c r="D80" s="4">
        <v>45809</v>
      </c>
      <c r="E80" s="4">
        <v>45838</v>
      </c>
      <c r="F80" s="40" t="s">
        <v>11</v>
      </c>
      <c r="G80" s="118">
        <v>0.01</v>
      </c>
      <c r="H80" s="2">
        <v>7.4999999999999997E-3</v>
      </c>
      <c r="I80" s="29" t="s">
        <v>34</v>
      </c>
      <c r="J80" s="4">
        <v>45813</v>
      </c>
      <c r="K80" s="18" t="s">
        <v>1885</v>
      </c>
      <c r="L80" s="11" t="s">
        <v>107</v>
      </c>
      <c r="M80" s="83"/>
    </row>
    <row r="81" spans="1:13">
      <c r="A81" s="37">
        <v>1569</v>
      </c>
      <c r="B81" s="51" t="s">
        <v>37</v>
      </c>
      <c r="C81" s="9">
        <v>8687</v>
      </c>
      <c r="D81" s="4">
        <v>45809</v>
      </c>
      <c r="E81" s="4">
        <v>45838</v>
      </c>
      <c r="F81" s="40" t="s">
        <v>11</v>
      </c>
      <c r="G81" s="118">
        <v>0.01</v>
      </c>
      <c r="H81" s="2">
        <v>1E-3</v>
      </c>
      <c r="I81" s="29" t="s">
        <v>46</v>
      </c>
      <c r="J81" s="4">
        <v>45814</v>
      </c>
      <c r="K81" s="18" t="s">
        <v>1891</v>
      </c>
      <c r="L81" s="11" t="s">
        <v>128</v>
      </c>
      <c r="M81" s="83"/>
    </row>
    <row r="82" spans="1:13">
      <c r="A82" s="37">
        <v>1570</v>
      </c>
      <c r="B82" s="51" t="s">
        <v>37</v>
      </c>
      <c r="C82" s="9">
        <v>10461</v>
      </c>
      <c r="D82" s="4">
        <v>45809</v>
      </c>
      <c r="E82" s="4">
        <v>45838</v>
      </c>
      <c r="F82" s="40" t="s">
        <v>11</v>
      </c>
      <c r="G82" s="118">
        <v>0.01</v>
      </c>
      <c r="H82" s="2">
        <v>0.01</v>
      </c>
      <c r="I82" s="29" t="s">
        <v>46</v>
      </c>
      <c r="J82" s="4">
        <v>45814</v>
      </c>
      <c r="K82" s="18" t="s">
        <v>1891</v>
      </c>
      <c r="L82" s="11" t="s">
        <v>540</v>
      </c>
      <c r="M82" s="83"/>
    </row>
    <row r="83" spans="1:13">
      <c r="A83" s="37">
        <v>1571</v>
      </c>
      <c r="B83" s="51" t="s">
        <v>37</v>
      </c>
      <c r="C83" s="9">
        <v>12385</v>
      </c>
      <c r="D83" s="4">
        <v>45809</v>
      </c>
      <c r="E83" s="4">
        <v>45838</v>
      </c>
      <c r="F83" s="40" t="s">
        <v>11</v>
      </c>
      <c r="G83" s="118">
        <v>0.01</v>
      </c>
      <c r="H83" s="2">
        <v>0.01</v>
      </c>
      <c r="I83" s="29" t="s">
        <v>46</v>
      </c>
      <c r="J83" s="4">
        <v>45814</v>
      </c>
      <c r="K83" s="18" t="s">
        <v>1891</v>
      </c>
      <c r="L83" s="11" t="s">
        <v>540</v>
      </c>
      <c r="M83" s="83"/>
    </row>
    <row r="84" spans="1:13">
      <c r="A84" s="37">
        <v>1572</v>
      </c>
      <c r="B84" s="51" t="s">
        <v>37</v>
      </c>
      <c r="C84" s="9">
        <v>12385</v>
      </c>
      <c r="D84" s="4">
        <v>45809</v>
      </c>
      <c r="E84" s="4">
        <v>45838</v>
      </c>
      <c r="F84" s="40" t="s">
        <v>11</v>
      </c>
      <c r="G84" s="118">
        <v>0.01</v>
      </c>
      <c r="H84" s="2">
        <v>5.0000000000000001E-3</v>
      </c>
      <c r="I84" s="29" t="s">
        <v>46</v>
      </c>
      <c r="J84" s="4">
        <v>45814</v>
      </c>
      <c r="K84" s="18" t="s">
        <v>1891</v>
      </c>
      <c r="L84" s="11" t="s">
        <v>128</v>
      </c>
      <c r="M84" s="83"/>
    </row>
    <row r="85" spans="1:13">
      <c r="A85" s="37">
        <v>1573</v>
      </c>
      <c r="B85" s="51" t="s">
        <v>37</v>
      </c>
      <c r="C85" s="9">
        <v>17743</v>
      </c>
      <c r="D85" s="4">
        <v>45809</v>
      </c>
      <c r="E85" s="4">
        <v>45838</v>
      </c>
      <c r="F85" s="40" t="s">
        <v>11</v>
      </c>
      <c r="G85" s="118">
        <v>1</v>
      </c>
      <c r="H85" s="2">
        <v>5.0000000000000001E-3</v>
      </c>
      <c r="I85" s="29" t="s">
        <v>20</v>
      </c>
      <c r="J85" s="4">
        <v>45814</v>
      </c>
      <c r="K85" s="18" t="s">
        <v>1892</v>
      </c>
      <c r="L85" s="11" t="s">
        <v>107</v>
      </c>
      <c r="M85" s="83"/>
    </row>
    <row r="86" spans="1:13">
      <c r="A86" s="37">
        <v>1574</v>
      </c>
      <c r="B86" s="51" t="s">
        <v>37</v>
      </c>
      <c r="C86" s="9" t="s">
        <v>1894</v>
      </c>
      <c r="D86" s="4">
        <v>45809</v>
      </c>
      <c r="E86" s="4">
        <v>45838</v>
      </c>
      <c r="F86" s="40" t="s">
        <v>11</v>
      </c>
      <c r="G86" s="118">
        <v>250000</v>
      </c>
      <c r="H86" s="42">
        <v>200</v>
      </c>
      <c r="I86" s="29" t="s">
        <v>32</v>
      </c>
      <c r="J86" s="4">
        <v>45814</v>
      </c>
      <c r="K86" s="18" t="s">
        <v>1893</v>
      </c>
      <c r="L86" s="11" t="s">
        <v>1895</v>
      </c>
      <c r="M86" s="83"/>
    </row>
    <row r="87" spans="1:13">
      <c r="A87" s="37">
        <v>1575</v>
      </c>
      <c r="B87" s="51" t="s">
        <v>37</v>
      </c>
      <c r="C87" s="9" t="s">
        <v>2051</v>
      </c>
      <c r="D87" s="4">
        <v>45809</v>
      </c>
      <c r="E87" s="4">
        <v>45838</v>
      </c>
      <c r="F87" s="40" t="s">
        <v>11</v>
      </c>
      <c r="G87" s="118">
        <v>0.01</v>
      </c>
      <c r="H87" s="2">
        <v>5.0000000000000001E-3</v>
      </c>
      <c r="I87" s="29" t="s">
        <v>22</v>
      </c>
      <c r="J87" s="4">
        <v>45814</v>
      </c>
      <c r="K87" s="18" t="s">
        <v>1896</v>
      </c>
      <c r="L87" s="11" t="s">
        <v>2103</v>
      </c>
      <c r="M87" s="83"/>
    </row>
    <row r="88" spans="1:13">
      <c r="A88" s="37">
        <v>1576</v>
      </c>
      <c r="B88" s="51" t="s">
        <v>37</v>
      </c>
      <c r="C88" s="9">
        <v>15980</v>
      </c>
      <c r="D88" s="4">
        <v>45809</v>
      </c>
      <c r="E88" s="4">
        <v>45838</v>
      </c>
      <c r="F88" s="40" t="s">
        <v>11</v>
      </c>
      <c r="G88" s="118">
        <v>1</v>
      </c>
      <c r="H88" s="2">
        <v>7.4999999999999997E-3</v>
      </c>
      <c r="I88" s="29" t="s">
        <v>20</v>
      </c>
      <c r="J88" s="4">
        <v>45814</v>
      </c>
      <c r="K88" s="18" t="s">
        <v>1897</v>
      </c>
      <c r="L88" s="11" t="s">
        <v>107</v>
      </c>
      <c r="M88" s="83"/>
    </row>
    <row r="89" spans="1:13">
      <c r="A89" s="37">
        <v>1577</v>
      </c>
      <c r="B89" s="51" t="s">
        <v>37</v>
      </c>
      <c r="C89" s="9">
        <v>5948</v>
      </c>
      <c r="D89" s="4">
        <v>45809</v>
      </c>
      <c r="E89" s="4">
        <v>45838</v>
      </c>
      <c r="F89" s="40" t="s">
        <v>11</v>
      </c>
      <c r="G89" s="118" t="s">
        <v>1899</v>
      </c>
      <c r="H89" s="2" t="s">
        <v>1900</v>
      </c>
      <c r="I89" s="29" t="s">
        <v>46</v>
      </c>
      <c r="J89" s="4">
        <v>45814</v>
      </c>
      <c r="K89" s="18" t="s">
        <v>1898</v>
      </c>
      <c r="L89" s="11" t="s">
        <v>2101</v>
      </c>
      <c r="M89" s="83"/>
    </row>
    <row r="90" spans="1:13">
      <c r="A90" s="37">
        <v>1578</v>
      </c>
      <c r="B90" s="51" t="s">
        <v>37</v>
      </c>
      <c r="C90" s="9">
        <v>5725</v>
      </c>
      <c r="D90" s="4">
        <v>45809</v>
      </c>
      <c r="E90" s="4">
        <v>45838</v>
      </c>
      <c r="F90" s="40" t="s">
        <v>11</v>
      </c>
      <c r="G90" s="118" t="s">
        <v>1899</v>
      </c>
      <c r="H90" s="2" t="s">
        <v>1900</v>
      </c>
      <c r="I90" s="29" t="s">
        <v>46</v>
      </c>
      <c r="J90" s="4">
        <v>45814</v>
      </c>
      <c r="K90" s="18" t="s">
        <v>1898</v>
      </c>
      <c r="L90" s="11" t="s">
        <v>2101</v>
      </c>
      <c r="M90" s="83"/>
    </row>
    <row r="91" spans="1:13">
      <c r="A91" s="37">
        <v>1579</v>
      </c>
      <c r="B91" s="51" t="s">
        <v>37</v>
      </c>
      <c r="C91" s="9">
        <v>14382</v>
      </c>
      <c r="D91" s="4">
        <v>45809</v>
      </c>
      <c r="E91" s="4">
        <v>45838</v>
      </c>
      <c r="F91" s="40" t="s">
        <v>11</v>
      </c>
      <c r="G91" s="118" t="s">
        <v>1899</v>
      </c>
      <c r="H91" s="2" t="s">
        <v>1900</v>
      </c>
      <c r="I91" s="29" t="s">
        <v>46</v>
      </c>
      <c r="J91" s="4">
        <v>45814</v>
      </c>
      <c r="K91" s="18" t="s">
        <v>1898</v>
      </c>
      <c r="L91" s="11" t="s">
        <v>2101</v>
      </c>
      <c r="M91" s="83"/>
    </row>
    <row r="92" spans="1:13">
      <c r="A92" s="37">
        <v>1580</v>
      </c>
      <c r="B92" s="51" t="s">
        <v>37</v>
      </c>
      <c r="C92" s="9">
        <v>10400</v>
      </c>
      <c r="D92" s="4">
        <v>45809</v>
      </c>
      <c r="E92" s="4">
        <v>45838</v>
      </c>
      <c r="F92" s="40" t="s">
        <v>11</v>
      </c>
      <c r="G92" s="118" t="s">
        <v>1899</v>
      </c>
      <c r="H92" s="2" t="s">
        <v>1901</v>
      </c>
      <c r="I92" s="29" t="s">
        <v>46</v>
      </c>
      <c r="J92" s="4">
        <v>45814</v>
      </c>
      <c r="K92" s="18" t="s">
        <v>1898</v>
      </c>
      <c r="L92" s="11" t="s">
        <v>2101</v>
      </c>
      <c r="M92" s="83"/>
    </row>
    <row r="93" spans="1:13">
      <c r="A93" s="37">
        <v>1581</v>
      </c>
      <c r="B93" s="51" t="s">
        <v>37</v>
      </c>
      <c r="C93" s="9">
        <v>5596</v>
      </c>
      <c r="D93" s="4">
        <v>45809</v>
      </c>
      <c r="E93" s="4">
        <v>45838</v>
      </c>
      <c r="F93" s="40" t="s">
        <v>11</v>
      </c>
      <c r="G93" s="118" t="s">
        <v>1899</v>
      </c>
      <c r="H93" s="2" t="s">
        <v>1901</v>
      </c>
      <c r="I93" s="29" t="s">
        <v>46</v>
      </c>
      <c r="J93" s="4">
        <v>45814</v>
      </c>
      <c r="K93" s="18" t="s">
        <v>1898</v>
      </c>
      <c r="L93" s="11" t="s">
        <v>2101</v>
      </c>
      <c r="M93" s="83"/>
    </row>
    <row r="94" spans="1:13">
      <c r="A94" s="37">
        <v>1582</v>
      </c>
      <c r="B94" s="51" t="s">
        <v>37</v>
      </c>
      <c r="C94" s="9">
        <v>6359</v>
      </c>
      <c r="D94" s="4">
        <v>45809</v>
      </c>
      <c r="E94" s="4">
        <v>45838</v>
      </c>
      <c r="F94" s="40" t="s">
        <v>11</v>
      </c>
      <c r="G94" s="118" t="s">
        <v>1899</v>
      </c>
      <c r="H94" s="2" t="s">
        <v>1901</v>
      </c>
      <c r="I94" s="29" t="s">
        <v>46</v>
      </c>
      <c r="J94" s="4">
        <v>45814</v>
      </c>
      <c r="K94" s="18" t="s">
        <v>1898</v>
      </c>
      <c r="L94" s="11" t="s">
        <v>2101</v>
      </c>
      <c r="M94" s="83"/>
    </row>
    <row r="95" spans="1:13">
      <c r="A95" s="37">
        <v>1583</v>
      </c>
      <c r="B95" s="51" t="s">
        <v>37</v>
      </c>
      <c r="C95" s="9">
        <v>5023</v>
      </c>
      <c r="D95" s="4">
        <v>45809</v>
      </c>
      <c r="E95" s="4">
        <v>45838</v>
      </c>
      <c r="F95" s="40" t="s">
        <v>11</v>
      </c>
      <c r="G95" s="118" t="s">
        <v>1899</v>
      </c>
      <c r="H95" s="2" t="s">
        <v>1901</v>
      </c>
      <c r="I95" s="29" t="s">
        <v>46</v>
      </c>
      <c r="J95" s="4">
        <v>45814</v>
      </c>
      <c r="K95" s="18" t="s">
        <v>1898</v>
      </c>
      <c r="L95" s="11" t="s">
        <v>2101</v>
      </c>
      <c r="M95" s="83"/>
    </row>
    <row r="96" spans="1:13">
      <c r="A96" s="37">
        <v>1584</v>
      </c>
      <c r="B96" s="51" t="s">
        <v>37</v>
      </c>
      <c r="C96" s="9">
        <v>12147</v>
      </c>
      <c r="D96" s="4">
        <v>45809</v>
      </c>
      <c r="E96" s="4">
        <v>45838</v>
      </c>
      <c r="F96" s="40" t="s">
        <v>11</v>
      </c>
      <c r="G96" s="118" t="s">
        <v>1899</v>
      </c>
      <c r="H96" s="2" t="s">
        <v>1901</v>
      </c>
      <c r="I96" s="29" t="s">
        <v>46</v>
      </c>
      <c r="J96" s="4">
        <v>45814</v>
      </c>
      <c r="K96" s="18" t="s">
        <v>1898</v>
      </c>
      <c r="L96" s="11" t="s">
        <v>2101</v>
      </c>
      <c r="M96" s="83"/>
    </row>
    <row r="97" spans="1:13">
      <c r="A97" s="37">
        <v>1585</v>
      </c>
      <c r="B97" s="51" t="s">
        <v>37</v>
      </c>
      <c r="C97" s="9">
        <v>3741</v>
      </c>
      <c r="D97" s="4">
        <v>45809</v>
      </c>
      <c r="E97" s="4">
        <v>45838</v>
      </c>
      <c r="F97" s="40" t="s">
        <v>11</v>
      </c>
      <c r="G97" s="118" t="s">
        <v>1899</v>
      </c>
      <c r="H97" s="2" t="s">
        <v>1900</v>
      </c>
      <c r="I97" s="29" t="s">
        <v>46</v>
      </c>
      <c r="J97" s="4">
        <v>45814</v>
      </c>
      <c r="K97" s="18" t="s">
        <v>1898</v>
      </c>
      <c r="L97" s="11" t="s">
        <v>2101</v>
      </c>
      <c r="M97" s="83"/>
    </row>
    <row r="98" spans="1:13">
      <c r="A98" s="37">
        <v>1586</v>
      </c>
      <c r="B98" s="51" t="s">
        <v>37</v>
      </c>
      <c r="C98" s="9">
        <v>5844</v>
      </c>
      <c r="D98" s="4">
        <v>45809</v>
      </c>
      <c r="E98" s="4">
        <v>45838</v>
      </c>
      <c r="F98" s="40" t="s">
        <v>11</v>
      </c>
      <c r="G98" s="118" t="s">
        <v>1899</v>
      </c>
      <c r="H98" s="2" t="s">
        <v>1900</v>
      </c>
      <c r="I98" s="29" t="s">
        <v>46</v>
      </c>
      <c r="J98" s="4">
        <v>45814</v>
      </c>
      <c r="K98" s="18" t="s">
        <v>1898</v>
      </c>
      <c r="L98" s="11" t="s">
        <v>2101</v>
      </c>
      <c r="M98" s="83"/>
    </row>
    <row r="99" spans="1:13">
      <c r="A99" s="37">
        <v>1587</v>
      </c>
      <c r="B99" s="51" t="s">
        <v>37</v>
      </c>
      <c r="C99" s="9">
        <v>4723</v>
      </c>
      <c r="D99" s="4">
        <v>45809</v>
      </c>
      <c r="E99" s="4">
        <v>45838</v>
      </c>
      <c r="F99" s="40" t="s">
        <v>11</v>
      </c>
      <c r="G99" s="118">
        <v>80000</v>
      </c>
      <c r="H99" s="2">
        <v>2E-3</v>
      </c>
      <c r="I99" s="29" t="s">
        <v>16</v>
      </c>
      <c r="J99" s="4">
        <v>45817</v>
      </c>
      <c r="K99" s="18" t="s">
        <v>1902</v>
      </c>
      <c r="L99" s="11" t="s">
        <v>107</v>
      </c>
      <c r="M99" s="83"/>
    </row>
    <row r="100" spans="1:13">
      <c r="A100" s="37">
        <v>1588</v>
      </c>
      <c r="B100" s="51" t="s">
        <v>37</v>
      </c>
      <c r="C100" s="9">
        <v>11730</v>
      </c>
      <c r="D100" s="4">
        <v>45809</v>
      </c>
      <c r="E100" s="4">
        <v>45838</v>
      </c>
      <c r="F100" s="40" t="s">
        <v>11</v>
      </c>
      <c r="G100" s="118">
        <v>50000</v>
      </c>
      <c r="H100" s="2">
        <v>5.0000000000000001E-3</v>
      </c>
      <c r="I100" s="29" t="s">
        <v>14</v>
      </c>
      <c r="J100" s="4">
        <v>45817</v>
      </c>
      <c r="K100" s="18" t="s">
        <v>1903</v>
      </c>
      <c r="L100" s="11" t="s">
        <v>2122</v>
      </c>
      <c r="M100" s="83"/>
    </row>
    <row r="101" spans="1:13">
      <c r="A101" s="37">
        <v>1589</v>
      </c>
      <c r="B101" s="51" t="s">
        <v>37</v>
      </c>
      <c r="C101" s="9">
        <v>17514</v>
      </c>
      <c r="D101" s="4">
        <v>45809</v>
      </c>
      <c r="E101" s="4">
        <v>45838</v>
      </c>
      <c r="F101" s="40" t="s">
        <v>11</v>
      </c>
      <c r="G101" s="118">
        <v>0.01</v>
      </c>
      <c r="H101" s="2">
        <v>5.0000000000000001E-3</v>
      </c>
      <c r="I101" s="29" t="s">
        <v>25</v>
      </c>
      <c r="J101" s="4">
        <v>45817</v>
      </c>
      <c r="K101" s="18" t="s">
        <v>1904</v>
      </c>
      <c r="L101" s="11" t="s">
        <v>1905</v>
      </c>
      <c r="M101" s="83"/>
    </row>
    <row r="102" spans="1:13">
      <c r="A102" s="37">
        <v>1590</v>
      </c>
      <c r="B102" s="51" t="s">
        <v>37</v>
      </c>
      <c r="C102" s="9">
        <v>14722</v>
      </c>
      <c r="D102" s="4">
        <v>45809</v>
      </c>
      <c r="E102" s="4">
        <v>45838</v>
      </c>
      <c r="F102" s="40" t="s">
        <v>11</v>
      </c>
      <c r="G102" s="118">
        <v>0.01</v>
      </c>
      <c r="H102" s="2">
        <v>5.0000000000000001E-3</v>
      </c>
      <c r="I102" s="29" t="s">
        <v>25</v>
      </c>
      <c r="J102" s="4">
        <v>45817</v>
      </c>
      <c r="K102" s="18" t="s">
        <v>1904</v>
      </c>
      <c r="L102" s="11" t="s">
        <v>1905</v>
      </c>
      <c r="M102" s="83"/>
    </row>
    <row r="103" spans="1:13">
      <c r="A103" s="37">
        <v>1591</v>
      </c>
      <c r="B103" s="51" t="s">
        <v>37</v>
      </c>
      <c r="C103" s="9">
        <v>6887</v>
      </c>
      <c r="D103" s="4">
        <v>45809</v>
      </c>
      <c r="E103" s="4">
        <v>45838</v>
      </c>
      <c r="F103" s="40" t="s">
        <v>11</v>
      </c>
      <c r="G103" s="118">
        <v>100000</v>
      </c>
      <c r="H103" s="2">
        <v>5.0000000000000001E-3</v>
      </c>
      <c r="I103" s="29" t="s">
        <v>18</v>
      </c>
      <c r="J103" s="4">
        <v>45817</v>
      </c>
      <c r="K103" s="18" t="s">
        <v>1907</v>
      </c>
      <c r="L103" s="11" t="s">
        <v>1401</v>
      </c>
      <c r="M103" s="83"/>
    </row>
    <row r="104" spans="1:13">
      <c r="A104" s="37">
        <v>1592</v>
      </c>
      <c r="B104" s="51" t="s">
        <v>37</v>
      </c>
      <c r="C104" s="9">
        <v>6869</v>
      </c>
      <c r="D104" s="4">
        <v>45809</v>
      </c>
      <c r="E104" s="4">
        <v>45838</v>
      </c>
      <c r="F104" s="40" t="s">
        <v>11</v>
      </c>
      <c r="G104" s="118">
        <v>500000</v>
      </c>
      <c r="H104" s="2">
        <v>5.0000000000000001E-3</v>
      </c>
      <c r="I104" s="29" t="s">
        <v>18</v>
      </c>
      <c r="J104" s="4">
        <v>45818</v>
      </c>
      <c r="K104" s="18" t="s">
        <v>1908</v>
      </c>
      <c r="L104" s="11" t="s">
        <v>1909</v>
      </c>
      <c r="M104" s="83"/>
    </row>
    <row r="105" spans="1:13">
      <c r="A105" s="37">
        <v>1593</v>
      </c>
      <c r="B105" s="51" t="s">
        <v>37</v>
      </c>
      <c r="C105" s="9">
        <v>15078</v>
      </c>
      <c r="D105" s="4">
        <v>45809</v>
      </c>
      <c r="E105" s="4">
        <v>45838</v>
      </c>
      <c r="F105" s="40" t="s">
        <v>11</v>
      </c>
      <c r="G105" s="118">
        <v>0.01</v>
      </c>
      <c r="H105" s="2">
        <v>8.9999999999999993E-3</v>
      </c>
      <c r="I105" s="29" t="s">
        <v>32</v>
      </c>
      <c r="J105" s="4">
        <v>45818</v>
      </c>
      <c r="K105" s="18" t="s">
        <v>1910</v>
      </c>
      <c r="L105" s="11" t="s">
        <v>1911</v>
      </c>
      <c r="M105" s="83"/>
    </row>
    <row r="106" spans="1:13">
      <c r="A106" s="37">
        <v>1594</v>
      </c>
      <c r="B106" s="51" t="s">
        <v>37</v>
      </c>
      <c r="C106" s="9" t="s">
        <v>1915</v>
      </c>
      <c r="D106" s="4">
        <v>45809</v>
      </c>
      <c r="E106" s="4">
        <v>45838</v>
      </c>
      <c r="F106" s="40" t="s">
        <v>11</v>
      </c>
      <c r="G106" s="118">
        <v>1000</v>
      </c>
      <c r="H106" s="2">
        <v>2.5000000000000001E-3</v>
      </c>
      <c r="I106" s="29" t="s">
        <v>12</v>
      </c>
      <c r="J106" s="4">
        <v>45818</v>
      </c>
      <c r="K106" s="18" t="s">
        <v>1914</v>
      </c>
      <c r="L106" s="11" t="s">
        <v>1916</v>
      </c>
      <c r="M106" s="83"/>
    </row>
    <row r="107" spans="1:13">
      <c r="A107" s="37">
        <v>1595</v>
      </c>
      <c r="B107" s="51" t="s">
        <v>37</v>
      </c>
      <c r="C107" s="9">
        <v>10649</v>
      </c>
      <c r="D107" s="4">
        <v>45809</v>
      </c>
      <c r="E107" s="4">
        <v>45838</v>
      </c>
      <c r="F107" s="40" t="s">
        <v>11</v>
      </c>
      <c r="G107" s="118">
        <v>100000</v>
      </c>
      <c r="H107" s="2">
        <v>3.0000000000000001E-3</v>
      </c>
      <c r="I107" s="29" t="s">
        <v>12</v>
      </c>
      <c r="J107" s="4">
        <v>45818</v>
      </c>
      <c r="K107" s="18" t="s">
        <v>1914</v>
      </c>
      <c r="L107" s="11" t="s">
        <v>2115</v>
      </c>
      <c r="M107" s="83"/>
    </row>
    <row r="108" spans="1:13">
      <c r="A108" s="37">
        <v>1596</v>
      </c>
      <c r="B108" s="51" t="s">
        <v>37</v>
      </c>
      <c r="C108" s="9">
        <v>17253</v>
      </c>
      <c r="D108" s="4">
        <v>45809</v>
      </c>
      <c r="E108" s="4">
        <v>45838</v>
      </c>
      <c r="F108" s="40" t="s">
        <v>11</v>
      </c>
      <c r="G108" s="118">
        <v>1000</v>
      </c>
      <c r="H108" s="2">
        <v>7.4999999999999997E-3</v>
      </c>
      <c r="I108" s="29" t="s">
        <v>12</v>
      </c>
      <c r="J108" s="4">
        <v>45818</v>
      </c>
      <c r="K108" s="18" t="s">
        <v>1914</v>
      </c>
      <c r="L108" s="11" t="s">
        <v>107</v>
      </c>
      <c r="M108" s="83"/>
    </row>
    <row r="109" spans="1:13">
      <c r="A109" s="37">
        <v>1597</v>
      </c>
      <c r="B109" s="51" t="s">
        <v>37</v>
      </c>
      <c r="C109" s="9">
        <v>6843</v>
      </c>
      <c r="D109" s="4">
        <v>45809</v>
      </c>
      <c r="E109" s="4">
        <v>45838</v>
      </c>
      <c r="F109" s="40" t="s">
        <v>11</v>
      </c>
      <c r="G109" s="118">
        <v>0.01</v>
      </c>
      <c r="H109" s="2">
        <v>7.0000000000000001E-3</v>
      </c>
      <c r="I109" s="29" t="s">
        <v>17</v>
      </c>
      <c r="J109" s="4">
        <v>45818</v>
      </c>
      <c r="K109" s="18" t="s">
        <v>1921</v>
      </c>
      <c r="L109" s="11" t="s">
        <v>1922</v>
      </c>
      <c r="M109" s="83"/>
    </row>
    <row r="110" spans="1:13">
      <c r="A110" s="37">
        <v>1598</v>
      </c>
      <c r="B110" s="51" t="s">
        <v>37</v>
      </c>
      <c r="C110" s="9">
        <v>6843</v>
      </c>
      <c r="D110" s="4">
        <v>45809</v>
      </c>
      <c r="E110" s="4">
        <v>45838</v>
      </c>
      <c r="F110" s="40" t="s">
        <v>11</v>
      </c>
      <c r="G110" s="118">
        <v>0.01</v>
      </c>
      <c r="H110" s="2">
        <v>2E-3</v>
      </c>
      <c r="I110" s="29" t="s">
        <v>17</v>
      </c>
      <c r="J110" s="4">
        <v>45818</v>
      </c>
      <c r="K110" s="18" t="s">
        <v>1921</v>
      </c>
      <c r="L110" s="11" t="s">
        <v>1798</v>
      </c>
      <c r="M110" s="83"/>
    </row>
    <row r="111" spans="1:13">
      <c r="A111" s="37">
        <v>1599</v>
      </c>
      <c r="B111" s="51" t="s">
        <v>37</v>
      </c>
      <c r="C111" s="9" t="s">
        <v>1736</v>
      </c>
      <c r="D111" s="4">
        <v>45809</v>
      </c>
      <c r="E111" s="4">
        <v>45838</v>
      </c>
      <c r="F111" s="40" t="s">
        <v>11</v>
      </c>
      <c r="G111" s="118">
        <v>0.01</v>
      </c>
      <c r="H111" s="2">
        <v>5.0000000000000001E-3</v>
      </c>
      <c r="I111" s="29" t="s">
        <v>32</v>
      </c>
      <c r="J111" s="4">
        <v>45818</v>
      </c>
      <c r="K111" s="18" t="s">
        <v>1735</v>
      </c>
      <c r="L111" s="11" t="s">
        <v>2104</v>
      </c>
      <c r="M111" s="83"/>
    </row>
    <row r="112" spans="1:13">
      <c r="A112" s="37">
        <v>1600</v>
      </c>
      <c r="B112" s="51" t="s">
        <v>37</v>
      </c>
      <c r="C112" s="9">
        <v>15663</v>
      </c>
      <c r="D112" s="4">
        <v>45809</v>
      </c>
      <c r="E112" s="4">
        <v>45838</v>
      </c>
      <c r="F112" s="40" t="s">
        <v>11</v>
      </c>
      <c r="G112" s="118">
        <v>1</v>
      </c>
      <c r="H112" s="2">
        <v>5.0000000000000001E-3</v>
      </c>
      <c r="I112" s="29" t="s">
        <v>19</v>
      </c>
      <c r="J112" s="4">
        <v>45819</v>
      </c>
      <c r="K112" s="18" t="s">
        <v>1923</v>
      </c>
      <c r="L112" s="11" t="s">
        <v>2116</v>
      </c>
      <c r="M112" s="83"/>
    </row>
    <row r="113" spans="1:13">
      <c r="A113" s="37">
        <v>1601</v>
      </c>
      <c r="B113" s="51" t="s">
        <v>37</v>
      </c>
      <c r="C113" s="9">
        <v>4079</v>
      </c>
      <c r="D113" s="4">
        <v>45809</v>
      </c>
      <c r="E113" s="4">
        <v>45838</v>
      </c>
      <c r="F113" s="40" t="s">
        <v>11</v>
      </c>
      <c r="G113" s="118">
        <v>0.01</v>
      </c>
      <c r="H113" s="2">
        <v>7.4999999999999997E-3</v>
      </c>
      <c r="I113" s="29" t="s">
        <v>17</v>
      </c>
      <c r="J113" s="4">
        <v>45819</v>
      </c>
      <c r="K113" s="18" t="s">
        <v>1924</v>
      </c>
      <c r="L113" s="11" t="s">
        <v>107</v>
      </c>
      <c r="M113" s="83"/>
    </row>
    <row r="114" spans="1:13">
      <c r="A114" s="37">
        <v>1602</v>
      </c>
      <c r="B114" s="51" t="s">
        <v>37</v>
      </c>
      <c r="C114" s="9" t="s">
        <v>1926</v>
      </c>
      <c r="D114" s="4">
        <v>45809</v>
      </c>
      <c r="E114" s="4">
        <v>45838</v>
      </c>
      <c r="F114" s="40" t="s">
        <v>11</v>
      </c>
      <c r="G114" s="118">
        <v>1</v>
      </c>
      <c r="H114" s="2">
        <v>5.0000000000000001E-3</v>
      </c>
      <c r="I114" s="29" t="s">
        <v>20</v>
      </c>
      <c r="J114" s="4">
        <v>45819</v>
      </c>
      <c r="K114" s="18" t="s">
        <v>1925</v>
      </c>
      <c r="L114" s="11" t="s">
        <v>2107</v>
      </c>
      <c r="M114" s="83"/>
    </row>
    <row r="115" spans="1:13">
      <c r="A115" s="37">
        <v>1603</v>
      </c>
      <c r="B115" s="51" t="s">
        <v>37</v>
      </c>
      <c r="C115" s="9">
        <v>3121</v>
      </c>
      <c r="D115" s="4">
        <v>45809</v>
      </c>
      <c r="E115" s="4">
        <v>45838</v>
      </c>
      <c r="F115" s="40" t="s">
        <v>11</v>
      </c>
      <c r="G115" s="118">
        <v>0.01</v>
      </c>
      <c r="H115" s="2">
        <v>2E-3</v>
      </c>
      <c r="I115" s="29" t="s">
        <v>12</v>
      </c>
      <c r="J115" s="4">
        <v>45819</v>
      </c>
      <c r="K115" s="18" t="s">
        <v>1927</v>
      </c>
      <c r="L115" s="11" t="s">
        <v>716</v>
      </c>
      <c r="M115" s="83"/>
    </row>
    <row r="116" spans="1:13">
      <c r="A116" s="37">
        <v>1604</v>
      </c>
      <c r="B116" s="51" t="s">
        <v>37</v>
      </c>
      <c r="C116" s="9">
        <v>13368</v>
      </c>
      <c r="D116" s="4">
        <v>45809</v>
      </c>
      <c r="E116" s="4">
        <v>45838</v>
      </c>
      <c r="F116" s="40" t="s">
        <v>11</v>
      </c>
      <c r="G116" s="118">
        <v>0.01</v>
      </c>
      <c r="H116" s="2">
        <v>5.0000000000000001E-3</v>
      </c>
      <c r="I116" s="29" t="s">
        <v>32</v>
      </c>
      <c r="J116" s="4">
        <v>45819</v>
      </c>
      <c r="K116" s="18" t="s">
        <v>1928</v>
      </c>
      <c r="L116" s="11" t="s">
        <v>107</v>
      </c>
      <c r="M116" s="83"/>
    </row>
    <row r="117" spans="1:13">
      <c r="A117" s="37">
        <v>1605</v>
      </c>
      <c r="B117" s="51" t="s">
        <v>37</v>
      </c>
      <c r="C117" s="9">
        <v>13368</v>
      </c>
      <c r="D117" s="4">
        <v>45809</v>
      </c>
      <c r="E117" s="4">
        <v>45838</v>
      </c>
      <c r="F117" s="40" t="s">
        <v>11</v>
      </c>
      <c r="G117" s="118">
        <v>0.01</v>
      </c>
      <c r="H117" s="2">
        <v>1.4999999999999999E-2</v>
      </c>
      <c r="I117" s="29" t="s">
        <v>32</v>
      </c>
      <c r="J117" s="4">
        <v>45819</v>
      </c>
      <c r="K117" s="18" t="s">
        <v>1928</v>
      </c>
      <c r="L117" s="11" t="s">
        <v>2119</v>
      </c>
      <c r="M117" s="83"/>
    </row>
    <row r="118" spans="1:13" ht="45">
      <c r="A118" s="37">
        <v>1606</v>
      </c>
      <c r="B118" s="51" t="s">
        <v>37</v>
      </c>
      <c r="C118" s="9">
        <v>13368</v>
      </c>
      <c r="D118" s="4">
        <v>45809</v>
      </c>
      <c r="E118" s="4">
        <v>45838</v>
      </c>
      <c r="F118" s="40" t="s">
        <v>11</v>
      </c>
      <c r="G118" s="118">
        <v>0.01</v>
      </c>
      <c r="H118" s="2">
        <v>5.0000000000000001E-3</v>
      </c>
      <c r="I118" s="29" t="s">
        <v>32</v>
      </c>
      <c r="J118" s="4">
        <v>45819</v>
      </c>
      <c r="K118" s="18" t="s">
        <v>1928</v>
      </c>
      <c r="L118" s="11" t="s">
        <v>1933</v>
      </c>
      <c r="M118" s="83"/>
    </row>
    <row r="119" spans="1:13">
      <c r="A119" s="37">
        <v>1607</v>
      </c>
      <c r="B119" s="51" t="s">
        <v>37</v>
      </c>
      <c r="C119" s="9">
        <v>13368</v>
      </c>
      <c r="D119" s="4">
        <v>45809</v>
      </c>
      <c r="E119" s="4">
        <v>45838</v>
      </c>
      <c r="F119" s="40" t="s">
        <v>11</v>
      </c>
      <c r="G119" s="118">
        <v>0.01</v>
      </c>
      <c r="H119" s="2">
        <v>1.4999999999999999E-2</v>
      </c>
      <c r="I119" s="29" t="s">
        <v>32</v>
      </c>
      <c r="J119" s="4">
        <v>45819</v>
      </c>
      <c r="K119" s="18" t="s">
        <v>1928</v>
      </c>
      <c r="L119" s="11" t="s">
        <v>1680</v>
      </c>
      <c r="M119" s="83"/>
    </row>
    <row r="120" spans="1:13">
      <c r="A120" s="37">
        <v>1608</v>
      </c>
      <c r="B120" s="51" t="s">
        <v>37</v>
      </c>
      <c r="C120" s="9">
        <v>15869</v>
      </c>
      <c r="D120" s="4">
        <v>45809</v>
      </c>
      <c r="E120" s="4">
        <v>45838</v>
      </c>
      <c r="F120" s="40" t="s">
        <v>11</v>
      </c>
      <c r="G120" s="118">
        <v>0.01</v>
      </c>
      <c r="H120" s="2">
        <v>0.01</v>
      </c>
      <c r="I120" s="29" t="s">
        <v>32</v>
      </c>
      <c r="J120" s="4">
        <v>45819</v>
      </c>
      <c r="K120" s="18" t="s">
        <v>1929</v>
      </c>
      <c r="L120" s="11" t="s">
        <v>1934</v>
      </c>
      <c r="M120" s="83"/>
    </row>
    <row r="121" spans="1:13">
      <c r="A121" s="37">
        <v>1609</v>
      </c>
      <c r="B121" s="51" t="s">
        <v>37</v>
      </c>
      <c r="C121" s="9">
        <v>15869</v>
      </c>
      <c r="D121" s="4">
        <v>45809</v>
      </c>
      <c r="E121" s="4">
        <v>45838</v>
      </c>
      <c r="F121" s="40" t="s">
        <v>11</v>
      </c>
      <c r="G121" s="118">
        <v>0.01</v>
      </c>
      <c r="H121" s="2">
        <v>0.01</v>
      </c>
      <c r="I121" s="29" t="s">
        <v>32</v>
      </c>
      <c r="J121" s="4">
        <v>45819</v>
      </c>
      <c r="K121" s="18" t="s">
        <v>1929</v>
      </c>
      <c r="L121" s="11" t="s">
        <v>1930</v>
      </c>
      <c r="M121" s="83"/>
    </row>
    <row r="122" spans="1:13">
      <c r="A122" s="37">
        <v>1610</v>
      </c>
      <c r="B122" s="51" t="s">
        <v>37</v>
      </c>
      <c r="C122" s="9">
        <v>6869</v>
      </c>
      <c r="D122" s="4">
        <v>45809</v>
      </c>
      <c r="E122" s="4">
        <v>45838</v>
      </c>
      <c r="F122" s="40" t="s">
        <v>11</v>
      </c>
      <c r="G122" s="118">
        <v>50000</v>
      </c>
      <c r="H122" s="2">
        <v>3.0000000000000001E-3</v>
      </c>
      <c r="I122" s="29" t="s">
        <v>18</v>
      </c>
      <c r="J122" s="4">
        <v>45819</v>
      </c>
      <c r="K122" s="18" t="s">
        <v>1931</v>
      </c>
      <c r="L122" s="11" t="s">
        <v>1078</v>
      </c>
      <c r="M122" s="83"/>
    </row>
    <row r="123" spans="1:13">
      <c r="A123" s="37">
        <v>1611</v>
      </c>
      <c r="B123" s="51" t="s">
        <v>37</v>
      </c>
      <c r="C123" s="9">
        <v>6869</v>
      </c>
      <c r="D123" s="4">
        <v>45809</v>
      </c>
      <c r="E123" s="4">
        <v>45838</v>
      </c>
      <c r="F123" s="40" t="s">
        <v>11</v>
      </c>
      <c r="G123" s="118">
        <v>100000</v>
      </c>
      <c r="H123" s="2">
        <v>5.0000000000000001E-3</v>
      </c>
      <c r="I123" s="29" t="s">
        <v>18</v>
      </c>
      <c r="J123" s="4">
        <v>45819</v>
      </c>
      <c r="K123" s="18" t="s">
        <v>1931</v>
      </c>
      <c r="L123" s="11" t="s">
        <v>1078</v>
      </c>
      <c r="M123" s="83"/>
    </row>
    <row r="124" spans="1:13">
      <c r="A124" s="37">
        <v>1612</v>
      </c>
      <c r="B124" s="51" t="s">
        <v>37</v>
      </c>
      <c r="C124" s="9">
        <v>13428</v>
      </c>
      <c r="D124" s="4">
        <v>45809</v>
      </c>
      <c r="E124" s="4">
        <v>45838</v>
      </c>
      <c r="F124" s="40" t="s">
        <v>11</v>
      </c>
      <c r="G124" s="118">
        <v>50000</v>
      </c>
      <c r="H124" s="2">
        <v>2E-3</v>
      </c>
      <c r="I124" s="29" t="s">
        <v>18</v>
      </c>
      <c r="J124" s="4">
        <v>45819</v>
      </c>
      <c r="K124" s="18" t="s">
        <v>1932</v>
      </c>
      <c r="L124" s="11" t="s">
        <v>144</v>
      </c>
      <c r="M124" s="83"/>
    </row>
    <row r="125" spans="1:13">
      <c r="A125" s="37">
        <v>1613</v>
      </c>
      <c r="B125" s="51" t="s">
        <v>37</v>
      </c>
      <c r="C125" s="9">
        <v>13718</v>
      </c>
      <c r="D125" s="4">
        <v>45809</v>
      </c>
      <c r="E125" s="4">
        <v>45838</v>
      </c>
      <c r="F125" s="40" t="s">
        <v>11</v>
      </c>
      <c r="G125" s="118">
        <v>1</v>
      </c>
      <c r="H125" s="2">
        <v>3.5000000000000003E-2</v>
      </c>
      <c r="I125" s="29" t="s">
        <v>32</v>
      </c>
      <c r="J125" s="4">
        <v>45819</v>
      </c>
      <c r="K125" s="18" t="s">
        <v>1917</v>
      </c>
      <c r="L125" s="11" t="s">
        <v>1918</v>
      </c>
      <c r="M125" s="83"/>
    </row>
    <row r="126" spans="1:13">
      <c r="A126" s="37">
        <v>1614</v>
      </c>
      <c r="B126" s="51" t="s">
        <v>37</v>
      </c>
      <c r="C126" s="9">
        <v>1942</v>
      </c>
      <c r="D126" s="4">
        <v>45809</v>
      </c>
      <c r="E126" s="4">
        <v>45838</v>
      </c>
      <c r="F126" s="40" t="s">
        <v>11</v>
      </c>
      <c r="G126" s="118">
        <v>1000</v>
      </c>
      <c r="H126" s="2">
        <v>5.0000000000000001E-3</v>
      </c>
      <c r="I126" s="29" t="s">
        <v>18</v>
      </c>
      <c r="J126" s="4">
        <v>45819</v>
      </c>
      <c r="K126" s="18" t="s">
        <v>1937</v>
      </c>
      <c r="L126" s="11" t="s">
        <v>1938</v>
      </c>
      <c r="M126" s="83"/>
    </row>
    <row r="127" spans="1:13">
      <c r="A127" s="37">
        <v>1615</v>
      </c>
      <c r="B127" s="51" t="s">
        <v>37</v>
      </c>
      <c r="C127" s="9">
        <v>2245</v>
      </c>
      <c r="D127" s="4">
        <v>45809</v>
      </c>
      <c r="E127" s="4">
        <v>45838</v>
      </c>
      <c r="F127" s="40" t="s">
        <v>11</v>
      </c>
      <c r="G127" s="118">
        <v>50000</v>
      </c>
      <c r="H127" s="2">
        <v>3.0000000000000001E-3</v>
      </c>
      <c r="I127" s="29" t="s">
        <v>18</v>
      </c>
      <c r="J127" s="4">
        <v>45820</v>
      </c>
      <c r="K127" s="18" t="s">
        <v>1939</v>
      </c>
      <c r="L127" s="11" t="s">
        <v>1948</v>
      </c>
      <c r="M127" s="83"/>
    </row>
    <row r="128" spans="1:13">
      <c r="A128" s="37">
        <v>1616</v>
      </c>
      <c r="B128" s="51" t="s">
        <v>37</v>
      </c>
      <c r="C128" s="9" t="s">
        <v>1691</v>
      </c>
      <c r="D128" s="4">
        <v>45809</v>
      </c>
      <c r="E128" s="4">
        <v>45838</v>
      </c>
      <c r="F128" s="40" t="s">
        <v>11</v>
      </c>
      <c r="G128" s="118">
        <v>0.01</v>
      </c>
      <c r="H128" s="2">
        <v>5.0000000000000001E-3</v>
      </c>
      <c r="I128" s="29" t="s">
        <v>32</v>
      </c>
      <c r="J128" s="4">
        <v>45820</v>
      </c>
      <c r="K128" s="18" t="s">
        <v>1940</v>
      </c>
      <c r="L128" s="11" t="s">
        <v>2108</v>
      </c>
      <c r="M128" s="83"/>
    </row>
    <row r="129" spans="1:13">
      <c r="A129" s="37">
        <v>1617</v>
      </c>
      <c r="B129" s="51" t="s">
        <v>37</v>
      </c>
      <c r="C129" s="9">
        <v>9067</v>
      </c>
      <c r="D129" s="4">
        <v>45809</v>
      </c>
      <c r="E129" s="4">
        <v>45838</v>
      </c>
      <c r="F129" s="40" t="s">
        <v>11</v>
      </c>
      <c r="G129" s="118">
        <v>0.01</v>
      </c>
      <c r="H129" s="2">
        <v>4.0000000000000001E-3</v>
      </c>
      <c r="I129" s="29" t="s">
        <v>21</v>
      </c>
      <c r="J129" s="4">
        <v>45814</v>
      </c>
      <c r="K129" s="18" t="s">
        <v>1941</v>
      </c>
      <c r="L129" s="11" t="s">
        <v>1942</v>
      </c>
      <c r="M129" s="83"/>
    </row>
    <row r="130" spans="1:13">
      <c r="A130" s="37">
        <v>1618</v>
      </c>
      <c r="B130" s="51" t="s">
        <v>37</v>
      </c>
      <c r="C130" s="9" t="s">
        <v>1637</v>
      </c>
      <c r="D130" s="4">
        <v>45809</v>
      </c>
      <c r="E130" s="4">
        <v>45838</v>
      </c>
      <c r="F130" s="40" t="s">
        <v>11</v>
      </c>
      <c r="G130" s="118">
        <v>0.01</v>
      </c>
      <c r="H130" s="2">
        <v>5.0000000000000001E-3</v>
      </c>
      <c r="I130" s="29" t="s">
        <v>14</v>
      </c>
      <c r="J130" s="4">
        <v>45821</v>
      </c>
      <c r="K130" s="18" t="s">
        <v>1943</v>
      </c>
      <c r="L130" s="11" t="s">
        <v>1944</v>
      </c>
      <c r="M130" s="83"/>
    </row>
    <row r="131" spans="1:13">
      <c r="A131" s="37">
        <v>1619</v>
      </c>
      <c r="B131" s="51" t="s">
        <v>37</v>
      </c>
      <c r="C131" s="9">
        <v>9212</v>
      </c>
      <c r="D131" s="4">
        <v>45809</v>
      </c>
      <c r="E131" s="4">
        <v>45838</v>
      </c>
      <c r="F131" s="40" t="s">
        <v>11</v>
      </c>
      <c r="G131" s="118">
        <v>0.01</v>
      </c>
      <c r="H131" s="2">
        <v>5.0000000000000001E-3</v>
      </c>
      <c r="I131" s="29" t="s">
        <v>14</v>
      </c>
      <c r="J131" s="4">
        <v>45821</v>
      </c>
      <c r="K131" s="18" t="s">
        <v>1943</v>
      </c>
      <c r="L131" s="11" t="s">
        <v>1945</v>
      </c>
      <c r="M131" s="83"/>
    </row>
    <row r="132" spans="1:13">
      <c r="A132" s="37">
        <v>1620</v>
      </c>
      <c r="B132" s="51" t="s">
        <v>37</v>
      </c>
      <c r="C132" s="9">
        <v>14750</v>
      </c>
      <c r="D132" s="4">
        <v>45809</v>
      </c>
      <c r="E132" s="4">
        <v>45838</v>
      </c>
      <c r="F132" s="40" t="s">
        <v>11</v>
      </c>
      <c r="G132" s="118">
        <v>100</v>
      </c>
      <c r="H132" s="2">
        <v>5.0000000000000001E-3</v>
      </c>
      <c r="I132" s="29" t="s">
        <v>49</v>
      </c>
      <c r="J132" s="4">
        <v>45821</v>
      </c>
      <c r="K132" s="18" t="s">
        <v>1946</v>
      </c>
      <c r="L132" s="11" t="s">
        <v>107</v>
      </c>
      <c r="M132" s="83"/>
    </row>
    <row r="133" spans="1:13">
      <c r="A133" s="37">
        <v>1621</v>
      </c>
      <c r="B133" s="51" t="s">
        <v>37</v>
      </c>
      <c r="C133" s="9" t="s">
        <v>710</v>
      </c>
      <c r="D133" s="4">
        <v>45809</v>
      </c>
      <c r="E133" s="4">
        <v>45838</v>
      </c>
      <c r="F133" s="40" t="s">
        <v>11</v>
      </c>
      <c r="G133" s="118">
        <v>0.01</v>
      </c>
      <c r="H133" s="2">
        <v>3.5000000000000003E-2</v>
      </c>
      <c r="I133" s="29" t="s">
        <v>14</v>
      </c>
      <c r="J133" s="4">
        <v>45821</v>
      </c>
      <c r="K133" s="18" t="s">
        <v>1947</v>
      </c>
      <c r="L133" s="11" t="s">
        <v>1848</v>
      </c>
      <c r="M133" s="83"/>
    </row>
    <row r="134" spans="1:13">
      <c r="A134" s="37">
        <v>1622</v>
      </c>
      <c r="B134" s="51" t="s">
        <v>37</v>
      </c>
      <c r="C134" s="9" t="s">
        <v>710</v>
      </c>
      <c r="D134" s="4">
        <v>45809</v>
      </c>
      <c r="E134" s="4">
        <v>45838</v>
      </c>
      <c r="F134" s="40" t="s">
        <v>11</v>
      </c>
      <c r="G134" s="118">
        <v>0.01</v>
      </c>
      <c r="H134" s="2">
        <v>0.01</v>
      </c>
      <c r="I134" s="29" t="s">
        <v>14</v>
      </c>
      <c r="J134" s="4">
        <v>45821</v>
      </c>
      <c r="K134" s="18" t="s">
        <v>1947</v>
      </c>
      <c r="L134" s="11" t="s">
        <v>711</v>
      </c>
      <c r="M134" s="83"/>
    </row>
    <row r="135" spans="1:13">
      <c r="A135" s="37">
        <v>1623</v>
      </c>
      <c r="B135" s="51" t="s">
        <v>37</v>
      </c>
      <c r="C135" s="9">
        <v>7150</v>
      </c>
      <c r="D135" s="4">
        <v>45809</v>
      </c>
      <c r="E135" s="4">
        <v>45838</v>
      </c>
      <c r="F135" s="40" t="s">
        <v>11</v>
      </c>
      <c r="G135" s="118">
        <v>0.01</v>
      </c>
      <c r="H135" s="2">
        <v>5.0000000000000001E-3</v>
      </c>
      <c r="I135" s="29" t="s">
        <v>14</v>
      </c>
      <c r="J135" s="4">
        <v>45821</v>
      </c>
      <c r="K135" s="18" t="s">
        <v>1947</v>
      </c>
      <c r="L135" s="11" t="s">
        <v>711</v>
      </c>
      <c r="M135" s="83"/>
    </row>
    <row r="136" spans="1:13">
      <c r="A136" s="37">
        <v>1624</v>
      </c>
      <c r="B136" s="51" t="s">
        <v>37</v>
      </c>
      <c r="C136" s="9">
        <v>7523</v>
      </c>
      <c r="D136" s="4">
        <v>45809</v>
      </c>
      <c r="E136" s="4">
        <v>45838</v>
      </c>
      <c r="F136" s="40" t="s">
        <v>11</v>
      </c>
      <c r="G136" s="118">
        <v>0.01</v>
      </c>
      <c r="H136" s="2">
        <v>0.01</v>
      </c>
      <c r="I136" s="29" t="s">
        <v>14</v>
      </c>
      <c r="J136" s="4">
        <v>45821</v>
      </c>
      <c r="K136" s="18" t="s">
        <v>1947</v>
      </c>
      <c r="L136" s="11" t="s">
        <v>711</v>
      </c>
      <c r="M136" s="83"/>
    </row>
    <row r="137" spans="1:13">
      <c r="A137" s="37">
        <v>1625</v>
      </c>
      <c r="B137" s="51" t="s">
        <v>37</v>
      </c>
      <c r="C137" s="9">
        <v>8571</v>
      </c>
      <c r="D137" s="4">
        <v>45809</v>
      </c>
      <c r="E137" s="4">
        <v>45838</v>
      </c>
      <c r="F137" s="40" t="s">
        <v>11</v>
      </c>
      <c r="G137" s="118">
        <v>0.01</v>
      </c>
      <c r="H137" s="2">
        <v>5.0000000000000001E-3</v>
      </c>
      <c r="I137" s="29" t="s">
        <v>14</v>
      </c>
      <c r="J137" s="4">
        <v>45821</v>
      </c>
      <c r="K137" s="18" t="s">
        <v>1947</v>
      </c>
      <c r="L137" s="11" t="s">
        <v>711</v>
      </c>
      <c r="M137" s="83"/>
    </row>
    <row r="138" spans="1:13">
      <c r="A138" s="37">
        <v>1626</v>
      </c>
      <c r="B138" s="51" t="s">
        <v>37</v>
      </c>
      <c r="C138" s="9" t="s">
        <v>968</v>
      </c>
      <c r="D138" s="4">
        <v>45809</v>
      </c>
      <c r="E138" s="4">
        <v>45838</v>
      </c>
      <c r="F138" s="40" t="s">
        <v>11</v>
      </c>
      <c r="G138" s="118">
        <v>0.01</v>
      </c>
      <c r="H138" s="2">
        <v>0.03</v>
      </c>
      <c r="I138" s="29" t="s">
        <v>14</v>
      </c>
      <c r="J138" s="4">
        <v>45821</v>
      </c>
      <c r="K138" s="18" t="s">
        <v>1947</v>
      </c>
      <c r="L138" s="11" t="s">
        <v>1848</v>
      </c>
      <c r="M138" s="83"/>
    </row>
    <row r="139" spans="1:13">
      <c r="A139" s="37">
        <v>1627</v>
      </c>
      <c r="B139" s="51" t="s">
        <v>37</v>
      </c>
      <c r="C139" s="9" t="s">
        <v>968</v>
      </c>
      <c r="D139" s="4">
        <v>45809</v>
      </c>
      <c r="E139" s="4">
        <v>45838</v>
      </c>
      <c r="F139" s="40" t="s">
        <v>11</v>
      </c>
      <c r="G139" s="118">
        <v>0.01</v>
      </c>
      <c r="H139" s="2">
        <v>3.0000000000000001E-3</v>
      </c>
      <c r="I139" s="29" t="s">
        <v>14</v>
      </c>
      <c r="J139" s="4">
        <v>45821</v>
      </c>
      <c r="K139" s="18" t="s">
        <v>1947</v>
      </c>
      <c r="L139" s="11" t="s">
        <v>711</v>
      </c>
      <c r="M139" s="83"/>
    </row>
    <row r="140" spans="1:13">
      <c r="A140" s="37">
        <v>1628</v>
      </c>
      <c r="B140" s="51" t="s">
        <v>37</v>
      </c>
      <c r="C140" s="9">
        <v>15664</v>
      </c>
      <c r="D140" s="4">
        <v>45809</v>
      </c>
      <c r="E140" s="4">
        <v>45838</v>
      </c>
      <c r="F140" s="40" t="s">
        <v>11</v>
      </c>
      <c r="G140" s="118">
        <v>50000</v>
      </c>
      <c r="H140" s="2">
        <v>2.5000000000000001E-3</v>
      </c>
      <c r="I140" s="29" t="s">
        <v>18</v>
      </c>
      <c r="J140" s="4">
        <v>45821</v>
      </c>
      <c r="K140" s="18" t="s">
        <v>1949</v>
      </c>
      <c r="L140" s="11" t="s">
        <v>1548</v>
      </c>
      <c r="M140" s="83"/>
    </row>
    <row r="141" spans="1:13">
      <c r="A141" s="37">
        <v>1629</v>
      </c>
      <c r="B141" s="51" t="s">
        <v>37</v>
      </c>
      <c r="C141" s="9">
        <v>15143</v>
      </c>
      <c r="D141" s="4">
        <v>45809</v>
      </c>
      <c r="E141" s="4">
        <v>45838</v>
      </c>
      <c r="F141" s="40" t="s">
        <v>11</v>
      </c>
      <c r="G141" s="118">
        <v>100000</v>
      </c>
      <c r="H141" s="2">
        <v>2.5000000000000001E-3</v>
      </c>
      <c r="I141" s="29" t="s">
        <v>18</v>
      </c>
      <c r="J141" s="4">
        <v>45821</v>
      </c>
      <c r="K141" s="18" t="s">
        <v>1949</v>
      </c>
      <c r="L141" s="11" t="s">
        <v>1548</v>
      </c>
      <c r="M141" s="83"/>
    </row>
    <row r="142" spans="1:13">
      <c r="A142" s="37">
        <v>1630</v>
      </c>
      <c r="B142" s="51" t="s">
        <v>37</v>
      </c>
      <c r="C142" s="9">
        <v>14544</v>
      </c>
      <c r="D142" s="4">
        <v>45809</v>
      </c>
      <c r="E142" s="4">
        <v>45838</v>
      </c>
      <c r="F142" s="40" t="s">
        <v>11</v>
      </c>
      <c r="G142" s="118">
        <v>100000</v>
      </c>
      <c r="H142" s="2">
        <v>2.5000000000000001E-3</v>
      </c>
      <c r="I142" s="29" t="s">
        <v>18</v>
      </c>
      <c r="J142" s="4">
        <v>45821</v>
      </c>
      <c r="K142" s="18" t="s">
        <v>1949</v>
      </c>
      <c r="L142" s="11" t="s">
        <v>1548</v>
      </c>
      <c r="M142" s="83"/>
    </row>
    <row r="143" spans="1:13">
      <c r="A143" s="37">
        <v>1631</v>
      </c>
      <c r="B143" s="51" t="s">
        <v>37</v>
      </c>
      <c r="C143" s="9">
        <v>17391</v>
      </c>
      <c r="D143" s="4">
        <v>45809</v>
      </c>
      <c r="E143" s="4">
        <v>45838</v>
      </c>
      <c r="F143" s="40" t="s">
        <v>11</v>
      </c>
      <c r="G143" s="118">
        <v>30000</v>
      </c>
      <c r="H143" s="2">
        <v>2.5000000000000001E-3</v>
      </c>
      <c r="I143" s="29" t="s">
        <v>18</v>
      </c>
      <c r="J143" s="4">
        <v>45821</v>
      </c>
      <c r="K143" s="18" t="s">
        <v>1949</v>
      </c>
      <c r="L143" s="11" t="s">
        <v>1548</v>
      </c>
      <c r="M143" s="83"/>
    </row>
    <row r="144" spans="1:13">
      <c r="A144" s="37">
        <v>1632</v>
      </c>
      <c r="B144" s="51" t="s">
        <v>37</v>
      </c>
      <c r="C144" s="9">
        <v>5146</v>
      </c>
      <c r="D144" s="4">
        <v>45809</v>
      </c>
      <c r="E144" s="4">
        <v>45838</v>
      </c>
      <c r="F144" s="40" t="s">
        <v>11</v>
      </c>
      <c r="G144" s="118">
        <v>100000</v>
      </c>
      <c r="H144" s="2">
        <v>3.0000000000000001E-3</v>
      </c>
      <c r="I144" s="29" t="s">
        <v>18</v>
      </c>
      <c r="J144" s="4">
        <v>45821</v>
      </c>
      <c r="K144" s="18" t="s">
        <v>1949</v>
      </c>
      <c r="L144" s="11" t="s">
        <v>1950</v>
      </c>
      <c r="M144" s="83"/>
    </row>
    <row r="145" spans="1:13">
      <c r="A145" s="37">
        <v>1633</v>
      </c>
      <c r="B145" s="51" t="s">
        <v>37</v>
      </c>
      <c r="C145" s="9">
        <v>5144</v>
      </c>
      <c r="D145" s="4">
        <v>45809</v>
      </c>
      <c r="E145" s="4">
        <v>45838</v>
      </c>
      <c r="F145" s="40" t="s">
        <v>11</v>
      </c>
      <c r="G145" s="118">
        <v>50000</v>
      </c>
      <c r="H145" s="2">
        <v>2.5000000000000001E-3</v>
      </c>
      <c r="I145" s="29" t="s">
        <v>18</v>
      </c>
      <c r="J145" s="4">
        <v>45821</v>
      </c>
      <c r="K145" s="18" t="s">
        <v>1949</v>
      </c>
      <c r="L145" s="11" t="s">
        <v>1548</v>
      </c>
      <c r="M145" s="83"/>
    </row>
    <row r="146" spans="1:13">
      <c r="A146" s="37">
        <v>1634</v>
      </c>
      <c r="B146" s="51" t="s">
        <v>37</v>
      </c>
      <c r="C146" s="9" t="s">
        <v>916</v>
      </c>
      <c r="D146" s="4">
        <v>45809</v>
      </c>
      <c r="E146" s="4">
        <v>45838</v>
      </c>
      <c r="F146" s="40" t="s">
        <v>11</v>
      </c>
      <c r="G146" s="118">
        <v>100000</v>
      </c>
      <c r="H146" s="2">
        <v>3.0000000000000001E-3</v>
      </c>
      <c r="I146" s="29" t="s">
        <v>18</v>
      </c>
      <c r="J146" s="4">
        <v>45821</v>
      </c>
      <c r="K146" s="18" t="s">
        <v>1949</v>
      </c>
      <c r="L146" s="11" t="s">
        <v>1966</v>
      </c>
      <c r="M146" s="83"/>
    </row>
    <row r="147" spans="1:13">
      <c r="A147" s="37">
        <v>1635</v>
      </c>
      <c r="B147" s="51" t="s">
        <v>37</v>
      </c>
      <c r="C147" s="9" t="s">
        <v>1951</v>
      </c>
      <c r="D147" s="4">
        <v>45809</v>
      </c>
      <c r="E147" s="4">
        <v>45838</v>
      </c>
      <c r="F147" s="40" t="s">
        <v>11</v>
      </c>
      <c r="G147" s="118">
        <v>100000</v>
      </c>
      <c r="H147" s="2">
        <v>3.0000000000000001E-3</v>
      </c>
      <c r="I147" s="29" t="s">
        <v>18</v>
      </c>
      <c r="J147" s="4">
        <v>45821</v>
      </c>
      <c r="K147" s="18" t="s">
        <v>1949</v>
      </c>
      <c r="L147" s="11" t="s">
        <v>1967</v>
      </c>
      <c r="M147" s="83"/>
    </row>
    <row r="148" spans="1:13" ht="30">
      <c r="A148" s="37">
        <v>1636</v>
      </c>
      <c r="B148" s="51" t="s">
        <v>37</v>
      </c>
      <c r="C148" s="9">
        <v>13007</v>
      </c>
      <c r="D148" s="4">
        <v>45809</v>
      </c>
      <c r="E148" s="4">
        <v>45838</v>
      </c>
      <c r="F148" s="40" t="s">
        <v>11</v>
      </c>
      <c r="G148" s="118">
        <v>0.01</v>
      </c>
      <c r="H148" s="2">
        <v>4.0000000000000001E-3</v>
      </c>
      <c r="I148" s="29" t="s">
        <v>95</v>
      </c>
      <c r="J148" s="4">
        <v>45821</v>
      </c>
      <c r="K148" s="18" t="s">
        <v>1952</v>
      </c>
      <c r="L148" s="11" t="s">
        <v>107</v>
      </c>
      <c r="M148" s="83"/>
    </row>
    <row r="149" spans="1:13">
      <c r="A149" s="37">
        <v>1637</v>
      </c>
      <c r="B149" s="51" t="s">
        <v>37</v>
      </c>
      <c r="C149" s="9">
        <v>11994</v>
      </c>
      <c r="D149" s="4">
        <v>45809</v>
      </c>
      <c r="E149" s="4">
        <v>45819</v>
      </c>
      <c r="F149" s="40" t="s">
        <v>11</v>
      </c>
      <c r="G149" s="118">
        <v>1000</v>
      </c>
      <c r="H149" s="2">
        <v>7.4999999999999997E-3</v>
      </c>
      <c r="I149" s="29" t="s">
        <v>30</v>
      </c>
      <c r="J149" s="4">
        <v>45821</v>
      </c>
      <c r="K149" s="18" t="s">
        <v>1953</v>
      </c>
      <c r="L149" s="11" t="s">
        <v>1954</v>
      </c>
      <c r="M149" s="83"/>
    </row>
    <row r="150" spans="1:13">
      <c r="A150" s="37">
        <v>1638</v>
      </c>
      <c r="B150" s="51" t="s">
        <v>37</v>
      </c>
      <c r="C150" s="9">
        <v>11994</v>
      </c>
      <c r="D150" s="4">
        <v>45809</v>
      </c>
      <c r="E150" s="4">
        <v>45819</v>
      </c>
      <c r="F150" s="40" t="s">
        <v>11</v>
      </c>
      <c r="G150" s="118">
        <v>1000</v>
      </c>
      <c r="H150" s="2">
        <v>1.0500000000000001E-2</v>
      </c>
      <c r="I150" s="29" t="s">
        <v>30</v>
      </c>
      <c r="J150" s="4">
        <v>45821</v>
      </c>
      <c r="K150" s="18" t="s">
        <v>1953</v>
      </c>
      <c r="L150" s="11" t="s">
        <v>1965</v>
      </c>
      <c r="M150" s="83"/>
    </row>
    <row r="151" spans="1:13">
      <c r="A151" s="37">
        <v>1639</v>
      </c>
      <c r="B151" s="51" t="s">
        <v>37</v>
      </c>
      <c r="C151" s="14">
        <v>11994</v>
      </c>
      <c r="D151" s="23">
        <v>45809</v>
      </c>
      <c r="E151" s="23">
        <v>45838</v>
      </c>
      <c r="F151" s="17" t="s">
        <v>11</v>
      </c>
      <c r="G151" s="121">
        <v>1000</v>
      </c>
      <c r="H151" s="2">
        <v>7.4999999999999997E-3</v>
      </c>
      <c r="I151" s="30" t="s">
        <v>30</v>
      </c>
      <c r="J151" s="23">
        <v>45821</v>
      </c>
      <c r="K151" s="15" t="s">
        <v>1953</v>
      </c>
      <c r="L151" s="16" t="s">
        <v>107</v>
      </c>
      <c r="M151" s="122"/>
    </row>
    <row r="152" spans="1:13">
      <c r="A152" s="37">
        <v>1640</v>
      </c>
      <c r="B152" s="51" t="s">
        <v>37</v>
      </c>
      <c r="C152" s="9">
        <v>11994</v>
      </c>
      <c r="D152" s="4">
        <v>45809</v>
      </c>
      <c r="E152" s="4">
        <v>45838</v>
      </c>
      <c r="F152" s="40" t="s">
        <v>11</v>
      </c>
      <c r="G152" s="118">
        <v>1000</v>
      </c>
      <c r="H152" s="2">
        <v>5.0000000000000001E-4</v>
      </c>
      <c r="I152" s="29" t="s">
        <v>30</v>
      </c>
      <c r="J152" s="4">
        <v>45821</v>
      </c>
      <c r="K152" s="18" t="s">
        <v>1953</v>
      </c>
      <c r="L152" s="11" t="s">
        <v>1964</v>
      </c>
      <c r="M152" s="83"/>
    </row>
    <row r="153" spans="1:13">
      <c r="A153" s="37">
        <v>1641</v>
      </c>
      <c r="B153" s="51" t="s">
        <v>37</v>
      </c>
      <c r="C153" s="9">
        <v>11994</v>
      </c>
      <c r="D153" s="4">
        <v>45809</v>
      </c>
      <c r="E153" s="4">
        <v>45819</v>
      </c>
      <c r="F153" s="40" t="s">
        <v>11</v>
      </c>
      <c r="G153" s="118">
        <v>1000</v>
      </c>
      <c r="H153" s="2">
        <v>1.2999999999999999E-2</v>
      </c>
      <c r="I153" s="29" t="s">
        <v>30</v>
      </c>
      <c r="J153" s="4">
        <v>45821</v>
      </c>
      <c r="K153" s="18" t="s">
        <v>1953</v>
      </c>
      <c r="L153" s="11" t="s">
        <v>1955</v>
      </c>
      <c r="M153" s="83"/>
    </row>
    <row r="154" spans="1:13">
      <c r="A154" s="37">
        <v>1642</v>
      </c>
      <c r="B154" s="51" t="s">
        <v>37</v>
      </c>
      <c r="C154" s="9">
        <v>11994</v>
      </c>
      <c r="D154" s="4">
        <v>45809</v>
      </c>
      <c r="E154" s="4">
        <v>45819</v>
      </c>
      <c r="F154" s="40" t="s">
        <v>11</v>
      </c>
      <c r="G154" s="118">
        <v>1000</v>
      </c>
      <c r="H154" s="2">
        <v>1.0500000000000001E-2</v>
      </c>
      <c r="I154" s="29" t="s">
        <v>30</v>
      </c>
      <c r="J154" s="4">
        <v>45821</v>
      </c>
      <c r="K154" s="18" t="s">
        <v>1953</v>
      </c>
      <c r="L154" s="11" t="s">
        <v>1956</v>
      </c>
      <c r="M154" s="83"/>
    </row>
    <row r="155" spans="1:13">
      <c r="A155" s="37">
        <v>1643</v>
      </c>
      <c r="B155" s="51" t="s">
        <v>37</v>
      </c>
      <c r="C155" s="9">
        <v>11994</v>
      </c>
      <c r="D155" s="4">
        <v>45809</v>
      </c>
      <c r="E155" s="4">
        <v>45838</v>
      </c>
      <c r="F155" s="40" t="s">
        <v>11</v>
      </c>
      <c r="G155" s="118">
        <v>1000</v>
      </c>
      <c r="H155" s="2">
        <v>1.4999999999999999E-2</v>
      </c>
      <c r="I155" s="29" t="s">
        <v>30</v>
      </c>
      <c r="J155" s="4">
        <v>45821</v>
      </c>
      <c r="K155" s="18" t="s">
        <v>1953</v>
      </c>
      <c r="L155" s="11" t="s">
        <v>1957</v>
      </c>
      <c r="M155" s="83"/>
    </row>
    <row r="156" spans="1:13">
      <c r="A156" s="37">
        <v>1644</v>
      </c>
      <c r="B156" s="51" t="s">
        <v>37</v>
      </c>
      <c r="C156" s="9">
        <v>11994</v>
      </c>
      <c r="D156" s="4">
        <v>45809</v>
      </c>
      <c r="E156" s="4">
        <v>45838</v>
      </c>
      <c r="F156" s="40" t="s">
        <v>11</v>
      </c>
      <c r="G156" s="118">
        <v>1000</v>
      </c>
      <c r="H156" s="2">
        <v>5.0000000000000001E-3</v>
      </c>
      <c r="I156" s="29" t="s">
        <v>30</v>
      </c>
      <c r="J156" s="4">
        <v>45821</v>
      </c>
      <c r="K156" s="18" t="s">
        <v>1953</v>
      </c>
      <c r="L156" s="11" t="s">
        <v>1958</v>
      </c>
      <c r="M156" s="83"/>
    </row>
    <row r="157" spans="1:13">
      <c r="A157" s="37">
        <v>1645</v>
      </c>
      <c r="B157" s="51" t="s">
        <v>37</v>
      </c>
      <c r="C157" s="9">
        <v>11994</v>
      </c>
      <c r="D157" s="4">
        <v>45809</v>
      </c>
      <c r="E157" s="4">
        <v>45838</v>
      </c>
      <c r="F157" s="40" t="s">
        <v>11</v>
      </c>
      <c r="G157" s="118">
        <v>1000</v>
      </c>
      <c r="H157" s="2">
        <v>2E-3</v>
      </c>
      <c r="I157" s="29" t="s">
        <v>30</v>
      </c>
      <c r="J157" s="4">
        <v>45821</v>
      </c>
      <c r="K157" s="18" t="s">
        <v>1953</v>
      </c>
      <c r="L157" s="11" t="s">
        <v>1959</v>
      </c>
      <c r="M157" s="83"/>
    </row>
    <row r="158" spans="1:13">
      <c r="A158" s="37">
        <v>1646</v>
      </c>
      <c r="B158" s="51" t="s">
        <v>37</v>
      </c>
      <c r="C158" s="9">
        <v>13569</v>
      </c>
      <c r="D158" s="4">
        <v>45809</v>
      </c>
      <c r="E158" s="4">
        <v>45838</v>
      </c>
      <c r="F158" s="40" t="s">
        <v>11</v>
      </c>
      <c r="G158" s="118">
        <v>1000</v>
      </c>
      <c r="H158" s="2">
        <v>5.0000000000000001E-3</v>
      </c>
      <c r="I158" s="29" t="s">
        <v>53</v>
      </c>
      <c r="J158" s="4">
        <v>45821</v>
      </c>
      <c r="K158" s="18" t="s">
        <v>1953</v>
      </c>
      <c r="L158" s="11" t="s">
        <v>1960</v>
      </c>
      <c r="M158" s="83"/>
    </row>
    <row r="159" spans="1:13">
      <c r="A159" s="37">
        <v>1647</v>
      </c>
      <c r="B159" s="51" t="s">
        <v>37</v>
      </c>
      <c r="C159" s="9">
        <v>13569</v>
      </c>
      <c r="D159" s="4">
        <v>45809</v>
      </c>
      <c r="E159" s="4">
        <v>45838</v>
      </c>
      <c r="F159" s="40" t="s">
        <v>11</v>
      </c>
      <c r="G159" s="118">
        <v>1000</v>
      </c>
      <c r="H159" s="2">
        <v>0.01</v>
      </c>
      <c r="I159" s="29" t="s">
        <v>53</v>
      </c>
      <c r="J159" s="4">
        <v>45821</v>
      </c>
      <c r="K159" s="18" t="s">
        <v>1953</v>
      </c>
      <c r="L159" s="11" t="s">
        <v>1961</v>
      </c>
      <c r="M159" s="83"/>
    </row>
    <row r="160" spans="1:13">
      <c r="A160" s="37">
        <v>1648</v>
      </c>
      <c r="B160" s="51" t="s">
        <v>37</v>
      </c>
      <c r="C160" s="9">
        <v>16129</v>
      </c>
      <c r="D160" s="4">
        <v>45809</v>
      </c>
      <c r="E160" s="4">
        <v>45838</v>
      </c>
      <c r="F160" s="40" t="s">
        <v>11</v>
      </c>
      <c r="G160" s="118">
        <v>1000</v>
      </c>
      <c r="H160" s="2">
        <v>0.01</v>
      </c>
      <c r="I160" s="29" t="s">
        <v>27</v>
      </c>
      <c r="J160" s="4">
        <v>45821</v>
      </c>
      <c r="K160" s="18" t="s">
        <v>1953</v>
      </c>
      <c r="L160" s="11" t="s">
        <v>1624</v>
      </c>
      <c r="M160" s="83"/>
    </row>
    <row r="161" spans="1:13">
      <c r="A161" s="37">
        <v>1649</v>
      </c>
      <c r="B161" s="51" t="s">
        <v>37</v>
      </c>
      <c r="C161" s="9">
        <v>16129</v>
      </c>
      <c r="D161" s="4">
        <v>45809</v>
      </c>
      <c r="E161" s="4">
        <v>45838</v>
      </c>
      <c r="F161" s="40" t="s">
        <v>11</v>
      </c>
      <c r="G161" s="118">
        <v>1000</v>
      </c>
      <c r="H161" s="2">
        <v>5.0000000000000001E-3</v>
      </c>
      <c r="I161" s="29" t="s">
        <v>27</v>
      </c>
      <c r="J161" s="4">
        <v>45821</v>
      </c>
      <c r="K161" s="18" t="s">
        <v>1953</v>
      </c>
      <c r="L161" s="11" t="s">
        <v>1625</v>
      </c>
      <c r="M161" s="83"/>
    </row>
    <row r="162" spans="1:13">
      <c r="A162" s="37">
        <v>1650</v>
      </c>
      <c r="B162" s="51" t="s">
        <v>37</v>
      </c>
      <c r="C162" s="9">
        <v>14554</v>
      </c>
      <c r="D162" s="4">
        <v>45809</v>
      </c>
      <c r="E162" s="4">
        <v>45838</v>
      </c>
      <c r="F162" s="40" t="s">
        <v>11</v>
      </c>
      <c r="G162" s="118">
        <v>1000</v>
      </c>
      <c r="H162" s="2">
        <v>1.2500000000000001E-2</v>
      </c>
      <c r="I162" s="29" t="s">
        <v>25</v>
      </c>
      <c r="J162" s="4">
        <v>45821</v>
      </c>
      <c r="K162" s="18" t="s">
        <v>1953</v>
      </c>
      <c r="L162" s="11" t="s">
        <v>157</v>
      </c>
      <c r="M162" s="83"/>
    </row>
    <row r="163" spans="1:13">
      <c r="A163" s="37">
        <v>1651</v>
      </c>
      <c r="B163" s="51" t="s">
        <v>37</v>
      </c>
      <c r="C163" s="9">
        <v>16532</v>
      </c>
      <c r="D163" s="4">
        <v>45809</v>
      </c>
      <c r="E163" s="4">
        <v>45838</v>
      </c>
      <c r="F163" s="40" t="s">
        <v>11</v>
      </c>
      <c r="G163" s="118">
        <v>1000</v>
      </c>
      <c r="H163" s="2">
        <v>0.03</v>
      </c>
      <c r="I163" s="29" t="s">
        <v>30</v>
      </c>
      <c r="J163" s="4">
        <v>45821</v>
      </c>
      <c r="K163" s="18" t="s">
        <v>1953</v>
      </c>
      <c r="L163" s="11" t="s">
        <v>1962</v>
      </c>
      <c r="M163" s="83"/>
    </row>
    <row r="164" spans="1:13">
      <c r="A164" s="37">
        <v>1652</v>
      </c>
      <c r="B164" s="51" t="s">
        <v>37</v>
      </c>
      <c r="C164" s="9">
        <v>16291</v>
      </c>
      <c r="D164" s="4">
        <v>45809</v>
      </c>
      <c r="E164" s="4">
        <v>45838</v>
      </c>
      <c r="F164" s="40" t="s">
        <v>11</v>
      </c>
      <c r="G164" s="118">
        <v>1000</v>
      </c>
      <c r="H164" s="2">
        <v>5.0000000000000001E-3</v>
      </c>
      <c r="I164" s="29" t="s">
        <v>25</v>
      </c>
      <c r="J164" s="4">
        <v>45821</v>
      </c>
      <c r="K164" s="18" t="s">
        <v>1953</v>
      </c>
      <c r="L164" s="11" t="s">
        <v>107</v>
      </c>
      <c r="M164" s="83"/>
    </row>
    <row r="165" spans="1:13">
      <c r="A165" s="37">
        <v>1653</v>
      </c>
      <c r="B165" s="51" t="s">
        <v>37</v>
      </c>
      <c r="C165" s="9">
        <v>13220</v>
      </c>
      <c r="D165" s="4">
        <v>45809</v>
      </c>
      <c r="E165" s="4">
        <v>45838</v>
      </c>
      <c r="F165" s="40" t="s">
        <v>11</v>
      </c>
      <c r="G165" s="118">
        <v>1000</v>
      </c>
      <c r="H165" s="2">
        <v>7.4999999999999997E-3</v>
      </c>
      <c r="I165" s="29" t="s">
        <v>30</v>
      </c>
      <c r="J165" s="4">
        <v>45821</v>
      </c>
      <c r="K165" s="18" t="s">
        <v>1953</v>
      </c>
      <c r="L165" s="11" t="s">
        <v>107</v>
      </c>
      <c r="M165" s="83"/>
    </row>
    <row r="166" spans="1:13">
      <c r="A166" s="37">
        <v>1654</v>
      </c>
      <c r="B166" s="51" t="s">
        <v>37</v>
      </c>
      <c r="C166" s="9">
        <v>15086</v>
      </c>
      <c r="D166" s="4">
        <v>45809</v>
      </c>
      <c r="E166" s="4">
        <v>45838</v>
      </c>
      <c r="F166" s="40" t="s">
        <v>11</v>
      </c>
      <c r="G166" s="118">
        <v>1000</v>
      </c>
      <c r="H166" s="2">
        <v>5.0000000000000001E-3</v>
      </c>
      <c r="I166" s="29" t="s">
        <v>27</v>
      </c>
      <c r="J166" s="4">
        <v>45821</v>
      </c>
      <c r="K166" s="18" t="s">
        <v>1953</v>
      </c>
      <c r="L166" s="11" t="s">
        <v>1963</v>
      </c>
      <c r="M166" s="83"/>
    </row>
    <row r="167" spans="1:13">
      <c r="A167" s="37">
        <v>1655</v>
      </c>
      <c r="B167" s="51" t="s">
        <v>37</v>
      </c>
      <c r="C167" s="9">
        <v>11545</v>
      </c>
      <c r="D167" s="4">
        <v>45809</v>
      </c>
      <c r="E167" s="4">
        <v>45838</v>
      </c>
      <c r="F167" s="40" t="s">
        <v>11</v>
      </c>
      <c r="G167" s="118">
        <v>1000</v>
      </c>
      <c r="H167" s="2">
        <v>7.4999999999999997E-3</v>
      </c>
      <c r="I167" s="29" t="s">
        <v>27</v>
      </c>
      <c r="J167" s="4">
        <v>45821</v>
      </c>
      <c r="K167" s="18" t="s">
        <v>1953</v>
      </c>
      <c r="L167" s="24" t="s">
        <v>2105</v>
      </c>
      <c r="M167" s="83"/>
    </row>
    <row r="168" spans="1:13">
      <c r="A168" s="37">
        <v>1656</v>
      </c>
      <c r="B168" s="51" t="s">
        <v>37</v>
      </c>
      <c r="C168" s="9">
        <v>7734</v>
      </c>
      <c r="D168" s="4">
        <v>45809</v>
      </c>
      <c r="E168" s="4">
        <v>45838</v>
      </c>
      <c r="F168" s="40" t="s">
        <v>11</v>
      </c>
      <c r="G168" s="118">
        <v>1000</v>
      </c>
      <c r="H168" s="2">
        <v>5.0000000000000001E-3</v>
      </c>
      <c r="I168" s="29" t="s">
        <v>30</v>
      </c>
      <c r="J168" s="4">
        <v>45821</v>
      </c>
      <c r="K168" s="18" t="s">
        <v>1953</v>
      </c>
      <c r="L168" s="11" t="s">
        <v>1017</v>
      </c>
      <c r="M168" s="83"/>
    </row>
    <row r="169" spans="1:13">
      <c r="A169" s="37">
        <v>1657</v>
      </c>
      <c r="B169" s="51" t="s">
        <v>37</v>
      </c>
      <c r="C169" s="9">
        <v>17461</v>
      </c>
      <c r="D169" s="4">
        <v>45809</v>
      </c>
      <c r="E169" s="4">
        <v>45838</v>
      </c>
      <c r="F169" s="40" t="s">
        <v>11</v>
      </c>
      <c r="G169" s="118">
        <v>1000</v>
      </c>
      <c r="H169" s="2">
        <v>7.4999999999999997E-3</v>
      </c>
      <c r="I169" s="29" t="s">
        <v>30</v>
      </c>
      <c r="J169" s="4">
        <v>45821</v>
      </c>
      <c r="K169" s="18" t="s">
        <v>1953</v>
      </c>
      <c r="L169" s="11" t="s">
        <v>107</v>
      </c>
      <c r="M169" s="83"/>
    </row>
    <row r="170" spans="1:13">
      <c r="A170" s="37">
        <v>1658</v>
      </c>
      <c r="B170" s="51" t="s">
        <v>37</v>
      </c>
      <c r="C170" s="9">
        <v>16236</v>
      </c>
      <c r="D170" s="4">
        <v>45809</v>
      </c>
      <c r="E170" s="4">
        <v>45838</v>
      </c>
      <c r="F170" s="40" t="s">
        <v>11</v>
      </c>
      <c r="G170" s="118">
        <v>1000</v>
      </c>
      <c r="H170" s="2">
        <v>5.0000000000000001E-3</v>
      </c>
      <c r="I170" s="29" t="s">
        <v>25</v>
      </c>
      <c r="J170" s="4">
        <v>45821</v>
      </c>
      <c r="K170" s="18" t="s">
        <v>1953</v>
      </c>
      <c r="L170" s="11" t="s">
        <v>107</v>
      </c>
      <c r="M170" s="83"/>
    </row>
    <row r="171" spans="1:13">
      <c r="A171" s="37">
        <v>1659</v>
      </c>
      <c r="B171" s="51" t="s">
        <v>37</v>
      </c>
      <c r="C171" s="9">
        <v>13749</v>
      </c>
      <c r="D171" s="4">
        <v>45809</v>
      </c>
      <c r="E171" s="4">
        <v>45838</v>
      </c>
      <c r="F171" s="40" t="s">
        <v>11</v>
      </c>
      <c r="G171" s="118">
        <v>1000</v>
      </c>
      <c r="H171" s="2">
        <v>1.4999999999999999E-2</v>
      </c>
      <c r="I171" s="29" t="s">
        <v>53</v>
      </c>
      <c r="J171" s="4">
        <v>45821</v>
      </c>
      <c r="K171" s="18" t="s">
        <v>1953</v>
      </c>
      <c r="L171" s="11" t="s">
        <v>1258</v>
      </c>
      <c r="M171" s="83"/>
    </row>
    <row r="172" spans="1:13">
      <c r="A172" s="37">
        <v>1660</v>
      </c>
      <c r="B172" s="51" t="s">
        <v>37</v>
      </c>
      <c r="C172" s="9">
        <v>13569</v>
      </c>
      <c r="D172" s="4">
        <v>45809</v>
      </c>
      <c r="E172" s="4">
        <v>45838</v>
      </c>
      <c r="F172" s="40" t="s">
        <v>11</v>
      </c>
      <c r="G172" s="118">
        <v>1000</v>
      </c>
      <c r="H172" s="2">
        <v>5.0000000000000001E-3</v>
      </c>
      <c r="I172" s="29" t="s">
        <v>53</v>
      </c>
      <c r="J172" s="4">
        <v>45821</v>
      </c>
      <c r="K172" s="18" t="s">
        <v>1953</v>
      </c>
      <c r="L172" s="11" t="s">
        <v>1364</v>
      </c>
      <c r="M172" s="83"/>
    </row>
    <row r="173" spans="1:13">
      <c r="A173" s="37">
        <v>1661</v>
      </c>
      <c r="B173" s="51" t="s">
        <v>37</v>
      </c>
      <c r="C173" s="9">
        <v>14826</v>
      </c>
      <c r="D173" s="4">
        <v>45809</v>
      </c>
      <c r="E173" s="4">
        <v>45838</v>
      </c>
      <c r="F173" s="40" t="s">
        <v>11</v>
      </c>
      <c r="G173" s="118">
        <v>1000</v>
      </c>
      <c r="H173" s="2">
        <v>5.0000000000000001E-3</v>
      </c>
      <c r="I173" s="29" t="s">
        <v>53</v>
      </c>
      <c r="J173" s="4">
        <v>45821</v>
      </c>
      <c r="K173" s="18" t="s">
        <v>1953</v>
      </c>
      <c r="L173" s="11" t="s">
        <v>107</v>
      </c>
      <c r="M173" s="83"/>
    </row>
    <row r="174" spans="1:13">
      <c r="A174" s="37">
        <v>1662</v>
      </c>
      <c r="B174" s="51" t="s">
        <v>37</v>
      </c>
      <c r="C174" s="9">
        <v>17055</v>
      </c>
      <c r="D174" s="4">
        <v>45809</v>
      </c>
      <c r="E174" s="4">
        <v>45838</v>
      </c>
      <c r="F174" s="40" t="s">
        <v>11</v>
      </c>
      <c r="G174" s="118">
        <v>1000</v>
      </c>
      <c r="H174" s="2">
        <v>5.0000000000000001E-3</v>
      </c>
      <c r="I174" s="29" t="s">
        <v>53</v>
      </c>
      <c r="J174" s="4">
        <v>45821</v>
      </c>
      <c r="K174" s="18" t="s">
        <v>1953</v>
      </c>
      <c r="L174" s="11" t="s">
        <v>107</v>
      </c>
      <c r="M174" s="83"/>
    </row>
    <row r="175" spans="1:13">
      <c r="A175" s="37">
        <v>1663</v>
      </c>
      <c r="B175" s="51" t="s">
        <v>37</v>
      </c>
      <c r="C175" s="9">
        <v>16934</v>
      </c>
      <c r="D175" s="4">
        <v>45809</v>
      </c>
      <c r="E175" s="4">
        <v>45838</v>
      </c>
      <c r="F175" s="40" t="s">
        <v>11</v>
      </c>
      <c r="G175" s="118">
        <v>1000</v>
      </c>
      <c r="H175" s="2">
        <v>2E-3</v>
      </c>
      <c r="I175" s="29" t="s">
        <v>53</v>
      </c>
      <c r="J175" s="4">
        <v>45821</v>
      </c>
      <c r="K175" s="18" t="s">
        <v>1953</v>
      </c>
      <c r="L175" s="11" t="s">
        <v>1259</v>
      </c>
      <c r="M175" s="83"/>
    </row>
    <row r="176" spans="1:13">
      <c r="A176" s="37">
        <v>1664</v>
      </c>
      <c r="B176" s="51" t="s">
        <v>37</v>
      </c>
      <c r="C176" s="9">
        <v>16996</v>
      </c>
      <c r="D176" s="4">
        <v>45809</v>
      </c>
      <c r="E176" s="4">
        <v>45838</v>
      </c>
      <c r="F176" s="40" t="s">
        <v>11</v>
      </c>
      <c r="G176" s="118">
        <v>1000</v>
      </c>
      <c r="H176" s="2">
        <v>1.7999999999999999E-2</v>
      </c>
      <c r="I176" s="29" t="s">
        <v>53</v>
      </c>
      <c r="J176" s="4">
        <v>45821</v>
      </c>
      <c r="K176" s="18" t="s">
        <v>1953</v>
      </c>
      <c r="L176" s="11" t="s">
        <v>1258</v>
      </c>
      <c r="M176" s="83"/>
    </row>
    <row r="177" spans="1:13">
      <c r="A177" s="37">
        <v>1665</v>
      </c>
      <c r="B177" s="51" t="s">
        <v>37</v>
      </c>
      <c r="C177" s="9">
        <v>16996</v>
      </c>
      <c r="D177" s="4">
        <v>45809</v>
      </c>
      <c r="E177" s="4">
        <v>45838</v>
      </c>
      <c r="F177" s="40" t="s">
        <v>11</v>
      </c>
      <c r="G177" s="118">
        <v>1000</v>
      </c>
      <c r="H177" s="2">
        <v>2.5000000000000001E-3</v>
      </c>
      <c r="I177" s="29" t="s">
        <v>53</v>
      </c>
      <c r="J177" s="4">
        <v>45821</v>
      </c>
      <c r="K177" s="18" t="s">
        <v>1953</v>
      </c>
      <c r="L177" s="11" t="s">
        <v>1260</v>
      </c>
      <c r="M177" s="83"/>
    </row>
    <row r="178" spans="1:13">
      <c r="A178" s="37">
        <v>1666</v>
      </c>
      <c r="B178" s="51" t="s">
        <v>37</v>
      </c>
      <c r="C178" s="9">
        <v>16996</v>
      </c>
      <c r="D178" s="4">
        <v>45809</v>
      </c>
      <c r="E178" s="4">
        <v>45838</v>
      </c>
      <c r="F178" s="40" t="s">
        <v>11</v>
      </c>
      <c r="G178" s="118">
        <v>1000</v>
      </c>
      <c r="H178" s="2">
        <v>5.0000000000000001E-3</v>
      </c>
      <c r="I178" s="29" t="s">
        <v>53</v>
      </c>
      <c r="J178" s="4">
        <v>45821</v>
      </c>
      <c r="K178" s="18" t="s">
        <v>1953</v>
      </c>
      <c r="L178" s="11" t="s">
        <v>1261</v>
      </c>
      <c r="M178" s="83"/>
    </row>
    <row r="179" spans="1:13">
      <c r="A179" s="37">
        <v>1667</v>
      </c>
      <c r="B179" s="51" t="s">
        <v>37</v>
      </c>
      <c r="C179" s="9">
        <v>16996</v>
      </c>
      <c r="D179" s="4">
        <v>45809</v>
      </c>
      <c r="E179" s="4">
        <v>45838</v>
      </c>
      <c r="F179" s="40" t="s">
        <v>11</v>
      </c>
      <c r="G179" s="118">
        <v>1000</v>
      </c>
      <c r="H179" s="2">
        <v>1.5E-3</v>
      </c>
      <c r="I179" s="29" t="s">
        <v>53</v>
      </c>
      <c r="J179" s="4">
        <v>45821</v>
      </c>
      <c r="K179" s="18" t="s">
        <v>1953</v>
      </c>
      <c r="L179" s="11" t="s">
        <v>1262</v>
      </c>
      <c r="M179" s="83"/>
    </row>
    <row r="180" spans="1:13">
      <c r="A180" s="37">
        <v>1668</v>
      </c>
      <c r="B180" s="51" t="s">
        <v>37</v>
      </c>
      <c r="C180" s="9">
        <v>16996</v>
      </c>
      <c r="D180" s="4">
        <v>45809</v>
      </c>
      <c r="E180" s="4">
        <v>45838</v>
      </c>
      <c r="F180" s="40" t="s">
        <v>11</v>
      </c>
      <c r="G180" s="118">
        <v>1000</v>
      </c>
      <c r="H180" s="2">
        <v>7.4999999999999997E-3</v>
      </c>
      <c r="I180" s="29" t="s">
        <v>53</v>
      </c>
      <c r="J180" s="4">
        <v>45821</v>
      </c>
      <c r="K180" s="18" t="s">
        <v>1953</v>
      </c>
      <c r="L180" s="11" t="s">
        <v>107</v>
      </c>
      <c r="M180" s="83"/>
    </row>
    <row r="181" spans="1:13">
      <c r="A181" s="37">
        <v>1669</v>
      </c>
      <c r="B181" s="51" t="s">
        <v>37</v>
      </c>
      <c r="C181" s="9">
        <v>6688</v>
      </c>
      <c r="D181" s="4">
        <v>45809</v>
      </c>
      <c r="E181" s="4">
        <v>45838</v>
      </c>
      <c r="F181" s="40" t="s">
        <v>23</v>
      </c>
      <c r="G181" s="118">
        <v>100</v>
      </c>
      <c r="H181" s="2">
        <v>2E-3</v>
      </c>
      <c r="I181" s="29" t="s">
        <v>13</v>
      </c>
      <c r="J181" s="4">
        <v>45824</v>
      </c>
      <c r="K181" s="18" t="s">
        <v>1712</v>
      </c>
      <c r="L181" s="11" t="s">
        <v>128</v>
      </c>
      <c r="M181" s="83"/>
    </row>
    <row r="182" spans="1:13">
      <c r="A182" s="37">
        <v>1670</v>
      </c>
      <c r="B182" s="51" t="s">
        <v>37</v>
      </c>
      <c r="C182" s="9">
        <v>16024</v>
      </c>
      <c r="D182" s="4">
        <v>45809</v>
      </c>
      <c r="E182" s="4">
        <v>45838</v>
      </c>
      <c r="F182" s="40" t="s">
        <v>23</v>
      </c>
      <c r="G182" s="118">
        <v>100</v>
      </c>
      <c r="H182" s="2">
        <v>4.0000000000000001E-3</v>
      </c>
      <c r="I182" s="29" t="s">
        <v>13</v>
      </c>
      <c r="J182" s="4">
        <v>45824</v>
      </c>
      <c r="K182" s="18" t="s">
        <v>1712</v>
      </c>
      <c r="L182" s="11" t="s">
        <v>203</v>
      </c>
      <c r="M182" s="83"/>
    </row>
    <row r="183" spans="1:13" ht="30">
      <c r="A183" s="37">
        <v>1671</v>
      </c>
      <c r="B183" s="51" t="s">
        <v>37</v>
      </c>
      <c r="C183" s="9">
        <v>17396</v>
      </c>
      <c r="D183" s="4">
        <v>45809</v>
      </c>
      <c r="E183" s="4">
        <v>45838</v>
      </c>
      <c r="F183" s="40" t="s">
        <v>23</v>
      </c>
      <c r="G183" s="118">
        <v>10</v>
      </c>
      <c r="H183" s="2" t="s">
        <v>1714</v>
      </c>
      <c r="I183" s="29" t="s">
        <v>13</v>
      </c>
      <c r="J183" s="4">
        <v>45824</v>
      </c>
      <c r="K183" s="18" t="s">
        <v>1712</v>
      </c>
      <c r="L183" s="11" t="s">
        <v>1358</v>
      </c>
      <c r="M183" s="83"/>
    </row>
    <row r="184" spans="1:13">
      <c r="A184" s="37">
        <v>1672</v>
      </c>
      <c r="B184" s="51" t="s">
        <v>37</v>
      </c>
      <c r="C184" s="9">
        <v>7677</v>
      </c>
      <c r="D184" s="4">
        <v>45809</v>
      </c>
      <c r="E184" s="4">
        <v>45838</v>
      </c>
      <c r="F184" s="40" t="s">
        <v>23</v>
      </c>
      <c r="G184" s="118">
        <v>100</v>
      </c>
      <c r="H184" s="2">
        <v>2E-3</v>
      </c>
      <c r="I184" s="29" t="s">
        <v>13</v>
      </c>
      <c r="J184" s="4">
        <v>45824</v>
      </c>
      <c r="K184" s="18" t="s">
        <v>1712</v>
      </c>
      <c r="L184" s="24" t="s">
        <v>2105</v>
      </c>
      <c r="M184" s="83"/>
    </row>
    <row r="185" spans="1:13" ht="30">
      <c r="A185" s="37">
        <v>1673</v>
      </c>
      <c r="B185" s="51" t="s">
        <v>37</v>
      </c>
      <c r="C185" s="9">
        <v>16628</v>
      </c>
      <c r="D185" s="4">
        <v>45809</v>
      </c>
      <c r="E185" s="4">
        <v>45838</v>
      </c>
      <c r="F185" s="40" t="s">
        <v>23</v>
      </c>
      <c r="G185" s="118">
        <v>10</v>
      </c>
      <c r="H185" s="2" t="s">
        <v>1714</v>
      </c>
      <c r="I185" s="29" t="s">
        <v>13</v>
      </c>
      <c r="J185" s="4">
        <v>45824</v>
      </c>
      <c r="K185" s="18" t="s">
        <v>1712</v>
      </c>
      <c r="L185" s="11" t="s">
        <v>1358</v>
      </c>
      <c r="M185" s="83"/>
    </row>
    <row r="186" spans="1:13">
      <c r="A186" s="37">
        <v>1674</v>
      </c>
      <c r="B186" s="51" t="s">
        <v>37</v>
      </c>
      <c r="C186" s="9">
        <v>2838</v>
      </c>
      <c r="D186" s="4">
        <v>45809</v>
      </c>
      <c r="E186" s="4">
        <v>45838</v>
      </c>
      <c r="F186" s="40" t="s">
        <v>11</v>
      </c>
      <c r="G186" s="118">
        <v>1</v>
      </c>
      <c r="H186" s="2">
        <v>0.01</v>
      </c>
      <c r="I186" s="29" t="s">
        <v>29</v>
      </c>
      <c r="J186" s="4">
        <v>45824</v>
      </c>
      <c r="K186" s="18" t="s">
        <v>1969</v>
      </c>
      <c r="L186" s="11" t="s">
        <v>1968</v>
      </c>
      <c r="M186" s="83"/>
    </row>
    <row r="187" spans="1:13">
      <c r="A187" s="37">
        <v>1675</v>
      </c>
      <c r="B187" s="51" t="s">
        <v>37</v>
      </c>
      <c r="C187" s="9">
        <v>695</v>
      </c>
      <c r="D187" s="4">
        <v>45809</v>
      </c>
      <c r="E187" s="4">
        <v>45838</v>
      </c>
      <c r="F187" s="40" t="s">
        <v>11</v>
      </c>
      <c r="G187" s="118">
        <v>0.01</v>
      </c>
      <c r="H187" s="2">
        <v>2E-3</v>
      </c>
      <c r="I187" s="29" t="s">
        <v>19</v>
      </c>
      <c r="J187" s="4">
        <v>45824</v>
      </c>
      <c r="K187" s="18" t="s">
        <v>1970</v>
      </c>
      <c r="L187" s="11" t="s">
        <v>1971</v>
      </c>
      <c r="M187" s="83"/>
    </row>
    <row r="188" spans="1:13">
      <c r="A188" s="37">
        <v>1676</v>
      </c>
      <c r="B188" s="51" t="s">
        <v>37</v>
      </c>
      <c r="C188" s="132" t="s">
        <v>1974</v>
      </c>
      <c r="D188" s="4">
        <v>45809</v>
      </c>
      <c r="E188" s="4">
        <v>45838</v>
      </c>
      <c r="F188" s="40" t="s">
        <v>11</v>
      </c>
      <c r="G188" s="118">
        <v>0.01</v>
      </c>
      <c r="H188" s="2">
        <v>5.0000000000000001E-3</v>
      </c>
      <c r="I188" s="29" t="s">
        <v>19</v>
      </c>
      <c r="J188" s="4">
        <v>45824</v>
      </c>
      <c r="K188" s="18" t="s">
        <v>1973</v>
      </c>
      <c r="L188" s="11" t="s">
        <v>2113</v>
      </c>
      <c r="M188" s="83"/>
    </row>
    <row r="189" spans="1:13" ht="30">
      <c r="A189" s="37">
        <v>1677</v>
      </c>
      <c r="B189" s="51" t="s">
        <v>37</v>
      </c>
      <c r="C189" s="9">
        <v>4097</v>
      </c>
      <c r="D189" s="4">
        <v>45809</v>
      </c>
      <c r="E189" s="4">
        <v>45838</v>
      </c>
      <c r="F189" s="40" t="s">
        <v>11</v>
      </c>
      <c r="G189" s="118">
        <v>0.01</v>
      </c>
      <c r="H189" s="2">
        <v>3.0000000000000001E-3</v>
      </c>
      <c r="I189" s="29" t="s">
        <v>95</v>
      </c>
      <c r="J189" s="4">
        <v>45824</v>
      </c>
      <c r="K189" s="18" t="s">
        <v>1975</v>
      </c>
      <c r="L189" s="11" t="s">
        <v>2114</v>
      </c>
      <c r="M189" s="83"/>
    </row>
    <row r="190" spans="1:13">
      <c r="A190" s="37">
        <v>1678</v>
      </c>
      <c r="B190" s="51" t="s">
        <v>37</v>
      </c>
      <c r="C190" s="9">
        <v>14910</v>
      </c>
      <c r="D190" s="4">
        <v>45809</v>
      </c>
      <c r="E190" s="4">
        <v>45838</v>
      </c>
      <c r="F190" s="40" t="s">
        <v>11</v>
      </c>
      <c r="G190" s="118">
        <v>200000</v>
      </c>
      <c r="H190" s="2">
        <v>5.0000000000000001E-3</v>
      </c>
      <c r="I190" s="29" t="s">
        <v>20</v>
      </c>
      <c r="J190" s="4">
        <v>45824</v>
      </c>
      <c r="K190" s="18" t="s">
        <v>1976</v>
      </c>
      <c r="L190" s="11" t="s">
        <v>128</v>
      </c>
      <c r="M190" s="83"/>
    </row>
    <row r="191" spans="1:13">
      <c r="A191" s="37">
        <v>1679</v>
      </c>
      <c r="B191" s="51" t="s">
        <v>37</v>
      </c>
      <c r="C191" s="9">
        <v>14194</v>
      </c>
      <c r="D191" s="4">
        <v>45809</v>
      </c>
      <c r="E191" s="4">
        <v>45838</v>
      </c>
      <c r="F191" s="40" t="s">
        <v>11</v>
      </c>
      <c r="G191" s="118">
        <v>1</v>
      </c>
      <c r="H191" s="2">
        <v>5.0000000000000001E-3</v>
      </c>
      <c r="I191" s="29" t="s">
        <v>20</v>
      </c>
      <c r="J191" s="4">
        <v>45824</v>
      </c>
      <c r="K191" s="18" t="s">
        <v>1977</v>
      </c>
      <c r="L191" s="11" t="s">
        <v>128</v>
      </c>
      <c r="M191" s="83"/>
    </row>
    <row r="192" spans="1:13">
      <c r="A192" s="37">
        <v>1680</v>
      </c>
      <c r="B192" s="51" t="s">
        <v>37</v>
      </c>
      <c r="C192" s="9">
        <v>3566</v>
      </c>
      <c r="D192" s="4">
        <v>45809</v>
      </c>
      <c r="E192" s="4">
        <v>45838</v>
      </c>
      <c r="F192" s="40" t="s">
        <v>11</v>
      </c>
      <c r="G192" s="118">
        <v>500000</v>
      </c>
      <c r="H192" s="2">
        <v>7.0000000000000001E-3</v>
      </c>
      <c r="I192" s="29" t="s">
        <v>20</v>
      </c>
      <c r="J192" s="4">
        <v>45824</v>
      </c>
      <c r="K192" s="18" t="s">
        <v>1978</v>
      </c>
      <c r="L192" s="11" t="s">
        <v>128</v>
      </c>
      <c r="M192" s="83"/>
    </row>
    <row r="193" spans="1:13">
      <c r="A193" s="37">
        <v>1681</v>
      </c>
      <c r="B193" s="51" t="s">
        <v>37</v>
      </c>
      <c r="C193" s="9">
        <v>9212</v>
      </c>
      <c r="D193" s="4">
        <v>45809</v>
      </c>
      <c r="E193" s="4">
        <v>45838</v>
      </c>
      <c r="F193" s="40" t="s">
        <v>11</v>
      </c>
      <c r="G193" s="118">
        <v>0.1</v>
      </c>
      <c r="H193" s="2">
        <v>1.4999999999999999E-2</v>
      </c>
      <c r="I193" s="29" t="s">
        <v>14</v>
      </c>
      <c r="J193" s="4">
        <v>45824</v>
      </c>
      <c r="K193" s="18" t="s">
        <v>1979</v>
      </c>
      <c r="L193" s="11" t="s">
        <v>1762</v>
      </c>
      <c r="M193" s="83"/>
    </row>
    <row r="194" spans="1:13">
      <c r="A194" s="37">
        <v>1682</v>
      </c>
      <c r="B194" s="51" t="s">
        <v>37</v>
      </c>
      <c r="C194" s="9">
        <v>15503</v>
      </c>
      <c r="D194" s="4">
        <v>45809</v>
      </c>
      <c r="E194" s="4">
        <v>45838</v>
      </c>
      <c r="F194" s="40" t="s">
        <v>11</v>
      </c>
      <c r="G194" s="118">
        <v>0.01</v>
      </c>
      <c r="H194" s="2">
        <v>7.4999999999999997E-3</v>
      </c>
      <c r="I194" s="29" t="s">
        <v>32</v>
      </c>
      <c r="J194" s="4">
        <v>45824</v>
      </c>
      <c r="K194" s="18" t="s">
        <v>1980</v>
      </c>
      <c r="L194" s="11" t="s">
        <v>1981</v>
      </c>
      <c r="M194" s="83"/>
    </row>
    <row r="195" spans="1:13">
      <c r="A195" s="37">
        <v>1683</v>
      </c>
      <c r="B195" s="51" t="s">
        <v>37</v>
      </c>
      <c r="C195" s="9">
        <v>3566</v>
      </c>
      <c r="D195" s="4">
        <v>45809</v>
      </c>
      <c r="E195" s="4">
        <v>45838</v>
      </c>
      <c r="F195" s="40" t="s">
        <v>11</v>
      </c>
      <c r="G195" s="118">
        <v>1</v>
      </c>
      <c r="H195" s="2">
        <v>5.0000000000000001E-3</v>
      </c>
      <c r="I195" s="29" t="s">
        <v>20</v>
      </c>
      <c r="J195" s="4">
        <v>45824</v>
      </c>
      <c r="K195" s="18" t="s">
        <v>1982</v>
      </c>
      <c r="L195" s="11" t="s">
        <v>222</v>
      </c>
      <c r="M195" s="83"/>
    </row>
    <row r="196" spans="1:13">
      <c r="A196" s="37">
        <v>1684</v>
      </c>
      <c r="B196" s="51" t="s">
        <v>37</v>
      </c>
      <c r="C196" s="9" t="s">
        <v>2056</v>
      </c>
      <c r="D196" s="4">
        <v>45809</v>
      </c>
      <c r="E196" s="4">
        <v>45838</v>
      </c>
      <c r="F196" s="40" t="s">
        <v>11</v>
      </c>
      <c r="G196" s="118">
        <v>300000</v>
      </c>
      <c r="H196" s="2">
        <v>5.0000000000000001E-3</v>
      </c>
      <c r="I196" s="29" t="s">
        <v>19</v>
      </c>
      <c r="J196" s="4">
        <v>45824</v>
      </c>
      <c r="K196" s="18" t="s">
        <v>1983</v>
      </c>
      <c r="L196" s="11" t="s">
        <v>2057</v>
      </c>
      <c r="M196" s="83"/>
    </row>
    <row r="197" spans="1:13">
      <c r="A197" s="37">
        <v>1685</v>
      </c>
      <c r="B197" s="51" t="s">
        <v>37</v>
      </c>
      <c r="C197" s="9" t="s">
        <v>1985</v>
      </c>
      <c r="D197" s="4">
        <v>45809</v>
      </c>
      <c r="E197" s="4">
        <v>45838</v>
      </c>
      <c r="F197" s="40" t="s">
        <v>11</v>
      </c>
      <c r="G197" s="118">
        <v>0.01</v>
      </c>
      <c r="H197" s="2">
        <v>1E-3</v>
      </c>
      <c r="I197" s="29" t="s">
        <v>17</v>
      </c>
      <c r="J197" s="4">
        <v>45824</v>
      </c>
      <c r="K197" s="18" t="s">
        <v>1984</v>
      </c>
      <c r="L197" s="11" t="s">
        <v>1986</v>
      </c>
      <c r="M197" s="83"/>
    </row>
    <row r="198" spans="1:13">
      <c r="A198" s="37">
        <v>1686</v>
      </c>
      <c r="B198" s="51" t="s">
        <v>37</v>
      </c>
      <c r="C198" s="9">
        <v>16591</v>
      </c>
      <c r="D198" s="4">
        <v>45809</v>
      </c>
      <c r="E198" s="4">
        <v>45838</v>
      </c>
      <c r="F198" s="40" t="s">
        <v>11</v>
      </c>
      <c r="G198" s="118">
        <v>0.01</v>
      </c>
      <c r="H198" s="2">
        <v>3.0000000000000001E-3</v>
      </c>
      <c r="I198" s="29" t="s">
        <v>18</v>
      </c>
      <c r="J198" s="4">
        <v>45821</v>
      </c>
      <c r="K198" s="18" t="s">
        <v>1987</v>
      </c>
      <c r="L198" s="11" t="s">
        <v>1988</v>
      </c>
      <c r="M198" s="83"/>
    </row>
    <row r="199" spans="1:13">
      <c r="A199" s="37">
        <v>1687</v>
      </c>
      <c r="B199" s="51" t="s">
        <v>37</v>
      </c>
      <c r="C199" s="9" t="s">
        <v>1990</v>
      </c>
      <c r="D199" s="4">
        <v>45809</v>
      </c>
      <c r="E199" s="4">
        <v>45838</v>
      </c>
      <c r="F199" s="40" t="s">
        <v>11</v>
      </c>
      <c r="G199" s="118">
        <v>1000</v>
      </c>
      <c r="H199" s="2">
        <v>3.0000000000000001E-3</v>
      </c>
      <c r="I199" s="29" t="s">
        <v>18</v>
      </c>
      <c r="J199" s="4">
        <v>45821</v>
      </c>
      <c r="K199" s="18" t="s">
        <v>1989</v>
      </c>
      <c r="L199" s="11" t="s">
        <v>1991</v>
      </c>
      <c r="M199" s="83"/>
    </row>
    <row r="200" spans="1:13">
      <c r="A200" s="37">
        <v>1688</v>
      </c>
      <c r="B200" s="51" t="s">
        <v>37</v>
      </c>
      <c r="C200" s="9" t="s">
        <v>209</v>
      </c>
      <c r="D200" s="4">
        <v>45809</v>
      </c>
      <c r="E200" s="4">
        <v>45838</v>
      </c>
      <c r="F200" s="40" t="s">
        <v>11</v>
      </c>
      <c r="G200" s="118">
        <v>500000</v>
      </c>
      <c r="H200" s="2">
        <v>1E-3</v>
      </c>
      <c r="I200" s="29" t="s">
        <v>17</v>
      </c>
      <c r="J200" s="4">
        <v>45824</v>
      </c>
      <c r="K200" s="18" t="s">
        <v>949</v>
      </c>
      <c r="L200" s="11" t="s">
        <v>1992</v>
      </c>
      <c r="M200" s="83"/>
    </row>
    <row r="201" spans="1:13">
      <c r="A201" s="37">
        <v>1689</v>
      </c>
      <c r="B201" s="51" t="s">
        <v>37</v>
      </c>
      <c r="C201" s="9">
        <v>16955</v>
      </c>
      <c r="D201" s="4">
        <v>45809</v>
      </c>
      <c r="E201" s="4">
        <v>45838</v>
      </c>
      <c r="F201" s="40" t="s">
        <v>11</v>
      </c>
      <c r="G201" s="118">
        <v>1</v>
      </c>
      <c r="H201" s="2">
        <v>6.0000000000000001E-3</v>
      </c>
      <c r="I201" s="29" t="s">
        <v>13</v>
      </c>
      <c r="J201" s="4">
        <v>45821</v>
      </c>
      <c r="K201" s="18" t="s">
        <v>1993</v>
      </c>
      <c r="L201" s="11" t="s">
        <v>107</v>
      </c>
      <c r="M201" s="83"/>
    </row>
    <row r="202" spans="1:13">
      <c r="A202" s="37">
        <v>1690</v>
      </c>
      <c r="B202" s="51" t="s">
        <v>37</v>
      </c>
      <c r="C202" s="9" t="s">
        <v>1995</v>
      </c>
      <c r="D202" s="4">
        <v>45809</v>
      </c>
      <c r="E202" s="4">
        <v>45838</v>
      </c>
      <c r="F202" s="40" t="s">
        <v>11</v>
      </c>
      <c r="G202" s="118">
        <v>500000</v>
      </c>
      <c r="H202" s="2">
        <v>5.0000000000000001E-3</v>
      </c>
      <c r="I202" s="29" t="s">
        <v>141</v>
      </c>
      <c r="J202" s="4">
        <v>45821</v>
      </c>
      <c r="K202" s="18" t="s">
        <v>1994</v>
      </c>
      <c r="L202" s="11" t="s">
        <v>2112</v>
      </c>
      <c r="M202" s="83"/>
    </row>
    <row r="203" spans="1:13">
      <c r="A203" s="37">
        <v>1691</v>
      </c>
      <c r="B203" s="51" t="s">
        <v>37</v>
      </c>
      <c r="C203" s="9">
        <v>936</v>
      </c>
      <c r="D203" s="4">
        <v>45809</v>
      </c>
      <c r="E203" s="4">
        <v>45838</v>
      </c>
      <c r="F203" s="40" t="s">
        <v>11</v>
      </c>
      <c r="G203" s="118">
        <v>0.01</v>
      </c>
      <c r="H203" s="2">
        <v>2E-3</v>
      </c>
      <c r="I203" s="29" t="s">
        <v>19</v>
      </c>
      <c r="J203" s="4">
        <v>45824</v>
      </c>
      <c r="K203" s="18" t="s">
        <v>1996</v>
      </c>
      <c r="L203" s="11" t="s">
        <v>1997</v>
      </c>
      <c r="M203" s="83"/>
    </row>
    <row r="204" spans="1:13">
      <c r="A204" s="37">
        <v>1692</v>
      </c>
      <c r="B204" s="51" t="s">
        <v>37</v>
      </c>
      <c r="C204" s="9">
        <v>13718</v>
      </c>
      <c r="D204" s="4">
        <v>45809</v>
      </c>
      <c r="E204" s="4">
        <v>45838</v>
      </c>
      <c r="F204" s="40" t="s">
        <v>11</v>
      </c>
      <c r="G204" s="118">
        <v>0.01</v>
      </c>
      <c r="H204" s="2">
        <v>5.0000000000000001E-3</v>
      </c>
      <c r="I204" s="29" t="s">
        <v>32</v>
      </c>
      <c r="J204" s="4">
        <v>45824</v>
      </c>
      <c r="K204" s="18" t="s">
        <v>1917</v>
      </c>
      <c r="L204" s="11" t="s">
        <v>1998</v>
      </c>
      <c r="M204" s="83"/>
    </row>
    <row r="205" spans="1:13">
      <c r="A205" s="37">
        <v>1693</v>
      </c>
      <c r="B205" s="51" t="s">
        <v>37</v>
      </c>
      <c r="C205" s="9">
        <v>16238</v>
      </c>
      <c r="D205" s="4">
        <v>45809</v>
      </c>
      <c r="E205" s="4">
        <v>45838</v>
      </c>
      <c r="F205" s="40" t="s">
        <v>11</v>
      </c>
      <c r="G205" s="118">
        <v>0.01</v>
      </c>
      <c r="H205" s="2">
        <v>1.4999999999999999E-2</v>
      </c>
      <c r="I205" s="29" t="s">
        <v>19</v>
      </c>
      <c r="J205" s="4">
        <v>45824</v>
      </c>
      <c r="K205" s="18" t="s">
        <v>1999</v>
      </c>
      <c r="L205" s="11" t="s">
        <v>2000</v>
      </c>
      <c r="M205" s="83"/>
    </row>
    <row r="206" spans="1:13" ht="30">
      <c r="A206" s="37">
        <v>1694</v>
      </c>
      <c r="B206" s="51" t="s">
        <v>37</v>
      </c>
      <c r="C206" s="9">
        <v>13669</v>
      </c>
      <c r="D206" s="4">
        <v>45809</v>
      </c>
      <c r="E206" s="4">
        <v>45838</v>
      </c>
      <c r="F206" s="40" t="s">
        <v>11</v>
      </c>
      <c r="G206" s="118">
        <v>0.01</v>
      </c>
      <c r="H206" s="2">
        <v>3.0000000000000001E-3</v>
      </c>
      <c r="I206" s="29" t="s">
        <v>95</v>
      </c>
      <c r="J206" s="4">
        <v>45824</v>
      </c>
      <c r="K206" s="18" t="s">
        <v>2001</v>
      </c>
      <c r="L206" s="11" t="s">
        <v>107</v>
      </c>
      <c r="M206" s="83"/>
    </row>
    <row r="207" spans="1:13" ht="30">
      <c r="A207" s="37">
        <v>1695</v>
      </c>
      <c r="B207" s="51" t="s">
        <v>37</v>
      </c>
      <c r="C207" s="9">
        <v>17192</v>
      </c>
      <c r="D207" s="4">
        <v>45809</v>
      </c>
      <c r="E207" s="4">
        <v>45838</v>
      </c>
      <c r="F207" s="40" t="s">
        <v>11</v>
      </c>
      <c r="G207" s="118">
        <v>0.01</v>
      </c>
      <c r="H207" s="2">
        <v>3.0000000000000001E-3</v>
      </c>
      <c r="I207" s="29" t="s">
        <v>95</v>
      </c>
      <c r="J207" s="4">
        <v>45824</v>
      </c>
      <c r="K207" s="18" t="s">
        <v>2002</v>
      </c>
      <c r="L207" s="11" t="s">
        <v>107</v>
      </c>
      <c r="M207" s="83"/>
    </row>
    <row r="208" spans="1:13" ht="30">
      <c r="A208" s="37">
        <v>1696</v>
      </c>
      <c r="B208" s="51" t="s">
        <v>37</v>
      </c>
      <c r="C208" s="9">
        <v>11301</v>
      </c>
      <c r="D208" s="4">
        <v>45809</v>
      </c>
      <c r="E208" s="4">
        <v>45838</v>
      </c>
      <c r="F208" s="40" t="s">
        <v>11</v>
      </c>
      <c r="G208" s="118">
        <v>0.01</v>
      </c>
      <c r="H208" s="2">
        <v>3.0000000000000001E-3</v>
      </c>
      <c r="I208" s="29" t="s">
        <v>95</v>
      </c>
      <c r="J208" s="4">
        <v>45824</v>
      </c>
      <c r="K208" s="18" t="s">
        <v>2003</v>
      </c>
      <c r="L208" s="11" t="s">
        <v>107</v>
      </c>
      <c r="M208" s="83"/>
    </row>
    <row r="209" spans="1:13" ht="30">
      <c r="A209" s="37">
        <v>1697</v>
      </c>
      <c r="B209" s="51" t="s">
        <v>37</v>
      </c>
      <c r="C209" s="9">
        <v>14511</v>
      </c>
      <c r="D209" s="4">
        <v>45809</v>
      </c>
      <c r="E209" s="4">
        <v>45838</v>
      </c>
      <c r="F209" s="40" t="s">
        <v>11</v>
      </c>
      <c r="G209" s="118">
        <v>0.01</v>
      </c>
      <c r="H209" s="2">
        <v>5.0000000000000001E-3</v>
      </c>
      <c r="I209" s="29" t="s">
        <v>95</v>
      </c>
      <c r="J209" s="4">
        <v>45824</v>
      </c>
      <c r="K209" s="18" t="s">
        <v>2004</v>
      </c>
      <c r="L209" s="11" t="s">
        <v>107</v>
      </c>
      <c r="M209" s="83"/>
    </row>
    <row r="210" spans="1:13" ht="30">
      <c r="A210" s="37">
        <v>1698</v>
      </c>
      <c r="B210" s="51" t="s">
        <v>37</v>
      </c>
      <c r="C210" s="9">
        <v>13128</v>
      </c>
      <c r="D210" s="4">
        <v>45809</v>
      </c>
      <c r="E210" s="4">
        <v>45838</v>
      </c>
      <c r="F210" s="40" t="s">
        <v>11</v>
      </c>
      <c r="G210" s="118">
        <v>0.01</v>
      </c>
      <c r="H210" s="2">
        <v>3.0000000000000001E-3</v>
      </c>
      <c r="I210" s="29" t="s">
        <v>95</v>
      </c>
      <c r="J210" s="4">
        <v>45824</v>
      </c>
      <c r="K210" s="18" t="s">
        <v>2005</v>
      </c>
      <c r="L210" s="11" t="s">
        <v>107</v>
      </c>
      <c r="M210" s="83"/>
    </row>
    <row r="211" spans="1:13" ht="30">
      <c r="A211" s="37">
        <v>1699</v>
      </c>
      <c r="B211" s="51" t="s">
        <v>37</v>
      </c>
      <c r="C211" s="9">
        <v>17636</v>
      </c>
      <c r="D211" s="4">
        <v>45809</v>
      </c>
      <c r="E211" s="4">
        <v>45838</v>
      </c>
      <c r="F211" s="40" t="s">
        <v>11</v>
      </c>
      <c r="G211" s="118">
        <v>0.01</v>
      </c>
      <c r="H211" s="2">
        <v>5.0000000000000001E-3</v>
      </c>
      <c r="I211" s="29" t="s">
        <v>95</v>
      </c>
      <c r="J211" s="4">
        <v>45824</v>
      </c>
      <c r="K211" s="18" t="s">
        <v>2006</v>
      </c>
      <c r="L211" s="11" t="s">
        <v>107</v>
      </c>
      <c r="M211" s="83"/>
    </row>
    <row r="212" spans="1:13" ht="30">
      <c r="A212" s="37">
        <v>1700</v>
      </c>
      <c r="B212" s="51" t="s">
        <v>37</v>
      </c>
      <c r="C212" s="9">
        <v>14291</v>
      </c>
      <c r="D212" s="4">
        <v>45809</v>
      </c>
      <c r="E212" s="4">
        <v>45838</v>
      </c>
      <c r="F212" s="40" t="s">
        <v>11</v>
      </c>
      <c r="G212" s="118">
        <v>0.01</v>
      </c>
      <c r="H212" s="2">
        <v>2.5000000000000001E-3</v>
      </c>
      <c r="I212" s="29" t="s">
        <v>95</v>
      </c>
      <c r="J212" s="4">
        <v>45824</v>
      </c>
      <c r="K212" s="18" t="s">
        <v>2007</v>
      </c>
      <c r="L212" s="11" t="s">
        <v>107</v>
      </c>
      <c r="M212" s="83"/>
    </row>
    <row r="213" spans="1:13" ht="30">
      <c r="A213" s="37">
        <v>1701</v>
      </c>
      <c r="B213" s="51" t="s">
        <v>37</v>
      </c>
      <c r="C213" s="9">
        <v>17401</v>
      </c>
      <c r="D213" s="4">
        <v>45809</v>
      </c>
      <c r="E213" s="4">
        <v>45838</v>
      </c>
      <c r="F213" s="40" t="s">
        <v>11</v>
      </c>
      <c r="G213" s="118">
        <v>0.01</v>
      </c>
      <c r="H213" s="2">
        <v>3.0000000000000001E-3</v>
      </c>
      <c r="I213" s="29" t="s">
        <v>95</v>
      </c>
      <c r="J213" s="4">
        <v>45824</v>
      </c>
      <c r="K213" s="18" t="s">
        <v>2008</v>
      </c>
      <c r="L213" s="11" t="s">
        <v>107</v>
      </c>
      <c r="M213" s="83"/>
    </row>
    <row r="214" spans="1:13" ht="30">
      <c r="A214" s="37">
        <v>1702</v>
      </c>
      <c r="B214" s="51" t="s">
        <v>37</v>
      </c>
      <c r="C214" s="9">
        <v>15692</v>
      </c>
      <c r="D214" s="4">
        <v>45809</v>
      </c>
      <c r="E214" s="4">
        <v>45838</v>
      </c>
      <c r="F214" s="40" t="s">
        <v>11</v>
      </c>
      <c r="G214" s="118">
        <v>0.01</v>
      </c>
      <c r="H214" s="2">
        <v>7.0000000000000001E-3</v>
      </c>
      <c r="I214" s="29" t="s">
        <v>95</v>
      </c>
      <c r="J214" s="4">
        <v>45824</v>
      </c>
      <c r="K214" s="18" t="s">
        <v>2009</v>
      </c>
      <c r="L214" s="11" t="s">
        <v>2010</v>
      </c>
      <c r="M214" s="83"/>
    </row>
    <row r="215" spans="1:13">
      <c r="A215" s="37">
        <v>1703</v>
      </c>
      <c r="B215" s="51" t="s">
        <v>37</v>
      </c>
      <c r="C215" s="9">
        <v>14938</v>
      </c>
      <c r="D215" s="4">
        <v>45809</v>
      </c>
      <c r="E215" s="4">
        <v>45838</v>
      </c>
      <c r="F215" s="40" t="s">
        <v>11</v>
      </c>
      <c r="G215" s="118">
        <v>1000</v>
      </c>
      <c r="H215" s="2">
        <v>4.0000000000000001E-3</v>
      </c>
      <c r="I215" s="29" t="s">
        <v>18</v>
      </c>
      <c r="J215" s="4">
        <v>45825</v>
      </c>
      <c r="K215" s="18" t="s">
        <v>1708</v>
      </c>
      <c r="L215" s="11" t="s">
        <v>2011</v>
      </c>
      <c r="M215" s="83"/>
    </row>
    <row r="216" spans="1:13">
      <c r="A216" s="37">
        <v>1704</v>
      </c>
      <c r="B216" s="51" t="s">
        <v>37</v>
      </c>
      <c r="C216" s="9">
        <v>17051</v>
      </c>
      <c r="D216" s="4">
        <v>45809</v>
      </c>
      <c r="E216" s="4">
        <v>45838</v>
      </c>
      <c r="F216" s="40" t="s">
        <v>11</v>
      </c>
      <c r="G216" s="118">
        <v>1</v>
      </c>
      <c r="H216" s="2">
        <v>1.5E-3</v>
      </c>
      <c r="I216" s="29" t="s">
        <v>19</v>
      </c>
      <c r="J216" s="4">
        <v>45824</v>
      </c>
      <c r="K216" s="18" t="s">
        <v>2012</v>
      </c>
      <c r="L216" s="11" t="s">
        <v>107</v>
      </c>
      <c r="M216" s="83"/>
    </row>
    <row r="217" spans="1:13">
      <c r="A217" s="37">
        <v>1705</v>
      </c>
      <c r="B217" s="51" t="s">
        <v>37</v>
      </c>
      <c r="C217" s="9">
        <v>15516</v>
      </c>
      <c r="D217" s="4">
        <v>45809</v>
      </c>
      <c r="E217" s="4">
        <v>45838</v>
      </c>
      <c r="F217" s="40" t="s">
        <v>11</v>
      </c>
      <c r="G217" s="118">
        <v>1</v>
      </c>
      <c r="H217" s="2">
        <v>4.0000000000000001E-3</v>
      </c>
      <c r="I217" s="29" t="s">
        <v>19</v>
      </c>
      <c r="J217" s="4">
        <v>45824</v>
      </c>
      <c r="K217" s="18" t="s">
        <v>2013</v>
      </c>
      <c r="L217" s="11" t="s">
        <v>107</v>
      </c>
      <c r="M217" s="83"/>
    </row>
    <row r="218" spans="1:13">
      <c r="A218" s="37">
        <v>1706</v>
      </c>
      <c r="B218" s="51" t="s">
        <v>37</v>
      </c>
      <c r="C218" s="9">
        <v>12732</v>
      </c>
      <c r="D218" s="4">
        <v>45809</v>
      </c>
      <c r="E218" s="4">
        <v>45838</v>
      </c>
      <c r="F218" s="40" t="s">
        <v>11</v>
      </c>
      <c r="G218" s="118">
        <v>1</v>
      </c>
      <c r="H218" s="2">
        <v>5.0000000000000001E-3</v>
      </c>
      <c r="I218" s="29" t="s">
        <v>29</v>
      </c>
      <c r="J218" s="4">
        <v>45824</v>
      </c>
      <c r="K218" s="18" t="s">
        <v>2014</v>
      </c>
      <c r="L218" s="11" t="s">
        <v>107</v>
      </c>
      <c r="M218" s="83"/>
    </row>
    <row r="219" spans="1:13">
      <c r="A219" s="37">
        <v>1707</v>
      </c>
      <c r="B219" s="51" t="s">
        <v>37</v>
      </c>
      <c r="C219" s="9">
        <v>17143</v>
      </c>
      <c r="D219" s="4">
        <v>45809</v>
      </c>
      <c r="E219" s="4">
        <v>45838</v>
      </c>
      <c r="F219" s="40" t="s">
        <v>11</v>
      </c>
      <c r="G219" s="118">
        <v>1</v>
      </c>
      <c r="H219" s="2">
        <v>2.5000000000000001E-3</v>
      </c>
      <c r="I219" s="29" t="s">
        <v>19</v>
      </c>
      <c r="J219" s="4">
        <v>45824</v>
      </c>
      <c r="K219" s="18" t="s">
        <v>2015</v>
      </c>
      <c r="L219" s="11" t="s">
        <v>107</v>
      </c>
      <c r="M219" s="83"/>
    </row>
    <row r="220" spans="1:13">
      <c r="A220" s="37">
        <v>1708</v>
      </c>
      <c r="B220" s="51" t="s">
        <v>37</v>
      </c>
      <c r="C220" s="9">
        <v>16892</v>
      </c>
      <c r="D220" s="4">
        <v>45809</v>
      </c>
      <c r="E220" s="4">
        <v>45838</v>
      </c>
      <c r="F220" s="40" t="s">
        <v>11</v>
      </c>
      <c r="G220" s="118">
        <v>1</v>
      </c>
      <c r="H220" s="2">
        <v>3.0000000000000001E-3</v>
      </c>
      <c r="I220" s="29" t="s">
        <v>19</v>
      </c>
      <c r="J220" s="4">
        <v>45824</v>
      </c>
      <c r="K220" s="18" t="s">
        <v>2016</v>
      </c>
      <c r="L220" s="11" t="s">
        <v>107</v>
      </c>
      <c r="M220" s="83"/>
    </row>
    <row r="221" spans="1:13">
      <c r="A221" s="37">
        <v>1709</v>
      </c>
      <c r="B221" s="51" t="s">
        <v>37</v>
      </c>
      <c r="C221" s="9">
        <v>15632</v>
      </c>
      <c r="D221" s="4">
        <v>45809</v>
      </c>
      <c r="E221" s="4">
        <v>45838</v>
      </c>
      <c r="F221" s="40" t="s">
        <v>11</v>
      </c>
      <c r="G221" s="118">
        <v>1</v>
      </c>
      <c r="H221" s="2">
        <v>3.0000000000000001E-3</v>
      </c>
      <c r="I221" s="29" t="s">
        <v>19</v>
      </c>
      <c r="J221" s="4">
        <v>45824</v>
      </c>
      <c r="K221" s="18" t="s">
        <v>2017</v>
      </c>
      <c r="L221" s="11" t="s">
        <v>107</v>
      </c>
      <c r="M221" s="83"/>
    </row>
    <row r="222" spans="1:13">
      <c r="A222" s="37">
        <v>1710</v>
      </c>
      <c r="B222" s="51" t="s">
        <v>37</v>
      </c>
      <c r="C222" s="9">
        <v>11820</v>
      </c>
      <c r="D222" s="4">
        <v>45809</v>
      </c>
      <c r="E222" s="4">
        <v>45838</v>
      </c>
      <c r="F222" s="40" t="s">
        <v>11</v>
      </c>
      <c r="G222" s="118">
        <v>1</v>
      </c>
      <c r="H222" s="2">
        <v>7.4999999999999997E-3</v>
      </c>
      <c r="I222" s="29" t="s">
        <v>19</v>
      </c>
      <c r="J222" s="4">
        <v>45824</v>
      </c>
      <c r="K222" s="18" t="s">
        <v>2018</v>
      </c>
      <c r="L222" s="11" t="s">
        <v>107</v>
      </c>
      <c r="M222" s="83"/>
    </row>
    <row r="223" spans="1:13">
      <c r="A223" s="37">
        <v>1711</v>
      </c>
      <c r="B223" s="51" t="s">
        <v>37</v>
      </c>
      <c r="C223" s="9">
        <v>7274</v>
      </c>
      <c r="D223" s="4">
        <v>45824</v>
      </c>
      <c r="E223" s="4">
        <v>45838</v>
      </c>
      <c r="F223" s="40" t="s">
        <v>11</v>
      </c>
      <c r="G223" s="118">
        <v>0.01</v>
      </c>
      <c r="H223" s="2">
        <v>5.0000000000000001E-3</v>
      </c>
      <c r="I223" s="29" t="s">
        <v>30</v>
      </c>
      <c r="J223" s="4">
        <v>45825</v>
      </c>
      <c r="K223" s="18" t="s">
        <v>2019</v>
      </c>
      <c r="L223" s="11" t="s">
        <v>2020</v>
      </c>
      <c r="M223" s="83"/>
    </row>
    <row r="224" spans="1:13">
      <c r="A224" s="37">
        <v>1712</v>
      </c>
      <c r="B224" s="51" t="s">
        <v>37</v>
      </c>
      <c r="C224" s="9">
        <v>5986</v>
      </c>
      <c r="D224" s="4">
        <v>45824</v>
      </c>
      <c r="E224" s="4">
        <v>45838</v>
      </c>
      <c r="F224" s="40" t="s">
        <v>11</v>
      </c>
      <c r="G224" s="118">
        <v>0.01</v>
      </c>
      <c r="H224" s="2">
        <v>5.0000000000000001E-3</v>
      </c>
      <c r="I224" s="29" t="s">
        <v>30</v>
      </c>
      <c r="J224" s="4">
        <v>45825</v>
      </c>
      <c r="K224" s="18" t="s">
        <v>2019</v>
      </c>
      <c r="L224" s="11" t="s">
        <v>2020</v>
      </c>
      <c r="M224" s="83"/>
    </row>
    <row r="225" spans="1:13">
      <c r="A225" s="37">
        <v>1713</v>
      </c>
      <c r="B225" s="51" t="s">
        <v>37</v>
      </c>
      <c r="C225" s="9">
        <v>14876</v>
      </c>
      <c r="D225" s="4">
        <v>45824</v>
      </c>
      <c r="E225" s="4">
        <v>45838</v>
      </c>
      <c r="F225" s="40" t="s">
        <v>11</v>
      </c>
      <c r="G225" s="118">
        <v>0.01</v>
      </c>
      <c r="H225" s="2">
        <v>5.0000000000000001E-3</v>
      </c>
      <c r="I225" s="29" t="s">
        <v>30</v>
      </c>
      <c r="J225" s="4">
        <v>45825</v>
      </c>
      <c r="K225" s="18" t="s">
        <v>2019</v>
      </c>
      <c r="L225" s="11" t="s">
        <v>2020</v>
      </c>
      <c r="M225" s="83"/>
    </row>
    <row r="226" spans="1:13">
      <c r="A226" s="37">
        <v>1714</v>
      </c>
      <c r="B226" s="51" t="s">
        <v>37</v>
      </c>
      <c r="C226" s="9">
        <v>14399</v>
      </c>
      <c r="D226" s="4">
        <v>45824</v>
      </c>
      <c r="E226" s="4">
        <v>45838</v>
      </c>
      <c r="F226" s="40" t="s">
        <v>11</v>
      </c>
      <c r="G226" s="118">
        <v>0.01</v>
      </c>
      <c r="H226" s="2">
        <v>5.0000000000000001E-3</v>
      </c>
      <c r="I226" s="29" t="s">
        <v>30</v>
      </c>
      <c r="J226" s="4">
        <v>45825</v>
      </c>
      <c r="K226" s="18" t="s">
        <v>2019</v>
      </c>
      <c r="L226" s="11" t="s">
        <v>2020</v>
      </c>
      <c r="M226" s="83"/>
    </row>
    <row r="227" spans="1:13">
      <c r="A227" s="37">
        <v>1715</v>
      </c>
      <c r="B227" s="51" t="s">
        <v>37</v>
      </c>
      <c r="C227" s="9" t="s">
        <v>2022</v>
      </c>
      <c r="D227" s="4">
        <v>45809</v>
      </c>
      <c r="E227" s="4">
        <v>45838</v>
      </c>
      <c r="F227" s="40" t="s">
        <v>11</v>
      </c>
      <c r="G227" s="118">
        <v>200000</v>
      </c>
      <c r="H227" s="2">
        <v>7.4999999999999997E-3</v>
      </c>
      <c r="I227" s="29" t="s">
        <v>20</v>
      </c>
      <c r="J227" s="4">
        <v>45825</v>
      </c>
      <c r="K227" s="18" t="s">
        <v>2021</v>
      </c>
      <c r="L227" s="11" t="s">
        <v>2109</v>
      </c>
      <c r="M227" s="83"/>
    </row>
    <row r="228" spans="1:13">
      <c r="A228" s="37">
        <v>1716</v>
      </c>
      <c r="B228" s="51" t="s">
        <v>37</v>
      </c>
      <c r="C228" s="9">
        <v>16102</v>
      </c>
      <c r="D228" s="4">
        <v>45825</v>
      </c>
      <c r="E228" s="4">
        <v>45838</v>
      </c>
      <c r="F228" s="40" t="s">
        <v>11</v>
      </c>
      <c r="G228" s="118">
        <v>1000</v>
      </c>
      <c r="H228" s="2">
        <v>0.02</v>
      </c>
      <c r="I228" s="29" t="s">
        <v>25</v>
      </c>
      <c r="J228" s="4">
        <v>45825</v>
      </c>
      <c r="K228" s="18" t="s">
        <v>2023</v>
      </c>
      <c r="L228" s="11" t="s">
        <v>2024</v>
      </c>
      <c r="M228" s="83"/>
    </row>
    <row r="229" spans="1:13">
      <c r="A229" s="37">
        <v>1717</v>
      </c>
      <c r="B229" s="51" t="s">
        <v>37</v>
      </c>
      <c r="C229" s="9" t="s">
        <v>2026</v>
      </c>
      <c r="D229" s="4">
        <v>45809</v>
      </c>
      <c r="E229" s="4">
        <v>45838</v>
      </c>
      <c r="F229" s="40" t="s">
        <v>11</v>
      </c>
      <c r="G229" s="118">
        <v>0.01</v>
      </c>
      <c r="H229" s="2">
        <v>6.4999999999999997E-3</v>
      </c>
      <c r="I229" s="29" t="s">
        <v>20</v>
      </c>
      <c r="J229" s="4">
        <v>45825</v>
      </c>
      <c r="K229" s="18" t="s">
        <v>2025</v>
      </c>
      <c r="L229" s="11" t="s">
        <v>2110</v>
      </c>
      <c r="M229" s="83"/>
    </row>
    <row r="230" spans="1:13">
      <c r="A230" s="37">
        <v>1718</v>
      </c>
      <c r="B230" s="51" t="s">
        <v>37</v>
      </c>
      <c r="C230" s="9">
        <v>17683</v>
      </c>
      <c r="D230" s="4">
        <v>45809</v>
      </c>
      <c r="E230" s="4">
        <v>45838</v>
      </c>
      <c r="F230" s="40" t="s">
        <v>11</v>
      </c>
      <c r="G230" s="118">
        <v>0.01</v>
      </c>
      <c r="H230" s="2">
        <v>6.4999999999999997E-3</v>
      </c>
      <c r="I230" s="29" t="s">
        <v>20</v>
      </c>
      <c r="J230" s="4">
        <v>45825</v>
      </c>
      <c r="K230" s="18" t="s">
        <v>2027</v>
      </c>
      <c r="L230" s="11" t="s">
        <v>107</v>
      </c>
      <c r="M230" s="83"/>
    </row>
    <row r="231" spans="1:13">
      <c r="A231" s="37">
        <v>1719</v>
      </c>
      <c r="B231" s="51" t="s">
        <v>37</v>
      </c>
      <c r="C231" s="9">
        <v>9248</v>
      </c>
      <c r="D231" s="4">
        <v>45809</v>
      </c>
      <c r="E231" s="4">
        <v>45838</v>
      </c>
      <c r="F231" s="40" t="s">
        <v>11</v>
      </c>
      <c r="G231" s="118">
        <v>1</v>
      </c>
      <c r="H231" s="2">
        <v>5.0000000000000001E-3</v>
      </c>
      <c r="I231" s="29" t="s">
        <v>20</v>
      </c>
      <c r="J231" s="4">
        <v>45825</v>
      </c>
      <c r="K231" s="18" t="s">
        <v>1972</v>
      </c>
      <c r="L231" s="11" t="s">
        <v>222</v>
      </c>
      <c r="M231" s="83"/>
    </row>
    <row r="232" spans="1:13">
      <c r="A232" s="37">
        <v>1720</v>
      </c>
      <c r="B232" s="51" t="s">
        <v>37</v>
      </c>
      <c r="C232" s="9" t="s">
        <v>2029</v>
      </c>
      <c r="D232" s="4">
        <v>45810</v>
      </c>
      <c r="E232" s="4">
        <v>45838</v>
      </c>
      <c r="F232" s="40" t="s">
        <v>1913</v>
      </c>
      <c r="G232" s="118">
        <v>500000</v>
      </c>
      <c r="H232" s="2">
        <v>3.0000000000000001E-3</v>
      </c>
      <c r="I232" s="29" t="s">
        <v>16</v>
      </c>
      <c r="J232" s="4">
        <v>45824</v>
      </c>
      <c r="K232" s="18" t="s">
        <v>2028</v>
      </c>
      <c r="L232" s="11" t="s">
        <v>2030</v>
      </c>
      <c r="M232" s="83"/>
    </row>
    <row r="233" spans="1:13">
      <c r="A233" s="37">
        <v>1721</v>
      </c>
      <c r="B233" s="51" t="s">
        <v>37</v>
      </c>
      <c r="C233" s="9">
        <v>14003</v>
      </c>
      <c r="D233" s="4">
        <v>45809</v>
      </c>
      <c r="E233" s="4">
        <v>45838</v>
      </c>
      <c r="F233" s="40" t="s">
        <v>11</v>
      </c>
      <c r="G233" s="118">
        <v>150000</v>
      </c>
      <c r="H233" s="2">
        <v>5.0000000000000001E-3</v>
      </c>
      <c r="I233" s="29" t="s">
        <v>20</v>
      </c>
      <c r="J233" s="4">
        <v>45825</v>
      </c>
      <c r="K233" s="18" t="s">
        <v>2031</v>
      </c>
      <c r="L233" s="11" t="s">
        <v>107</v>
      </c>
      <c r="M233" s="83"/>
    </row>
    <row r="234" spans="1:13">
      <c r="A234" s="37">
        <v>1722</v>
      </c>
      <c r="B234" s="51" t="s">
        <v>37</v>
      </c>
      <c r="C234" s="9">
        <v>15008</v>
      </c>
      <c r="D234" s="4">
        <v>45809</v>
      </c>
      <c r="E234" s="4">
        <v>45838</v>
      </c>
      <c r="F234" s="40" t="s">
        <v>11</v>
      </c>
      <c r="G234" s="118">
        <v>200000</v>
      </c>
      <c r="H234" s="2">
        <v>7.4999999999999997E-3</v>
      </c>
      <c r="I234" s="29" t="s">
        <v>20</v>
      </c>
      <c r="J234" s="4">
        <v>45825</v>
      </c>
      <c r="K234" s="18" t="s">
        <v>2032</v>
      </c>
      <c r="L234" s="11" t="s">
        <v>107</v>
      </c>
      <c r="M234" s="83"/>
    </row>
    <row r="235" spans="1:13">
      <c r="A235" s="37">
        <v>1723</v>
      </c>
      <c r="B235" s="51" t="s">
        <v>37</v>
      </c>
      <c r="C235" s="9" t="s">
        <v>2034</v>
      </c>
      <c r="D235" s="4">
        <v>45809</v>
      </c>
      <c r="E235" s="4">
        <v>45838</v>
      </c>
      <c r="F235" s="40" t="s">
        <v>11</v>
      </c>
      <c r="G235" s="118">
        <v>0.01</v>
      </c>
      <c r="H235" s="2">
        <v>2.5000000000000001E-3</v>
      </c>
      <c r="I235" s="29" t="s">
        <v>20</v>
      </c>
      <c r="J235" s="4">
        <v>45825</v>
      </c>
      <c r="K235" s="18" t="s">
        <v>2033</v>
      </c>
      <c r="L235" s="11" t="s">
        <v>2111</v>
      </c>
      <c r="M235" s="83"/>
    </row>
    <row r="236" spans="1:13">
      <c r="A236" s="37">
        <v>1724</v>
      </c>
      <c r="B236" s="51" t="s">
        <v>37</v>
      </c>
      <c r="C236" s="9">
        <v>9248</v>
      </c>
      <c r="D236" s="4">
        <v>45809</v>
      </c>
      <c r="E236" s="4">
        <v>45838</v>
      </c>
      <c r="F236" s="40" t="s">
        <v>11</v>
      </c>
      <c r="G236" s="118">
        <v>0.01</v>
      </c>
      <c r="H236" s="2">
        <v>6.4999999999999997E-3</v>
      </c>
      <c r="I236" s="29" t="s">
        <v>20</v>
      </c>
      <c r="J236" s="4">
        <v>45825</v>
      </c>
      <c r="K236" s="18" t="s">
        <v>2035</v>
      </c>
      <c r="L236" s="11" t="s">
        <v>107</v>
      </c>
      <c r="M236" s="83"/>
    </row>
    <row r="237" spans="1:13">
      <c r="A237" s="37">
        <v>1725</v>
      </c>
      <c r="B237" s="51" t="s">
        <v>37</v>
      </c>
      <c r="C237" s="9">
        <v>14105</v>
      </c>
      <c r="D237" s="4">
        <v>45809</v>
      </c>
      <c r="E237" s="4">
        <v>45838</v>
      </c>
      <c r="F237" s="40" t="s">
        <v>11</v>
      </c>
      <c r="G237" s="118">
        <v>0.01</v>
      </c>
      <c r="H237" s="2">
        <v>0.2</v>
      </c>
      <c r="I237" s="29" t="s">
        <v>32</v>
      </c>
      <c r="J237" s="4">
        <v>45825</v>
      </c>
      <c r="K237" s="18" t="s">
        <v>2036</v>
      </c>
      <c r="L237" s="11" t="s">
        <v>2037</v>
      </c>
      <c r="M237" s="83"/>
    </row>
    <row r="238" spans="1:13">
      <c r="A238" s="37">
        <v>1726</v>
      </c>
      <c r="B238" s="51" t="s">
        <v>37</v>
      </c>
      <c r="C238" s="9">
        <v>14105</v>
      </c>
      <c r="D238" s="4">
        <v>45809</v>
      </c>
      <c r="E238" s="4">
        <v>45838</v>
      </c>
      <c r="F238" s="40" t="s">
        <v>11</v>
      </c>
      <c r="G238" s="118">
        <v>0.01</v>
      </c>
      <c r="H238" s="2">
        <v>0.02</v>
      </c>
      <c r="I238" s="29" t="s">
        <v>32</v>
      </c>
      <c r="J238" s="4">
        <v>45825</v>
      </c>
      <c r="K238" s="18" t="s">
        <v>2036</v>
      </c>
      <c r="L238" s="11" t="s">
        <v>2038</v>
      </c>
      <c r="M238" s="83"/>
    </row>
    <row r="239" spans="1:13">
      <c r="A239" s="37">
        <v>1727</v>
      </c>
      <c r="B239" s="51" t="s">
        <v>37</v>
      </c>
      <c r="C239" s="9">
        <v>16055</v>
      </c>
      <c r="D239" s="4">
        <v>45809</v>
      </c>
      <c r="E239" s="4">
        <v>45838</v>
      </c>
      <c r="F239" s="40" t="s">
        <v>11</v>
      </c>
      <c r="G239" s="118">
        <v>0.01</v>
      </c>
      <c r="H239" s="2">
        <v>7.4999999999999997E-3</v>
      </c>
      <c r="I239" s="29" t="s">
        <v>168</v>
      </c>
      <c r="J239" s="4">
        <v>45825</v>
      </c>
      <c r="K239" s="18" t="s">
        <v>2039</v>
      </c>
      <c r="L239" s="11" t="s">
        <v>107</v>
      </c>
      <c r="M239" s="83"/>
    </row>
    <row r="240" spans="1:13" ht="30">
      <c r="A240" s="37">
        <v>1728</v>
      </c>
      <c r="B240" s="51" t="s">
        <v>37</v>
      </c>
      <c r="C240" s="9">
        <v>13113</v>
      </c>
      <c r="D240" s="4">
        <v>45809</v>
      </c>
      <c r="E240" s="4">
        <v>45838</v>
      </c>
      <c r="F240" s="40" t="s">
        <v>11</v>
      </c>
      <c r="G240" s="118">
        <v>0.01</v>
      </c>
      <c r="H240" s="2">
        <v>5.0000000000000001E-3</v>
      </c>
      <c r="I240" s="29" t="s">
        <v>34</v>
      </c>
      <c r="J240" s="4">
        <v>45825</v>
      </c>
      <c r="K240" s="18" t="s">
        <v>2040</v>
      </c>
      <c r="L240" s="11" t="s">
        <v>2042</v>
      </c>
      <c r="M240" s="83"/>
    </row>
    <row r="241" spans="1:13">
      <c r="A241" s="37">
        <v>1729</v>
      </c>
      <c r="B241" s="51" t="s">
        <v>37</v>
      </c>
      <c r="C241" s="9">
        <v>13113</v>
      </c>
      <c r="D241" s="4">
        <v>45809</v>
      </c>
      <c r="E241" s="4">
        <v>45838</v>
      </c>
      <c r="F241" s="40" t="s">
        <v>11</v>
      </c>
      <c r="G241" s="118">
        <v>0.01</v>
      </c>
      <c r="H241" s="2">
        <v>0.01</v>
      </c>
      <c r="I241" s="29" t="s">
        <v>34</v>
      </c>
      <c r="J241" s="4">
        <v>45825</v>
      </c>
      <c r="K241" s="18" t="s">
        <v>2040</v>
      </c>
      <c r="L241" s="11" t="s">
        <v>2041</v>
      </c>
      <c r="M241" s="83"/>
    </row>
    <row r="242" spans="1:13">
      <c r="A242" s="37">
        <v>1730</v>
      </c>
      <c r="B242" s="51" t="s">
        <v>37</v>
      </c>
      <c r="C242" s="9">
        <v>15908</v>
      </c>
      <c r="D242" s="4">
        <v>45809</v>
      </c>
      <c r="E242" s="4">
        <v>45838</v>
      </c>
      <c r="F242" s="40" t="s">
        <v>11</v>
      </c>
      <c r="G242" s="118">
        <v>1000</v>
      </c>
      <c r="H242" s="2">
        <v>8.0000000000000002E-3</v>
      </c>
      <c r="I242" s="29" t="s">
        <v>34</v>
      </c>
      <c r="J242" s="4">
        <v>45825</v>
      </c>
      <c r="K242" s="18" t="s">
        <v>2043</v>
      </c>
      <c r="L242" s="11" t="s">
        <v>1379</v>
      </c>
      <c r="M242" s="83"/>
    </row>
    <row r="243" spans="1:13" ht="30">
      <c r="A243" s="37">
        <v>1731</v>
      </c>
      <c r="B243" s="51" t="s">
        <v>37</v>
      </c>
      <c r="C243" s="9" t="s">
        <v>163</v>
      </c>
      <c r="D243" s="4">
        <v>45809</v>
      </c>
      <c r="E243" s="4">
        <v>45838</v>
      </c>
      <c r="F243" s="40" t="s">
        <v>11</v>
      </c>
      <c r="G243" s="118">
        <v>300000</v>
      </c>
      <c r="H243" s="2">
        <v>1E-3</v>
      </c>
      <c r="I243" s="29" t="s">
        <v>17</v>
      </c>
      <c r="J243" s="4">
        <v>45825</v>
      </c>
      <c r="K243" s="18" t="s">
        <v>1303</v>
      </c>
      <c r="L243" s="11" t="s">
        <v>2044</v>
      </c>
      <c r="M243" s="83"/>
    </row>
    <row r="244" spans="1:13">
      <c r="A244" s="37">
        <v>1732</v>
      </c>
      <c r="B244" s="51" t="s">
        <v>37</v>
      </c>
      <c r="C244" s="9" t="s">
        <v>163</v>
      </c>
      <c r="D244" s="4">
        <v>45809</v>
      </c>
      <c r="E244" s="4">
        <v>45838</v>
      </c>
      <c r="F244" s="40" t="s">
        <v>11</v>
      </c>
      <c r="G244" s="118">
        <v>500000</v>
      </c>
      <c r="H244" s="2">
        <v>2E-3</v>
      </c>
      <c r="I244" s="29" t="s">
        <v>17</v>
      </c>
      <c r="J244" s="4"/>
      <c r="K244" s="18"/>
    </row>
    <row r="245" spans="1:13">
      <c r="A245" s="37">
        <v>1733</v>
      </c>
      <c r="B245" s="51" t="s">
        <v>37</v>
      </c>
      <c r="C245" s="9">
        <v>14409</v>
      </c>
      <c r="D245" s="4">
        <v>45809</v>
      </c>
      <c r="E245" s="4">
        <v>45838</v>
      </c>
      <c r="F245" s="40" t="s">
        <v>11</v>
      </c>
      <c r="G245" s="118">
        <v>10000</v>
      </c>
      <c r="H245" s="2">
        <v>5.0000000000000001E-3</v>
      </c>
      <c r="I245" s="29" t="s">
        <v>18</v>
      </c>
      <c r="J245" s="4">
        <v>45826</v>
      </c>
      <c r="K245" s="18" t="s">
        <v>2046</v>
      </c>
    </row>
    <row r="246" spans="1:13">
      <c r="A246" s="37">
        <v>1734</v>
      </c>
      <c r="B246" s="51" t="s">
        <v>37</v>
      </c>
      <c r="C246" s="9" t="s">
        <v>2047</v>
      </c>
      <c r="D246" s="4">
        <v>45809</v>
      </c>
      <c r="E246" s="4">
        <v>45838</v>
      </c>
      <c r="F246" s="40" t="s">
        <v>11</v>
      </c>
      <c r="G246" s="118">
        <v>10000</v>
      </c>
      <c r="H246" s="2">
        <v>7.0000000000000001E-3</v>
      </c>
      <c r="I246" s="29" t="s">
        <v>18</v>
      </c>
      <c r="J246" s="4">
        <v>45826</v>
      </c>
      <c r="K246" s="18" t="s">
        <v>2046</v>
      </c>
    </row>
    <row r="247" spans="1:13">
      <c r="A247" s="37">
        <v>1735</v>
      </c>
      <c r="B247" s="51" t="s">
        <v>37</v>
      </c>
      <c r="C247" s="9">
        <v>1577</v>
      </c>
      <c r="D247" s="4">
        <v>45825</v>
      </c>
      <c r="E247" s="4">
        <v>45838</v>
      </c>
      <c r="F247" s="40" t="s">
        <v>11</v>
      </c>
      <c r="G247" s="118">
        <v>100000</v>
      </c>
      <c r="H247" s="2">
        <v>3.0000000000000001E-3</v>
      </c>
      <c r="I247" s="29" t="s">
        <v>18</v>
      </c>
      <c r="J247" s="4">
        <v>45826</v>
      </c>
      <c r="K247" s="18" t="s">
        <v>2049</v>
      </c>
    </row>
    <row r="248" spans="1:13">
      <c r="A248" s="37">
        <v>1736</v>
      </c>
      <c r="B248" s="51" t="s">
        <v>37</v>
      </c>
      <c r="C248" s="9">
        <v>1577</v>
      </c>
      <c r="D248" s="4">
        <v>45825</v>
      </c>
      <c r="E248" s="4">
        <v>45838</v>
      </c>
      <c r="F248" s="40" t="s">
        <v>11</v>
      </c>
      <c r="G248" s="118">
        <v>500000</v>
      </c>
      <c r="H248" s="2">
        <v>5.0000000000000001E-3</v>
      </c>
      <c r="I248" s="29" t="s">
        <v>18</v>
      </c>
      <c r="J248" s="4"/>
      <c r="K248" s="18"/>
    </row>
    <row r="249" spans="1:13">
      <c r="A249" s="37">
        <v>1737</v>
      </c>
      <c r="B249" s="51" t="s">
        <v>37</v>
      </c>
      <c r="C249" s="9">
        <v>14129</v>
      </c>
      <c r="D249" s="4">
        <v>45826</v>
      </c>
      <c r="E249" s="4">
        <v>45838</v>
      </c>
      <c r="F249" s="40" t="s">
        <v>11</v>
      </c>
      <c r="G249" s="118">
        <v>1000</v>
      </c>
      <c r="H249" s="2">
        <v>0.01</v>
      </c>
      <c r="I249" s="29" t="s">
        <v>12</v>
      </c>
      <c r="J249" s="4">
        <v>45826</v>
      </c>
      <c r="K249" s="18" t="s">
        <v>2050</v>
      </c>
    </row>
    <row r="250" spans="1:13">
      <c r="A250" s="37">
        <v>1738</v>
      </c>
      <c r="B250" s="51" t="s">
        <v>37</v>
      </c>
      <c r="C250" s="9">
        <v>14452</v>
      </c>
      <c r="D250" s="4">
        <v>45809</v>
      </c>
      <c r="E250" s="4">
        <v>45838</v>
      </c>
      <c r="F250" s="40" t="s">
        <v>11</v>
      </c>
      <c r="G250" s="118">
        <v>50000</v>
      </c>
      <c r="H250" s="2">
        <v>7.0000000000000001E-3</v>
      </c>
      <c r="I250" s="29" t="s">
        <v>20</v>
      </c>
      <c r="J250" s="4">
        <v>45825</v>
      </c>
      <c r="K250" s="18" t="s">
        <v>994</v>
      </c>
    </row>
    <row r="251" spans="1:13">
      <c r="A251" s="37">
        <v>1739</v>
      </c>
      <c r="B251" s="51" t="s">
        <v>37</v>
      </c>
      <c r="C251" s="9">
        <v>17664</v>
      </c>
      <c r="D251" s="4">
        <v>45820</v>
      </c>
      <c r="E251" s="4">
        <v>45838</v>
      </c>
      <c r="F251" s="40" t="s">
        <v>11</v>
      </c>
      <c r="G251" s="118">
        <v>0.01</v>
      </c>
      <c r="H251" s="2">
        <v>2E-3</v>
      </c>
      <c r="I251" s="29" t="s">
        <v>15</v>
      </c>
      <c r="J251" s="4">
        <v>45826</v>
      </c>
      <c r="K251" s="18" t="s">
        <v>2052</v>
      </c>
    </row>
    <row r="252" spans="1:13">
      <c r="A252" s="37">
        <v>1740</v>
      </c>
      <c r="B252" s="51" t="s">
        <v>37</v>
      </c>
      <c r="C252" s="9">
        <v>17664</v>
      </c>
      <c r="D252" s="4">
        <v>45820</v>
      </c>
      <c r="E252" s="4">
        <v>45838</v>
      </c>
      <c r="F252" s="40" t="s">
        <v>11</v>
      </c>
      <c r="G252" s="118">
        <v>0.01</v>
      </c>
      <c r="H252" s="2">
        <v>5.0000000000000001E-3</v>
      </c>
      <c r="I252" s="29" t="s">
        <v>15</v>
      </c>
      <c r="J252" s="4">
        <v>45826</v>
      </c>
      <c r="K252" s="18" t="s">
        <v>2052</v>
      </c>
    </row>
    <row r="253" spans="1:13">
      <c r="A253" s="37">
        <v>1741</v>
      </c>
      <c r="B253" s="51" t="s">
        <v>37</v>
      </c>
      <c r="C253" s="9">
        <v>17664</v>
      </c>
      <c r="D253" s="4">
        <v>45820</v>
      </c>
      <c r="E253" s="4">
        <v>45838</v>
      </c>
      <c r="F253" s="40" t="s">
        <v>11</v>
      </c>
      <c r="G253" s="118">
        <v>0.01</v>
      </c>
      <c r="H253" s="2">
        <v>7.0000000000000001E-3</v>
      </c>
      <c r="I253" s="29" t="s">
        <v>15</v>
      </c>
      <c r="J253" s="4">
        <v>45826</v>
      </c>
      <c r="K253" s="18" t="s">
        <v>2052</v>
      </c>
    </row>
    <row r="254" spans="1:13">
      <c r="A254" s="37">
        <v>1742</v>
      </c>
      <c r="B254" s="51" t="s">
        <v>37</v>
      </c>
      <c r="C254" s="9">
        <v>11730</v>
      </c>
      <c r="D254" s="4">
        <v>45809</v>
      </c>
      <c r="E254" s="4">
        <v>45838</v>
      </c>
      <c r="F254" s="40" t="s">
        <v>11</v>
      </c>
      <c r="G254" s="118">
        <v>0.01</v>
      </c>
      <c r="H254" s="2">
        <v>2.5000000000000001E-3</v>
      </c>
      <c r="I254" s="29" t="s">
        <v>14</v>
      </c>
      <c r="J254" s="4">
        <v>45828</v>
      </c>
      <c r="K254" s="18" t="s">
        <v>2053</v>
      </c>
    </row>
    <row r="255" spans="1:13">
      <c r="A255" s="37">
        <v>1743</v>
      </c>
      <c r="B255" s="51" t="s">
        <v>37</v>
      </c>
      <c r="C255" s="9">
        <v>1532</v>
      </c>
      <c r="D255" s="4">
        <v>45809</v>
      </c>
      <c r="E255" s="4">
        <v>45838</v>
      </c>
      <c r="F255" s="40" t="s">
        <v>11</v>
      </c>
      <c r="G255" s="118">
        <v>1</v>
      </c>
      <c r="H255" s="2">
        <v>5.0000000000000001E-3</v>
      </c>
      <c r="I255" s="29" t="s">
        <v>29</v>
      </c>
      <c r="J255" s="4">
        <v>45828</v>
      </c>
      <c r="K255" s="18" t="s">
        <v>2055</v>
      </c>
    </row>
    <row r="256" spans="1:13">
      <c r="A256" s="37">
        <v>1744</v>
      </c>
      <c r="B256" s="51" t="s">
        <v>37</v>
      </c>
      <c r="C256" s="9">
        <v>17354</v>
      </c>
      <c r="D256" s="4">
        <v>45809</v>
      </c>
      <c r="E256" s="4">
        <v>45838</v>
      </c>
      <c r="F256" s="40" t="s">
        <v>11</v>
      </c>
      <c r="G256" s="118">
        <v>0.01</v>
      </c>
      <c r="H256" s="2">
        <v>6.0000000000000001E-3</v>
      </c>
      <c r="I256" s="29" t="s">
        <v>42</v>
      </c>
      <c r="J256" s="4">
        <v>45828</v>
      </c>
      <c r="K256" s="18" t="s">
        <v>2058</v>
      </c>
    </row>
    <row r="257" spans="1:11">
      <c r="A257" s="37">
        <v>1745</v>
      </c>
      <c r="B257" s="51" t="s">
        <v>37</v>
      </c>
      <c r="C257" s="9">
        <v>14730</v>
      </c>
      <c r="D257" s="4">
        <v>45809</v>
      </c>
      <c r="E257" s="4">
        <v>45838</v>
      </c>
      <c r="F257" s="40" t="s">
        <v>11</v>
      </c>
      <c r="G257" s="118">
        <v>1</v>
      </c>
      <c r="H257" s="2">
        <v>7.4999999999999997E-3</v>
      </c>
      <c r="I257" s="29" t="s">
        <v>20</v>
      </c>
      <c r="J257" s="4">
        <v>45828</v>
      </c>
      <c r="K257" s="18" t="s">
        <v>2060</v>
      </c>
    </row>
    <row r="258" spans="1:11">
      <c r="A258" s="37">
        <v>1746</v>
      </c>
      <c r="B258" s="51" t="s">
        <v>37</v>
      </c>
      <c r="C258" s="9">
        <v>14729</v>
      </c>
      <c r="D258" s="4">
        <v>45809</v>
      </c>
      <c r="E258" s="4">
        <v>45838</v>
      </c>
      <c r="F258" s="40" t="s">
        <v>11</v>
      </c>
      <c r="G258" s="118">
        <v>1</v>
      </c>
      <c r="H258" s="2">
        <v>7.4999999999999997E-3</v>
      </c>
      <c r="I258" s="29" t="s">
        <v>20</v>
      </c>
      <c r="J258" s="4">
        <v>45828</v>
      </c>
      <c r="K258" s="18" t="s">
        <v>2060</v>
      </c>
    </row>
    <row r="259" spans="1:11">
      <c r="A259" s="37">
        <v>1747</v>
      </c>
      <c r="B259" s="51" t="s">
        <v>37</v>
      </c>
      <c r="C259" s="9">
        <v>14703</v>
      </c>
      <c r="D259" s="4">
        <v>45809</v>
      </c>
      <c r="E259" s="4">
        <v>45838</v>
      </c>
      <c r="F259" s="40" t="s">
        <v>11</v>
      </c>
      <c r="G259" s="118">
        <v>1</v>
      </c>
      <c r="H259" s="2">
        <v>7.4999999999999997E-3</v>
      </c>
      <c r="I259" s="29" t="s">
        <v>20</v>
      </c>
      <c r="J259" s="4">
        <v>45828</v>
      </c>
      <c r="K259" s="18" t="s">
        <v>2060</v>
      </c>
    </row>
    <row r="260" spans="1:11">
      <c r="A260" s="37">
        <v>1748</v>
      </c>
      <c r="B260" s="51" t="s">
        <v>37</v>
      </c>
      <c r="C260" s="9">
        <v>14702</v>
      </c>
      <c r="D260" s="4">
        <v>45809</v>
      </c>
      <c r="E260" s="4">
        <v>45838</v>
      </c>
      <c r="F260" s="40" t="s">
        <v>11</v>
      </c>
      <c r="G260" s="118">
        <v>1</v>
      </c>
      <c r="H260" s="2">
        <v>7.4999999999999997E-3</v>
      </c>
      <c r="I260" s="29" t="s">
        <v>20</v>
      </c>
      <c r="J260" s="4">
        <v>45828</v>
      </c>
      <c r="K260" s="18" t="s">
        <v>2060</v>
      </c>
    </row>
    <row r="261" spans="1:11">
      <c r="A261" s="37">
        <v>1749</v>
      </c>
      <c r="B261" s="51" t="s">
        <v>37</v>
      </c>
      <c r="C261" s="9">
        <v>14706</v>
      </c>
      <c r="D261" s="4">
        <v>45809</v>
      </c>
      <c r="E261" s="4">
        <v>45838</v>
      </c>
      <c r="F261" s="40" t="s">
        <v>11</v>
      </c>
      <c r="G261" s="118">
        <v>1</v>
      </c>
      <c r="H261" s="2">
        <v>7.4999999999999997E-3</v>
      </c>
      <c r="I261" s="29" t="s">
        <v>20</v>
      </c>
      <c r="J261" s="4">
        <v>45828</v>
      </c>
      <c r="K261" s="18" t="s">
        <v>2060</v>
      </c>
    </row>
    <row r="262" spans="1:11">
      <c r="A262" s="37">
        <v>1750</v>
      </c>
      <c r="B262" s="51" t="s">
        <v>37</v>
      </c>
      <c r="C262" s="9">
        <v>14704</v>
      </c>
      <c r="D262" s="4">
        <v>45809</v>
      </c>
      <c r="E262" s="4">
        <v>45838</v>
      </c>
      <c r="F262" s="40" t="s">
        <v>11</v>
      </c>
      <c r="G262" s="118">
        <v>1</v>
      </c>
      <c r="H262" s="2">
        <v>7.4999999999999997E-3</v>
      </c>
      <c r="I262" s="29" t="s">
        <v>20</v>
      </c>
      <c r="J262" s="4">
        <v>45828</v>
      </c>
      <c r="K262" s="18" t="s">
        <v>2060</v>
      </c>
    </row>
    <row r="263" spans="1:11">
      <c r="A263" s="37">
        <v>1751</v>
      </c>
      <c r="B263" s="51" t="s">
        <v>37</v>
      </c>
      <c r="C263" s="9">
        <v>15282</v>
      </c>
      <c r="D263" s="4">
        <v>45809</v>
      </c>
      <c r="E263" s="4">
        <v>45838</v>
      </c>
      <c r="F263" s="40" t="s">
        <v>11</v>
      </c>
      <c r="G263" s="118">
        <v>1</v>
      </c>
      <c r="H263" s="2">
        <v>7.4999999999999997E-3</v>
      </c>
      <c r="I263" s="29" t="s">
        <v>20</v>
      </c>
      <c r="J263" s="4">
        <v>45828</v>
      </c>
      <c r="K263" s="18" t="s">
        <v>2060</v>
      </c>
    </row>
    <row r="264" spans="1:11">
      <c r="A264" s="37">
        <v>1752</v>
      </c>
      <c r="B264" s="51" t="s">
        <v>37</v>
      </c>
      <c r="C264" s="9" t="s">
        <v>2061</v>
      </c>
      <c r="D264" s="4">
        <v>45824</v>
      </c>
      <c r="E264" s="4">
        <v>45838</v>
      </c>
      <c r="F264" s="40" t="s">
        <v>11</v>
      </c>
      <c r="G264" s="118">
        <v>1000</v>
      </c>
      <c r="H264" s="2">
        <v>0.01</v>
      </c>
      <c r="I264" s="29" t="s">
        <v>19</v>
      </c>
      <c r="J264" s="4">
        <v>45828</v>
      </c>
      <c r="K264" s="18" t="s">
        <v>2062</v>
      </c>
    </row>
    <row r="265" spans="1:11">
      <c r="A265" s="37">
        <v>1753</v>
      </c>
      <c r="B265" s="51" t="s">
        <v>37</v>
      </c>
      <c r="C265" s="9">
        <v>13977</v>
      </c>
      <c r="D265" s="4">
        <v>45809</v>
      </c>
      <c r="E265" s="4">
        <v>45838</v>
      </c>
      <c r="F265" s="40" t="s">
        <v>11</v>
      </c>
      <c r="G265" s="118">
        <v>100</v>
      </c>
      <c r="H265" s="2">
        <v>5.0000000000000001E-3</v>
      </c>
      <c r="I265" s="29" t="s">
        <v>49</v>
      </c>
      <c r="J265" s="4">
        <v>45828</v>
      </c>
      <c r="K265" s="18" t="s">
        <v>2063</v>
      </c>
    </row>
    <row r="266" spans="1:11">
      <c r="A266" s="37">
        <v>1754</v>
      </c>
      <c r="B266" s="51" t="s">
        <v>37</v>
      </c>
      <c r="C266" s="9">
        <v>14129</v>
      </c>
      <c r="D266" s="4">
        <v>45828</v>
      </c>
      <c r="E266" s="4">
        <v>45838</v>
      </c>
      <c r="F266" s="40" t="s">
        <v>11</v>
      </c>
      <c r="G266" s="118">
        <v>1000</v>
      </c>
      <c r="H266" s="2">
        <v>5.0000000000000001E-3</v>
      </c>
      <c r="I266" s="29" t="s">
        <v>12</v>
      </c>
      <c r="J266" s="4">
        <v>45828</v>
      </c>
      <c r="K266" s="18" t="s">
        <v>2064</v>
      </c>
    </row>
    <row r="267" spans="1:11">
      <c r="A267" s="37">
        <v>1755</v>
      </c>
      <c r="B267" s="51" t="s">
        <v>37</v>
      </c>
      <c r="C267" s="9">
        <v>9572</v>
      </c>
      <c r="D267" s="4">
        <v>45828</v>
      </c>
      <c r="E267" s="4">
        <v>45838</v>
      </c>
      <c r="F267" s="40" t="s">
        <v>11</v>
      </c>
      <c r="G267" s="118">
        <v>1000</v>
      </c>
      <c r="H267" s="2">
        <v>0.01</v>
      </c>
      <c r="I267" s="29" t="s">
        <v>25</v>
      </c>
      <c r="J267" s="4">
        <v>45828</v>
      </c>
      <c r="K267" s="18" t="s">
        <v>2066</v>
      </c>
    </row>
    <row r="268" spans="1:11">
      <c r="A268" s="37">
        <v>1756</v>
      </c>
      <c r="B268" s="51" t="s">
        <v>37</v>
      </c>
      <c r="C268" s="9">
        <v>11820</v>
      </c>
      <c r="D268" s="4">
        <v>45809</v>
      </c>
      <c r="E268" s="4">
        <v>45838</v>
      </c>
      <c r="F268" s="40" t="s">
        <v>11</v>
      </c>
      <c r="G268" s="118">
        <v>1</v>
      </c>
      <c r="H268" s="2">
        <v>1.4999999999999999E-2</v>
      </c>
      <c r="I268" s="29" t="s">
        <v>19</v>
      </c>
      <c r="J268" s="4">
        <v>45828</v>
      </c>
      <c r="K268" s="18" t="s">
        <v>2067</v>
      </c>
    </row>
    <row r="269" spans="1:11">
      <c r="A269" s="37">
        <v>1757</v>
      </c>
      <c r="B269" s="51" t="s">
        <v>37</v>
      </c>
      <c r="C269" s="9">
        <v>11820</v>
      </c>
      <c r="D269" s="4">
        <v>45809</v>
      </c>
      <c r="E269" s="4">
        <v>45838</v>
      </c>
      <c r="F269" s="40" t="s">
        <v>11</v>
      </c>
      <c r="G269" s="118">
        <v>1</v>
      </c>
      <c r="H269" s="2">
        <v>5.0000000000000001E-3</v>
      </c>
      <c r="I269" s="29" t="s">
        <v>19</v>
      </c>
      <c r="J269" s="4">
        <v>45828</v>
      </c>
      <c r="K269" s="18" t="s">
        <v>2067</v>
      </c>
    </row>
    <row r="270" spans="1:11">
      <c r="A270" s="37">
        <v>1758</v>
      </c>
      <c r="B270" s="51" t="s">
        <v>37</v>
      </c>
      <c r="C270" s="9">
        <v>11820</v>
      </c>
      <c r="D270" s="4">
        <v>45809</v>
      </c>
      <c r="E270" s="4">
        <v>45838</v>
      </c>
      <c r="F270" s="40" t="s">
        <v>11</v>
      </c>
      <c r="G270" s="118">
        <v>1</v>
      </c>
      <c r="H270" s="2">
        <v>2E-3</v>
      </c>
      <c r="I270" s="29" t="s">
        <v>19</v>
      </c>
      <c r="J270" s="4">
        <v>45828</v>
      </c>
      <c r="K270" s="18" t="s">
        <v>2067</v>
      </c>
    </row>
    <row r="271" spans="1:11">
      <c r="A271" s="37">
        <v>1759</v>
      </c>
      <c r="B271" s="51" t="s">
        <v>37</v>
      </c>
      <c r="C271" s="9">
        <v>15503</v>
      </c>
      <c r="D271" s="4">
        <v>45809</v>
      </c>
      <c r="E271" s="4">
        <v>45838</v>
      </c>
      <c r="F271" s="40" t="s">
        <v>11</v>
      </c>
      <c r="G271" s="118">
        <v>0.01</v>
      </c>
      <c r="H271" s="2">
        <v>7.4999999999999997E-3</v>
      </c>
      <c r="I271" s="29" t="s">
        <v>32</v>
      </c>
      <c r="J271" s="4">
        <v>45831</v>
      </c>
      <c r="K271" s="18" t="s">
        <v>2068</v>
      </c>
    </row>
    <row r="272" spans="1:11">
      <c r="A272" s="37">
        <v>1760</v>
      </c>
      <c r="B272" s="51" t="s">
        <v>37</v>
      </c>
      <c r="C272" s="9" t="s">
        <v>2069</v>
      </c>
      <c r="D272" s="4">
        <v>45824</v>
      </c>
      <c r="E272" s="4">
        <v>45838</v>
      </c>
      <c r="F272" s="40" t="s">
        <v>11</v>
      </c>
      <c r="G272" s="118">
        <v>0.01</v>
      </c>
      <c r="H272" s="2">
        <v>2.5000000000000001E-3</v>
      </c>
      <c r="I272" s="29" t="s">
        <v>32</v>
      </c>
      <c r="J272" s="4">
        <v>45831</v>
      </c>
      <c r="K272" s="18" t="s">
        <v>2070</v>
      </c>
    </row>
    <row r="273" spans="1:11">
      <c r="A273" s="37">
        <v>1761</v>
      </c>
      <c r="B273" s="51" t="s">
        <v>37</v>
      </c>
      <c r="C273" s="9">
        <v>2619</v>
      </c>
      <c r="D273" s="4">
        <v>45831</v>
      </c>
      <c r="E273" s="4">
        <v>45838</v>
      </c>
      <c r="F273" s="40" t="s">
        <v>11</v>
      </c>
      <c r="G273" s="118">
        <v>0.01</v>
      </c>
      <c r="H273" s="2">
        <v>0.01</v>
      </c>
      <c r="I273" s="29" t="s">
        <v>32</v>
      </c>
      <c r="J273" s="4">
        <v>45831</v>
      </c>
      <c r="K273" s="18" t="s">
        <v>2071</v>
      </c>
    </row>
    <row r="274" spans="1:11">
      <c r="A274" s="37">
        <v>1762</v>
      </c>
      <c r="B274" s="51" t="s">
        <v>37</v>
      </c>
      <c r="C274" s="9">
        <v>14722</v>
      </c>
      <c r="D274" s="4">
        <v>45831</v>
      </c>
      <c r="E274" s="4">
        <v>45838</v>
      </c>
      <c r="F274" s="40" t="s">
        <v>11</v>
      </c>
      <c r="G274" s="118">
        <v>0.1</v>
      </c>
      <c r="H274" s="2">
        <v>5.0000000000000001E-3</v>
      </c>
      <c r="I274" s="29" t="s">
        <v>25</v>
      </c>
      <c r="J274" s="4">
        <v>45831</v>
      </c>
      <c r="K274" s="18" t="s">
        <v>2072</v>
      </c>
    </row>
    <row r="275" spans="1:11" ht="30">
      <c r="A275" s="37">
        <v>1763</v>
      </c>
      <c r="B275" s="51" t="s">
        <v>37</v>
      </c>
      <c r="C275" s="9">
        <v>13932</v>
      </c>
      <c r="D275" s="4">
        <v>45809</v>
      </c>
      <c r="E275" s="4">
        <v>45838</v>
      </c>
      <c r="F275" s="40" t="s">
        <v>11</v>
      </c>
      <c r="G275" s="118">
        <v>0.01</v>
      </c>
      <c r="H275" s="2">
        <v>3.0000000000000001E-3</v>
      </c>
      <c r="I275" s="29" t="s">
        <v>95</v>
      </c>
      <c r="J275" s="4">
        <v>45831</v>
      </c>
      <c r="K275" s="18" t="s">
        <v>2073</v>
      </c>
    </row>
    <row r="276" spans="1:11" ht="30">
      <c r="A276" s="37">
        <v>1764</v>
      </c>
      <c r="B276" s="51" t="s">
        <v>37</v>
      </c>
      <c r="C276" s="9">
        <v>15564</v>
      </c>
      <c r="D276" s="4">
        <v>45809</v>
      </c>
      <c r="E276" s="4">
        <v>45838</v>
      </c>
      <c r="F276" s="40" t="s">
        <v>11</v>
      </c>
      <c r="G276" s="118">
        <v>0.01</v>
      </c>
      <c r="H276" s="2">
        <v>3.0000000000000001E-3</v>
      </c>
      <c r="I276" s="29" t="s">
        <v>95</v>
      </c>
      <c r="J276" s="4">
        <v>45831</v>
      </c>
      <c r="K276" s="18" t="s">
        <v>2074</v>
      </c>
    </row>
    <row r="277" spans="1:11" ht="30">
      <c r="A277" s="37">
        <v>1765</v>
      </c>
      <c r="B277" s="51" t="s">
        <v>37</v>
      </c>
      <c r="C277" s="9" t="s">
        <v>2075</v>
      </c>
      <c r="D277" s="4">
        <v>45809</v>
      </c>
      <c r="E277" s="4">
        <v>45838</v>
      </c>
      <c r="F277" s="40" t="s">
        <v>11</v>
      </c>
      <c r="G277" s="118">
        <v>0.01</v>
      </c>
      <c r="H277" s="2">
        <v>3.0000000000000001E-3</v>
      </c>
      <c r="I277" s="29" t="s">
        <v>95</v>
      </c>
      <c r="J277" s="4">
        <v>45831</v>
      </c>
      <c r="K277" s="18" t="s">
        <v>2076</v>
      </c>
    </row>
    <row r="278" spans="1:11" ht="30">
      <c r="A278" s="37">
        <v>1766</v>
      </c>
      <c r="B278" s="51" t="s">
        <v>37</v>
      </c>
      <c r="C278" s="9">
        <v>16578</v>
      </c>
      <c r="D278" s="4">
        <v>45809</v>
      </c>
      <c r="E278" s="4">
        <v>45838</v>
      </c>
      <c r="F278" s="40" t="s">
        <v>11</v>
      </c>
      <c r="G278" s="118">
        <v>0.01</v>
      </c>
      <c r="H278" s="2">
        <v>3.0000000000000001E-3</v>
      </c>
      <c r="I278" s="29" t="s">
        <v>95</v>
      </c>
      <c r="J278" s="4">
        <v>45831</v>
      </c>
      <c r="K278" s="18" t="s">
        <v>2077</v>
      </c>
    </row>
    <row r="279" spans="1:11" ht="30">
      <c r="A279" s="37">
        <v>1767</v>
      </c>
      <c r="B279" s="51" t="s">
        <v>37</v>
      </c>
      <c r="C279" s="9">
        <v>14011</v>
      </c>
      <c r="D279" s="4">
        <v>45809</v>
      </c>
      <c r="E279" s="4">
        <v>45838</v>
      </c>
      <c r="F279" s="40" t="s">
        <v>11</v>
      </c>
      <c r="G279" s="118">
        <v>0.01</v>
      </c>
      <c r="H279" s="2">
        <v>5.0000000000000001E-3</v>
      </c>
      <c r="I279" s="29" t="s">
        <v>95</v>
      </c>
      <c r="J279" s="4">
        <v>45831</v>
      </c>
      <c r="K279" s="18" t="s">
        <v>2078</v>
      </c>
    </row>
    <row r="280" spans="1:11" ht="30">
      <c r="A280" s="37">
        <v>1768</v>
      </c>
      <c r="B280" s="51" t="s">
        <v>37</v>
      </c>
      <c r="C280" s="14">
        <v>14011</v>
      </c>
      <c r="D280" s="23">
        <v>45831</v>
      </c>
      <c r="E280" s="23">
        <v>45838</v>
      </c>
      <c r="F280" s="17" t="s">
        <v>11</v>
      </c>
      <c r="G280" s="121">
        <v>450000</v>
      </c>
      <c r="H280" s="2">
        <v>5.0000000000000001E-3</v>
      </c>
      <c r="I280" s="29" t="s">
        <v>95</v>
      </c>
      <c r="J280" s="23">
        <v>45831</v>
      </c>
      <c r="K280" s="15" t="s">
        <v>2078</v>
      </c>
    </row>
    <row r="281" spans="1:11">
      <c r="A281" s="37">
        <v>1769</v>
      </c>
      <c r="B281" s="51" t="s">
        <v>37</v>
      </c>
      <c r="C281" s="14">
        <v>9286</v>
      </c>
      <c r="D281" s="23">
        <v>45809</v>
      </c>
      <c r="E281" s="23">
        <v>45838</v>
      </c>
      <c r="F281" s="17" t="s">
        <v>11</v>
      </c>
      <c r="G281" s="121">
        <v>1000</v>
      </c>
      <c r="H281" s="2">
        <v>5.0000000000000001E-4</v>
      </c>
      <c r="I281" s="29" t="s">
        <v>18</v>
      </c>
      <c r="J281" s="23">
        <v>45833</v>
      </c>
      <c r="K281" s="15" t="s">
        <v>2079</v>
      </c>
    </row>
    <row r="282" spans="1:11">
      <c r="A282" s="37">
        <v>1770</v>
      </c>
      <c r="B282" s="51" t="s">
        <v>37</v>
      </c>
      <c r="C282" s="14">
        <v>16588</v>
      </c>
      <c r="D282" s="23">
        <v>45809</v>
      </c>
      <c r="E282" s="23">
        <v>45838</v>
      </c>
      <c r="F282" s="17" t="s">
        <v>11</v>
      </c>
      <c r="G282" s="121">
        <v>1000</v>
      </c>
      <c r="H282" s="2">
        <v>5.0000000000000001E-4</v>
      </c>
      <c r="I282" s="29" t="s">
        <v>18</v>
      </c>
      <c r="J282" s="23">
        <v>45833</v>
      </c>
      <c r="K282" s="15" t="s">
        <v>2079</v>
      </c>
    </row>
    <row r="283" spans="1:11">
      <c r="A283" s="37">
        <v>1771</v>
      </c>
      <c r="B283" s="51" t="s">
        <v>37</v>
      </c>
      <c r="C283" s="14" t="s">
        <v>2080</v>
      </c>
      <c r="D283" s="23">
        <v>45809</v>
      </c>
      <c r="E283" s="23">
        <v>45838</v>
      </c>
      <c r="F283" s="17" t="s">
        <v>11</v>
      </c>
      <c r="G283" s="121">
        <v>150000</v>
      </c>
      <c r="H283" s="121">
        <v>180</v>
      </c>
      <c r="I283" s="29" t="s">
        <v>18</v>
      </c>
      <c r="J283" s="23">
        <v>45833</v>
      </c>
      <c r="K283" s="15" t="s">
        <v>2079</v>
      </c>
    </row>
    <row r="284" spans="1:11">
      <c r="A284" s="37">
        <v>1772</v>
      </c>
      <c r="B284" s="51" t="s">
        <v>37</v>
      </c>
      <c r="C284" s="14">
        <v>6305</v>
      </c>
      <c r="D284" s="23">
        <v>45809</v>
      </c>
      <c r="E284" s="23">
        <v>45838</v>
      </c>
      <c r="F284" s="17" t="s">
        <v>11</v>
      </c>
      <c r="G284" s="121">
        <v>160000</v>
      </c>
      <c r="H284" s="121">
        <v>180</v>
      </c>
      <c r="I284" s="29" t="s">
        <v>18</v>
      </c>
      <c r="J284" s="23">
        <v>45833</v>
      </c>
      <c r="K284" s="15" t="s">
        <v>2079</v>
      </c>
    </row>
    <row r="285" spans="1:11">
      <c r="A285" s="37">
        <v>1773</v>
      </c>
      <c r="B285" s="51" t="s">
        <v>37</v>
      </c>
      <c r="C285" s="14">
        <v>12153</v>
      </c>
      <c r="D285" s="23">
        <v>45809</v>
      </c>
      <c r="E285" s="23">
        <v>45838</v>
      </c>
      <c r="F285" s="17" t="s">
        <v>11</v>
      </c>
      <c r="G285" s="121">
        <v>1000</v>
      </c>
      <c r="H285" s="2">
        <v>5.0000000000000001E-4</v>
      </c>
      <c r="I285" s="29" t="s">
        <v>18</v>
      </c>
      <c r="J285" s="23">
        <v>45833</v>
      </c>
      <c r="K285" s="15" t="s">
        <v>2079</v>
      </c>
    </row>
    <row r="286" spans="1:11">
      <c r="A286" s="37">
        <v>1774</v>
      </c>
      <c r="B286" s="51" t="s">
        <v>37</v>
      </c>
      <c r="C286" s="14">
        <v>16793</v>
      </c>
      <c r="D286" s="23">
        <v>45809</v>
      </c>
      <c r="E286" s="23">
        <v>45838</v>
      </c>
      <c r="F286" s="17" t="s">
        <v>11</v>
      </c>
      <c r="G286" s="121">
        <v>1000</v>
      </c>
      <c r="H286" s="2">
        <v>5.0000000000000001E-4</v>
      </c>
      <c r="I286" s="29" t="s">
        <v>18</v>
      </c>
      <c r="J286" s="23">
        <v>45833</v>
      </c>
      <c r="K286" s="15" t="s">
        <v>2079</v>
      </c>
    </row>
    <row r="287" spans="1:11">
      <c r="A287" s="37">
        <v>1775</v>
      </c>
      <c r="B287" s="51" t="s">
        <v>37</v>
      </c>
      <c r="C287" s="14">
        <v>6245</v>
      </c>
      <c r="D287" s="23">
        <v>45809</v>
      </c>
      <c r="E287" s="23">
        <v>45838</v>
      </c>
      <c r="F287" s="17" t="s">
        <v>11</v>
      </c>
      <c r="G287" s="121">
        <v>100000</v>
      </c>
      <c r="H287" s="121">
        <v>150</v>
      </c>
      <c r="I287" s="29" t="s">
        <v>18</v>
      </c>
      <c r="J287" s="23">
        <v>45833</v>
      </c>
      <c r="K287" s="15" t="s">
        <v>2079</v>
      </c>
    </row>
    <row r="288" spans="1:11">
      <c r="A288" s="37">
        <v>1776</v>
      </c>
      <c r="B288" s="51" t="s">
        <v>37</v>
      </c>
      <c r="C288" s="14">
        <v>13676</v>
      </c>
      <c r="D288" s="23">
        <v>45809</v>
      </c>
      <c r="E288" s="23">
        <v>45838</v>
      </c>
      <c r="F288" s="17" t="s">
        <v>11</v>
      </c>
      <c r="G288" s="121">
        <v>1000</v>
      </c>
      <c r="H288" s="2">
        <v>5.0000000000000001E-4</v>
      </c>
      <c r="I288" s="29" t="s">
        <v>18</v>
      </c>
      <c r="J288" s="23">
        <v>45833</v>
      </c>
      <c r="K288" s="15" t="s">
        <v>2079</v>
      </c>
    </row>
    <row r="289" spans="1:11">
      <c r="A289" s="37">
        <v>1777</v>
      </c>
      <c r="B289" s="51" t="s">
        <v>37</v>
      </c>
      <c r="C289" s="14">
        <v>16462</v>
      </c>
      <c r="D289" s="23">
        <v>45809</v>
      </c>
      <c r="E289" s="23">
        <v>45838</v>
      </c>
      <c r="F289" s="17" t="s">
        <v>11</v>
      </c>
      <c r="G289" s="121">
        <v>50000</v>
      </c>
      <c r="H289" s="121">
        <v>200</v>
      </c>
      <c r="I289" s="29" t="s">
        <v>18</v>
      </c>
      <c r="J289" s="23">
        <v>45833</v>
      </c>
      <c r="K289" s="15" t="s">
        <v>2079</v>
      </c>
    </row>
    <row r="290" spans="1:11">
      <c r="A290" s="37">
        <v>1778</v>
      </c>
      <c r="B290" s="51" t="s">
        <v>37</v>
      </c>
      <c r="C290" s="14">
        <v>17324</v>
      </c>
      <c r="D290" s="23">
        <v>45809</v>
      </c>
      <c r="E290" s="23">
        <v>45838</v>
      </c>
      <c r="F290" s="17" t="s">
        <v>11</v>
      </c>
      <c r="G290" s="121">
        <v>60000</v>
      </c>
      <c r="H290" s="121">
        <v>200</v>
      </c>
      <c r="I290" s="29" t="s">
        <v>18</v>
      </c>
      <c r="J290" s="23">
        <v>45833</v>
      </c>
      <c r="K290" s="15" t="s">
        <v>2079</v>
      </c>
    </row>
    <row r="291" spans="1:11">
      <c r="A291" s="37">
        <v>1779</v>
      </c>
      <c r="B291" s="51" t="s">
        <v>37</v>
      </c>
      <c r="C291" s="14">
        <v>8819</v>
      </c>
      <c r="D291" s="23">
        <v>45809</v>
      </c>
      <c r="E291" s="23">
        <v>45838</v>
      </c>
      <c r="F291" s="17" t="s">
        <v>11</v>
      </c>
      <c r="G291" s="121">
        <v>100000</v>
      </c>
      <c r="H291" s="121">
        <v>200</v>
      </c>
      <c r="I291" s="29" t="s">
        <v>18</v>
      </c>
      <c r="J291" s="23">
        <v>45833</v>
      </c>
      <c r="K291" s="15" t="s">
        <v>2079</v>
      </c>
    </row>
    <row r="292" spans="1:11">
      <c r="A292" s="37">
        <v>1780</v>
      </c>
      <c r="B292" s="51" t="s">
        <v>37</v>
      </c>
      <c r="C292" s="14">
        <v>16671</v>
      </c>
      <c r="D292" s="23">
        <v>45809</v>
      </c>
      <c r="E292" s="23">
        <v>45838</v>
      </c>
      <c r="F292" s="17" t="s">
        <v>11</v>
      </c>
      <c r="G292" s="121">
        <v>1000</v>
      </c>
      <c r="H292" s="2">
        <v>5.0000000000000001E-4</v>
      </c>
      <c r="I292" s="29" t="s">
        <v>18</v>
      </c>
      <c r="J292" s="23">
        <v>45833</v>
      </c>
      <c r="K292" s="15" t="s">
        <v>2079</v>
      </c>
    </row>
    <row r="293" spans="1:11">
      <c r="A293" s="37">
        <v>1781</v>
      </c>
      <c r="B293" s="51" t="s">
        <v>37</v>
      </c>
      <c r="C293" s="14">
        <v>12295</v>
      </c>
      <c r="D293" s="23">
        <v>45809</v>
      </c>
      <c r="E293" s="23">
        <v>45838</v>
      </c>
      <c r="F293" s="17" t="s">
        <v>11</v>
      </c>
      <c r="G293" s="121">
        <v>50000</v>
      </c>
      <c r="H293" s="121">
        <v>200</v>
      </c>
      <c r="I293" s="29" t="s">
        <v>18</v>
      </c>
      <c r="J293" s="23">
        <v>45833</v>
      </c>
      <c r="K293" s="15" t="s">
        <v>2079</v>
      </c>
    </row>
    <row r="294" spans="1:11">
      <c r="A294" s="37">
        <v>1782</v>
      </c>
      <c r="B294" s="51" t="s">
        <v>37</v>
      </c>
      <c r="C294" s="14">
        <v>17321</v>
      </c>
      <c r="D294" s="23">
        <v>45809</v>
      </c>
      <c r="E294" s="23">
        <v>45838</v>
      </c>
      <c r="F294" s="17" t="s">
        <v>11</v>
      </c>
      <c r="G294" s="121">
        <v>10000</v>
      </c>
      <c r="H294" s="2">
        <v>5.0000000000000001E-4</v>
      </c>
      <c r="I294" s="29" t="s">
        <v>18</v>
      </c>
      <c r="J294" s="23">
        <v>45833</v>
      </c>
      <c r="K294" s="15" t="s">
        <v>2079</v>
      </c>
    </row>
    <row r="295" spans="1:11">
      <c r="A295" s="37">
        <v>1783</v>
      </c>
      <c r="B295" s="51" t="s">
        <v>37</v>
      </c>
      <c r="C295" s="14">
        <v>8151</v>
      </c>
      <c r="D295" s="23">
        <v>45809</v>
      </c>
      <c r="E295" s="23">
        <v>45838</v>
      </c>
      <c r="F295" s="17" t="s">
        <v>11</v>
      </c>
      <c r="G295" s="121">
        <v>100000</v>
      </c>
      <c r="H295" s="121">
        <v>200</v>
      </c>
      <c r="I295" s="29" t="s">
        <v>18</v>
      </c>
      <c r="J295" s="23">
        <v>45833</v>
      </c>
      <c r="K295" s="15" t="s">
        <v>2079</v>
      </c>
    </row>
    <row r="296" spans="1:11" ht="30">
      <c r="A296" s="37">
        <v>1784</v>
      </c>
      <c r="B296" s="51" t="s">
        <v>37</v>
      </c>
      <c r="C296" s="14">
        <v>13440</v>
      </c>
      <c r="D296" s="23">
        <v>45833</v>
      </c>
      <c r="E296" s="23">
        <v>45838</v>
      </c>
      <c r="F296" s="17" t="s">
        <v>11</v>
      </c>
      <c r="G296" s="121">
        <v>0.01</v>
      </c>
      <c r="H296" s="2">
        <v>7.4999999999999997E-3</v>
      </c>
      <c r="I296" s="29" t="s">
        <v>95</v>
      </c>
      <c r="J296" s="23">
        <v>45833</v>
      </c>
      <c r="K296" s="15" t="s">
        <v>2081</v>
      </c>
    </row>
    <row r="297" spans="1:11">
      <c r="A297" s="37">
        <v>1785</v>
      </c>
      <c r="B297" s="51" t="s">
        <v>37</v>
      </c>
      <c r="C297" s="14">
        <v>15655</v>
      </c>
      <c r="D297" s="23">
        <v>45828</v>
      </c>
      <c r="E297" s="23">
        <v>45838</v>
      </c>
      <c r="F297" s="17" t="s">
        <v>11</v>
      </c>
      <c r="G297" s="121">
        <v>10000</v>
      </c>
      <c r="H297" s="2">
        <v>2E-3</v>
      </c>
      <c r="I297" s="29" t="s">
        <v>20</v>
      </c>
      <c r="J297" s="23">
        <v>45833</v>
      </c>
      <c r="K297" s="15" t="s">
        <v>2082</v>
      </c>
    </row>
    <row r="298" spans="1:11">
      <c r="A298" s="37">
        <v>1786</v>
      </c>
      <c r="B298" s="51" t="s">
        <v>37</v>
      </c>
      <c r="C298" s="14">
        <v>14702</v>
      </c>
      <c r="D298" s="23">
        <v>45809</v>
      </c>
      <c r="E298" s="23">
        <v>45838</v>
      </c>
      <c r="F298" s="17" t="s">
        <v>11</v>
      </c>
      <c r="G298" s="121">
        <v>0.01</v>
      </c>
      <c r="H298" s="2">
        <v>5.0000000000000001E-3</v>
      </c>
      <c r="I298" s="29" t="s">
        <v>20</v>
      </c>
      <c r="J298" s="23">
        <v>45833</v>
      </c>
      <c r="K298" s="15" t="s">
        <v>2084</v>
      </c>
    </row>
    <row r="299" spans="1:11">
      <c r="A299" s="37">
        <v>1787</v>
      </c>
      <c r="B299" s="51" t="s">
        <v>37</v>
      </c>
      <c r="C299" s="14">
        <v>14703</v>
      </c>
      <c r="D299" s="23">
        <v>45809</v>
      </c>
      <c r="E299" s="23">
        <v>45838</v>
      </c>
      <c r="F299" s="17" t="s">
        <v>11</v>
      </c>
      <c r="G299" s="121">
        <v>0.01</v>
      </c>
      <c r="H299" s="2">
        <v>5.0000000000000001E-3</v>
      </c>
      <c r="I299" s="29" t="s">
        <v>20</v>
      </c>
      <c r="J299" s="23">
        <v>45833</v>
      </c>
      <c r="K299" s="15" t="s">
        <v>2084</v>
      </c>
    </row>
    <row r="300" spans="1:11">
      <c r="A300" s="37">
        <v>1788</v>
      </c>
      <c r="B300" s="51" t="s">
        <v>37</v>
      </c>
      <c r="C300" s="14">
        <v>17720</v>
      </c>
      <c r="D300" s="23">
        <v>45809</v>
      </c>
      <c r="E300" s="23">
        <v>45838</v>
      </c>
      <c r="F300" s="17" t="s">
        <v>11</v>
      </c>
      <c r="G300" s="121">
        <v>0.01</v>
      </c>
      <c r="H300" s="2">
        <v>5.0000000000000001E-3</v>
      </c>
      <c r="I300" s="29" t="s">
        <v>20</v>
      </c>
      <c r="J300" s="23">
        <v>45833</v>
      </c>
      <c r="K300" s="15" t="s">
        <v>2084</v>
      </c>
    </row>
    <row r="301" spans="1:11">
      <c r="A301" s="37">
        <v>1789</v>
      </c>
      <c r="B301" s="51" t="s">
        <v>37</v>
      </c>
      <c r="C301" s="14">
        <v>1818</v>
      </c>
      <c r="D301" s="23">
        <v>45809</v>
      </c>
      <c r="E301" s="23">
        <v>45838</v>
      </c>
      <c r="F301" s="17" t="s">
        <v>11</v>
      </c>
      <c r="G301" s="121">
        <v>500000</v>
      </c>
      <c r="H301" s="2">
        <v>2E-3</v>
      </c>
      <c r="I301" s="29" t="s">
        <v>19</v>
      </c>
      <c r="J301" s="23">
        <v>45833</v>
      </c>
      <c r="K301" s="15" t="s">
        <v>1532</v>
      </c>
    </row>
    <row r="302" spans="1:11">
      <c r="A302" s="37">
        <v>1790</v>
      </c>
      <c r="B302" s="51" t="s">
        <v>37</v>
      </c>
      <c r="C302" s="14">
        <v>13782</v>
      </c>
      <c r="D302" s="23">
        <v>45831</v>
      </c>
      <c r="E302" s="23">
        <v>45838</v>
      </c>
      <c r="F302" s="17" t="s">
        <v>11</v>
      </c>
      <c r="G302" s="121">
        <v>10000</v>
      </c>
      <c r="H302" s="2">
        <v>0.04</v>
      </c>
      <c r="I302" s="29" t="s">
        <v>20</v>
      </c>
      <c r="J302" s="23">
        <v>45834</v>
      </c>
      <c r="K302" s="15" t="s">
        <v>2087</v>
      </c>
    </row>
    <row r="303" spans="1:11">
      <c r="A303" s="37">
        <v>1791</v>
      </c>
      <c r="B303" s="51" t="s">
        <v>37</v>
      </c>
      <c r="C303" s="14">
        <v>13782</v>
      </c>
      <c r="D303" s="23">
        <v>45833</v>
      </c>
      <c r="E303" s="23">
        <v>45838</v>
      </c>
      <c r="F303" s="17" t="s">
        <v>11</v>
      </c>
      <c r="G303" s="121">
        <v>10000</v>
      </c>
      <c r="H303" s="2">
        <v>1.6E-2</v>
      </c>
      <c r="I303" s="29" t="s">
        <v>20</v>
      </c>
      <c r="J303" s="23">
        <v>45835</v>
      </c>
      <c r="K303" s="15" t="s">
        <v>2089</v>
      </c>
    </row>
    <row r="304" spans="1:11" ht="30">
      <c r="A304" s="37">
        <v>1792</v>
      </c>
      <c r="B304" s="51" t="s">
        <v>37</v>
      </c>
      <c r="C304" s="14">
        <v>13782</v>
      </c>
      <c r="D304" s="23">
        <v>45833</v>
      </c>
      <c r="E304" s="23">
        <v>45838</v>
      </c>
      <c r="F304" s="17" t="s">
        <v>11</v>
      </c>
      <c r="G304" s="121">
        <v>10000</v>
      </c>
      <c r="H304" s="2" t="s">
        <v>2094</v>
      </c>
      <c r="I304" s="29" t="s">
        <v>20</v>
      </c>
      <c r="J304" s="23">
        <v>45835</v>
      </c>
      <c r="K304" s="15" t="s">
        <v>2090</v>
      </c>
    </row>
    <row r="305" spans="1:11">
      <c r="A305" s="37">
        <v>1793</v>
      </c>
      <c r="B305" s="51" t="s">
        <v>37</v>
      </c>
      <c r="C305" s="14">
        <v>14026</v>
      </c>
      <c r="D305" s="23">
        <v>45809</v>
      </c>
      <c r="E305" s="23">
        <v>45838</v>
      </c>
      <c r="F305" s="17" t="s">
        <v>11</v>
      </c>
      <c r="G305" s="121">
        <v>0.01</v>
      </c>
      <c r="H305" s="2">
        <v>5.0000000000000001E-3</v>
      </c>
      <c r="I305" s="29" t="s">
        <v>19</v>
      </c>
      <c r="J305" s="23">
        <v>45835</v>
      </c>
      <c r="K305" s="15" t="s">
        <v>2091</v>
      </c>
    </row>
    <row r="306" spans="1:11">
      <c r="A306" s="37">
        <v>1794</v>
      </c>
      <c r="B306" s="51" t="s">
        <v>37</v>
      </c>
      <c r="C306" s="14">
        <v>16382</v>
      </c>
      <c r="D306" s="23">
        <v>45835</v>
      </c>
      <c r="E306" s="23">
        <v>45838</v>
      </c>
      <c r="F306" s="17" t="s">
        <v>11</v>
      </c>
      <c r="G306" s="121">
        <v>0.01</v>
      </c>
      <c r="H306" s="2">
        <v>7.4999999999999997E-3</v>
      </c>
      <c r="I306" s="29" t="s">
        <v>48</v>
      </c>
      <c r="J306" s="23">
        <v>45838</v>
      </c>
      <c r="K306" s="15" t="s">
        <v>2095</v>
      </c>
    </row>
    <row r="307" spans="1:11">
      <c r="A307" s="37">
        <v>1795</v>
      </c>
      <c r="B307" s="51" t="s">
        <v>37</v>
      </c>
      <c r="C307" s="14">
        <v>7149</v>
      </c>
      <c r="D307" s="23">
        <v>45809</v>
      </c>
      <c r="E307" s="23">
        <v>45838</v>
      </c>
      <c r="F307" s="17" t="s">
        <v>11</v>
      </c>
      <c r="G307" s="121">
        <v>0.01</v>
      </c>
      <c r="H307" s="2">
        <v>2.5000000000000001E-2</v>
      </c>
      <c r="I307" s="29" t="s">
        <v>30</v>
      </c>
      <c r="J307" s="23">
        <v>45838</v>
      </c>
      <c r="K307" s="15" t="s">
        <v>2097</v>
      </c>
    </row>
    <row r="308" spans="1:11">
      <c r="A308" s="37">
        <v>1796</v>
      </c>
      <c r="B308" s="51" t="s">
        <v>37</v>
      </c>
      <c r="C308" s="14">
        <v>14876</v>
      </c>
      <c r="D308" s="23">
        <v>45809</v>
      </c>
      <c r="E308" s="23">
        <v>45817</v>
      </c>
      <c r="F308" s="17" t="s">
        <v>11</v>
      </c>
      <c r="G308" s="121">
        <v>0.01</v>
      </c>
      <c r="H308" s="2">
        <v>5.0000000000000001E-3</v>
      </c>
      <c r="I308" s="29" t="s">
        <v>30</v>
      </c>
      <c r="J308" s="23">
        <v>45838</v>
      </c>
      <c r="K308" s="15" t="s">
        <v>2097</v>
      </c>
    </row>
    <row r="309" spans="1:11">
      <c r="A309" s="37">
        <v>1797</v>
      </c>
      <c r="B309" s="51" t="s">
        <v>37</v>
      </c>
      <c r="C309" s="14">
        <v>15317</v>
      </c>
      <c r="D309" s="23">
        <v>45809</v>
      </c>
      <c r="E309" s="23">
        <v>45838</v>
      </c>
      <c r="F309" s="17" t="s">
        <v>11</v>
      </c>
      <c r="G309" s="121">
        <v>0.01</v>
      </c>
      <c r="H309" s="2">
        <v>5.0000000000000001E-3</v>
      </c>
      <c r="I309" s="29" t="s">
        <v>53</v>
      </c>
      <c r="J309" s="23">
        <v>45838</v>
      </c>
      <c r="K309" s="15" t="s">
        <v>2097</v>
      </c>
    </row>
    <row r="310" spans="1:11">
      <c r="A310" s="37">
        <v>1798</v>
      </c>
      <c r="B310" s="51" t="s">
        <v>37</v>
      </c>
      <c r="C310" s="14">
        <v>5986</v>
      </c>
      <c r="D310" s="23">
        <v>45809</v>
      </c>
      <c r="E310" s="23">
        <v>45838</v>
      </c>
      <c r="F310" s="17" t="s">
        <v>11</v>
      </c>
      <c r="G310" s="121">
        <v>0.01</v>
      </c>
      <c r="H310" s="2">
        <v>2E-3</v>
      </c>
      <c r="I310" s="29" t="s">
        <v>30</v>
      </c>
      <c r="J310" s="23">
        <v>45838</v>
      </c>
      <c r="K310" s="15" t="s">
        <v>2097</v>
      </c>
    </row>
    <row r="311" spans="1:11">
      <c r="A311" s="37">
        <v>1799</v>
      </c>
      <c r="B311" s="51" t="s">
        <v>37</v>
      </c>
      <c r="C311" s="14">
        <v>5986</v>
      </c>
      <c r="D311" s="23">
        <v>45809</v>
      </c>
      <c r="E311" s="23">
        <v>45817</v>
      </c>
      <c r="F311" s="17" t="s">
        <v>11</v>
      </c>
      <c r="G311" s="121">
        <v>0.01</v>
      </c>
      <c r="H311" s="2">
        <v>5.0000000000000001E-3</v>
      </c>
      <c r="I311" s="29" t="s">
        <v>30</v>
      </c>
      <c r="J311" s="23">
        <v>45838</v>
      </c>
      <c r="K311" s="15" t="s">
        <v>2097</v>
      </c>
    </row>
    <row r="312" spans="1:11">
      <c r="A312" s="37">
        <v>1800</v>
      </c>
      <c r="B312" s="51" t="s">
        <v>37</v>
      </c>
      <c r="C312" s="14">
        <v>7274</v>
      </c>
      <c r="D312" s="23">
        <v>45809</v>
      </c>
      <c r="E312" s="23">
        <v>45817</v>
      </c>
      <c r="F312" s="17" t="s">
        <v>11</v>
      </c>
      <c r="G312" s="121">
        <v>0.01</v>
      </c>
      <c r="H312" s="2">
        <v>5.0000000000000001E-3</v>
      </c>
      <c r="I312" s="29" t="s">
        <v>30</v>
      </c>
      <c r="J312" s="23">
        <v>45838</v>
      </c>
      <c r="K312" s="15" t="s">
        <v>2097</v>
      </c>
    </row>
    <row r="313" spans="1:11">
      <c r="A313" s="37">
        <v>1801</v>
      </c>
      <c r="B313" s="51" t="s">
        <v>37</v>
      </c>
      <c r="C313" s="14">
        <v>7274</v>
      </c>
      <c r="D313" s="23">
        <v>45809</v>
      </c>
      <c r="E313" s="23">
        <v>45838</v>
      </c>
      <c r="F313" s="17" t="s">
        <v>11</v>
      </c>
      <c r="G313" s="121">
        <v>0.01</v>
      </c>
      <c r="H313" s="2">
        <v>7.4999999999999997E-3</v>
      </c>
      <c r="I313" s="29" t="s">
        <v>30</v>
      </c>
      <c r="J313" s="23">
        <v>45838</v>
      </c>
      <c r="K313" s="15" t="s">
        <v>2097</v>
      </c>
    </row>
    <row r="314" spans="1:11">
      <c r="A314" s="37">
        <v>1802</v>
      </c>
      <c r="B314" s="51" t="s">
        <v>37</v>
      </c>
      <c r="C314" s="14">
        <v>7274</v>
      </c>
      <c r="D314" s="23">
        <v>45809</v>
      </c>
      <c r="E314" s="23">
        <v>45838</v>
      </c>
      <c r="F314" s="17" t="s">
        <v>11</v>
      </c>
      <c r="G314" s="121">
        <v>0.01</v>
      </c>
      <c r="H314" s="2">
        <v>2.5000000000000001E-3</v>
      </c>
      <c r="I314" s="29" t="s">
        <v>30</v>
      </c>
      <c r="J314" s="23">
        <v>45838</v>
      </c>
      <c r="K314" s="15" t="s">
        <v>2097</v>
      </c>
    </row>
    <row r="315" spans="1:11">
      <c r="A315" s="37">
        <v>1803</v>
      </c>
      <c r="B315" s="51" t="s">
        <v>37</v>
      </c>
      <c r="C315" s="14">
        <v>7274</v>
      </c>
      <c r="D315" s="23">
        <v>45809</v>
      </c>
      <c r="E315" s="23">
        <v>45838</v>
      </c>
      <c r="F315" s="17" t="s">
        <v>11</v>
      </c>
      <c r="G315" s="121">
        <v>0.01</v>
      </c>
      <c r="H315" s="2">
        <v>5.0000000000000001E-3</v>
      </c>
      <c r="I315" s="29" t="s">
        <v>30</v>
      </c>
      <c r="J315" s="23">
        <v>45838</v>
      </c>
      <c r="K315" s="15" t="s">
        <v>2097</v>
      </c>
    </row>
    <row r="316" spans="1:11">
      <c r="A316" s="37">
        <v>1804</v>
      </c>
      <c r="B316" s="51" t="s">
        <v>37</v>
      </c>
      <c r="C316" s="14">
        <v>14399</v>
      </c>
      <c r="D316" s="23">
        <v>45809</v>
      </c>
      <c r="E316" s="23">
        <v>45817</v>
      </c>
      <c r="F316" s="17" t="s">
        <v>11</v>
      </c>
      <c r="G316" s="121">
        <v>0.01</v>
      </c>
      <c r="H316" s="2">
        <v>5.0000000000000001E-3</v>
      </c>
      <c r="I316" s="29" t="s">
        <v>30</v>
      </c>
      <c r="J316" s="23">
        <v>45838</v>
      </c>
      <c r="K316" s="15" t="s">
        <v>2097</v>
      </c>
    </row>
    <row r="317" spans="1:11">
      <c r="A317" s="37">
        <v>1805</v>
      </c>
      <c r="B317" s="51" t="s">
        <v>37</v>
      </c>
      <c r="C317" s="14">
        <v>3280</v>
      </c>
      <c r="D317" s="23">
        <v>45809</v>
      </c>
      <c r="E317" s="23">
        <v>45838</v>
      </c>
      <c r="F317" s="17" t="s">
        <v>11</v>
      </c>
      <c r="G317" s="121">
        <v>150000</v>
      </c>
      <c r="H317" s="2">
        <v>2E-3</v>
      </c>
      <c r="I317" s="29" t="s">
        <v>25</v>
      </c>
      <c r="J317" s="23">
        <v>45838</v>
      </c>
      <c r="K317" s="15" t="s">
        <v>2097</v>
      </c>
    </row>
    <row r="318" spans="1:11">
      <c r="A318" s="37">
        <v>1806</v>
      </c>
      <c r="B318" s="51" t="s">
        <v>37</v>
      </c>
      <c r="C318" s="14">
        <v>3280</v>
      </c>
      <c r="D318" s="23">
        <v>45809</v>
      </c>
      <c r="E318" s="23">
        <v>45838</v>
      </c>
      <c r="F318" s="17" t="s">
        <v>11</v>
      </c>
      <c r="G318" s="121">
        <v>150000</v>
      </c>
      <c r="H318" s="2">
        <v>2E-3</v>
      </c>
      <c r="I318" s="29" t="s">
        <v>25</v>
      </c>
      <c r="J318" s="23">
        <v>45838</v>
      </c>
      <c r="K318" s="15" t="s">
        <v>2097</v>
      </c>
    </row>
    <row r="319" spans="1:11">
      <c r="A319" s="37">
        <v>1807</v>
      </c>
      <c r="B319" s="51" t="s">
        <v>37</v>
      </c>
      <c r="C319" s="14">
        <v>3280</v>
      </c>
      <c r="D319" s="23">
        <v>45809</v>
      </c>
      <c r="E319" s="23">
        <v>45838</v>
      </c>
      <c r="F319" s="17" t="s">
        <v>11</v>
      </c>
      <c r="G319" s="121">
        <v>150000</v>
      </c>
      <c r="H319" s="2">
        <v>2E-3</v>
      </c>
      <c r="I319" s="29" t="s">
        <v>25</v>
      </c>
      <c r="J319" s="23">
        <v>45838</v>
      </c>
      <c r="K319" s="15" t="s">
        <v>2097</v>
      </c>
    </row>
    <row r="320" spans="1:11">
      <c r="A320" s="37">
        <v>1808</v>
      </c>
      <c r="B320" s="51" t="s">
        <v>37</v>
      </c>
      <c r="C320" s="14">
        <v>3280</v>
      </c>
      <c r="D320" s="23">
        <v>45809</v>
      </c>
      <c r="E320" s="23">
        <v>45838</v>
      </c>
      <c r="F320" s="17" t="s">
        <v>11</v>
      </c>
      <c r="G320" s="121">
        <v>150000</v>
      </c>
      <c r="H320" s="2">
        <v>2E-3</v>
      </c>
      <c r="I320" s="29" t="s">
        <v>25</v>
      </c>
      <c r="J320" s="23">
        <v>45838</v>
      </c>
      <c r="K320" s="15" t="s">
        <v>2097</v>
      </c>
    </row>
    <row r="321" spans="1:11" ht="30">
      <c r="A321" s="37">
        <v>1809</v>
      </c>
      <c r="B321" s="51" t="s">
        <v>37</v>
      </c>
      <c r="C321" s="14">
        <v>15095</v>
      </c>
      <c r="D321" s="23">
        <v>45809</v>
      </c>
      <c r="E321" s="23">
        <v>45838</v>
      </c>
      <c r="F321" s="17" t="s">
        <v>11</v>
      </c>
      <c r="G321" s="121">
        <v>1000</v>
      </c>
      <c r="H321" s="2">
        <v>5.0000000000000001E-3</v>
      </c>
      <c r="I321" s="29" t="s">
        <v>175</v>
      </c>
      <c r="J321" s="23">
        <v>45838</v>
      </c>
      <c r="K321" s="15" t="s">
        <v>2097</v>
      </c>
    </row>
    <row r="322" spans="1:11">
      <c r="A322" s="37">
        <v>1810</v>
      </c>
      <c r="B322" s="51" t="s">
        <v>37</v>
      </c>
      <c r="C322" s="14">
        <v>15710</v>
      </c>
      <c r="D322" s="23">
        <v>45809</v>
      </c>
      <c r="E322" s="23">
        <v>45838</v>
      </c>
      <c r="F322" s="17" t="s">
        <v>11</v>
      </c>
      <c r="G322" s="121">
        <v>1000</v>
      </c>
      <c r="H322" s="2">
        <v>5.0000000000000001E-3</v>
      </c>
      <c r="I322" s="29" t="s">
        <v>12</v>
      </c>
      <c r="J322" s="23">
        <v>45838</v>
      </c>
      <c r="K322" s="15" t="s">
        <v>2097</v>
      </c>
    </row>
    <row r="323" spans="1:11" ht="30">
      <c r="A323" s="37">
        <v>1811</v>
      </c>
      <c r="B323" s="51" t="s">
        <v>37</v>
      </c>
      <c r="C323" s="14">
        <v>16845</v>
      </c>
      <c r="D323" s="23">
        <v>45809</v>
      </c>
      <c r="E323" s="23">
        <v>45838</v>
      </c>
      <c r="F323" s="17" t="s">
        <v>11</v>
      </c>
      <c r="G323" s="121">
        <v>1000</v>
      </c>
      <c r="H323" s="2">
        <v>5.0000000000000001E-3</v>
      </c>
      <c r="I323" s="29" t="s">
        <v>175</v>
      </c>
      <c r="J323" s="23">
        <v>45838</v>
      </c>
      <c r="K323" s="15" t="s">
        <v>2097</v>
      </c>
    </row>
    <row r="324" spans="1:11">
      <c r="A324" s="37">
        <v>1812</v>
      </c>
      <c r="B324" s="51" t="s">
        <v>37</v>
      </c>
      <c r="C324" s="14">
        <v>10293</v>
      </c>
      <c r="D324" s="23">
        <v>45809</v>
      </c>
      <c r="E324" s="23">
        <v>45817</v>
      </c>
      <c r="F324" s="17" t="s">
        <v>11</v>
      </c>
      <c r="G324" s="121">
        <v>1000</v>
      </c>
      <c r="H324" s="2">
        <v>5.0000000000000001E-3</v>
      </c>
      <c r="I324" s="29" t="s">
        <v>27</v>
      </c>
      <c r="J324" s="23">
        <v>45838</v>
      </c>
      <c r="K324" s="15" t="s">
        <v>2097</v>
      </c>
    </row>
    <row r="325" spans="1:11">
      <c r="A325" s="37">
        <v>1813</v>
      </c>
      <c r="B325" s="51" t="s">
        <v>37</v>
      </c>
      <c r="C325" s="14">
        <v>11859</v>
      </c>
      <c r="D325" s="23">
        <v>45809</v>
      </c>
      <c r="E325" s="23">
        <v>45817</v>
      </c>
      <c r="F325" s="17" t="s">
        <v>11</v>
      </c>
      <c r="G325" s="121">
        <v>1000</v>
      </c>
      <c r="H325" s="2">
        <v>5.0000000000000001E-3</v>
      </c>
      <c r="I325" s="29" t="s">
        <v>27</v>
      </c>
      <c r="J325" s="23">
        <v>45838</v>
      </c>
      <c r="K325" s="15" t="s">
        <v>2097</v>
      </c>
    </row>
    <row r="326" spans="1:11">
      <c r="A326" s="37">
        <v>1814</v>
      </c>
      <c r="B326" s="51" t="s">
        <v>37</v>
      </c>
      <c r="C326" s="14">
        <v>11545</v>
      </c>
      <c r="D326" s="23">
        <v>45809</v>
      </c>
      <c r="E326" s="23">
        <v>45817</v>
      </c>
      <c r="F326" s="17" t="s">
        <v>11</v>
      </c>
      <c r="G326" s="121">
        <v>1000</v>
      </c>
      <c r="H326" s="2">
        <v>5.0000000000000001E-3</v>
      </c>
      <c r="I326" s="29" t="s">
        <v>27</v>
      </c>
      <c r="J326" s="23">
        <v>45838</v>
      </c>
      <c r="K326" s="15" t="s">
        <v>2097</v>
      </c>
    </row>
    <row r="327" spans="1:11">
      <c r="A327" s="37">
        <v>1815</v>
      </c>
      <c r="B327" s="51" t="s">
        <v>37</v>
      </c>
      <c r="C327" s="14">
        <v>11545</v>
      </c>
      <c r="D327" s="23">
        <v>45809</v>
      </c>
      <c r="E327" s="23">
        <v>45838</v>
      </c>
      <c r="F327" s="17" t="s">
        <v>11</v>
      </c>
      <c r="G327" s="121">
        <v>1000</v>
      </c>
      <c r="H327" s="2">
        <v>7.4999999999999997E-3</v>
      </c>
      <c r="I327" s="29" t="s">
        <v>27</v>
      </c>
      <c r="J327" s="23">
        <v>45838</v>
      </c>
      <c r="K327" s="15" t="s">
        <v>2097</v>
      </c>
    </row>
    <row r="328" spans="1:11">
      <c r="A328" s="37">
        <v>1816</v>
      </c>
      <c r="B328" s="51" t="s">
        <v>37</v>
      </c>
      <c r="C328" s="14">
        <v>4353</v>
      </c>
      <c r="D328" s="23">
        <v>45809</v>
      </c>
      <c r="E328" s="23">
        <v>45817</v>
      </c>
      <c r="F328" s="17" t="s">
        <v>11</v>
      </c>
      <c r="G328" s="121">
        <v>10000</v>
      </c>
      <c r="H328" s="2">
        <v>5.0000000000000001E-3</v>
      </c>
      <c r="I328" s="29" t="s">
        <v>25</v>
      </c>
      <c r="J328" s="23">
        <v>45838</v>
      </c>
      <c r="K328" s="15" t="s">
        <v>2097</v>
      </c>
    </row>
    <row r="329" spans="1:11">
      <c r="A329" s="37">
        <v>1817</v>
      </c>
      <c r="B329" s="51" t="s">
        <v>37</v>
      </c>
      <c r="C329" s="14">
        <v>4353</v>
      </c>
      <c r="D329" s="23">
        <v>45809</v>
      </c>
      <c r="E329" s="23">
        <v>45838</v>
      </c>
      <c r="F329" s="17" t="s">
        <v>11</v>
      </c>
      <c r="G329" s="121">
        <v>10000</v>
      </c>
      <c r="H329" s="2">
        <v>5.0000000000000001E-3</v>
      </c>
      <c r="I329" s="29" t="s">
        <v>25</v>
      </c>
      <c r="J329" s="23">
        <v>45838</v>
      </c>
      <c r="K329" s="15" t="s">
        <v>2097</v>
      </c>
    </row>
    <row r="330" spans="1:11">
      <c r="A330" s="37">
        <v>1818</v>
      </c>
      <c r="B330" s="51" t="s">
        <v>37</v>
      </c>
      <c r="C330" s="14">
        <v>4353</v>
      </c>
      <c r="D330" s="23">
        <v>45809</v>
      </c>
      <c r="E330" s="23">
        <v>45838</v>
      </c>
      <c r="F330" s="17" t="s">
        <v>11</v>
      </c>
      <c r="G330" s="121">
        <v>1000</v>
      </c>
      <c r="H330" s="2">
        <v>5.0000000000000001E-3</v>
      </c>
      <c r="I330" s="29" t="s">
        <v>25</v>
      </c>
      <c r="J330" s="23">
        <v>45838</v>
      </c>
      <c r="K330" s="15" t="s">
        <v>2097</v>
      </c>
    </row>
    <row r="331" spans="1:11">
      <c r="A331" s="37">
        <v>1819</v>
      </c>
      <c r="B331" s="51" t="s">
        <v>37</v>
      </c>
      <c r="C331" s="14">
        <v>11390</v>
      </c>
      <c r="D331" s="23">
        <v>45809</v>
      </c>
      <c r="E331" s="23">
        <v>45838</v>
      </c>
      <c r="F331" s="17" t="s">
        <v>11</v>
      </c>
      <c r="G331" s="121">
        <v>10000</v>
      </c>
      <c r="H331" s="2">
        <v>3.0000000000000001E-3</v>
      </c>
      <c r="I331" s="29" t="s">
        <v>25</v>
      </c>
      <c r="J331" s="23">
        <v>45838</v>
      </c>
      <c r="K331" s="15" t="s">
        <v>2097</v>
      </c>
    </row>
    <row r="332" spans="1:11">
      <c r="A332" s="37">
        <v>1820</v>
      </c>
      <c r="B332" s="51" t="s">
        <v>37</v>
      </c>
      <c r="C332" s="14">
        <v>11390</v>
      </c>
      <c r="D332" s="23">
        <v>45809</v>
      </c>
      <c r="E332" s="23">
        <v>45838</v>
      </c>
      <c r="F332" s="17" t="s">
        <v>11</v>
      </c>
      <c r="G332" s="121">
        <v>10000</v>
      </c>
      <c r="H332" s="2">
        <v>5.0000000000000001E-3</v>
      </c>
      <c r="I332" s="29" t="s">
        <v>25</v>
      </c>
      <c r="J332" s="23">
        <v>45838</v>
      </c>
      <c r="K332" s="15" t="s">
        <v>2097</v>
      </c>
    </row>
    <row r="333" spans="1:11">
      <c r="A333" s="37">
        <v>1821</v>
      </c>
      <c r="B333" s="51" t="s">
        <v>37</v>
      </c>
      <c r="C333" s="14">
        <v>11390</v>
      </c>
      <c r="D333" s="23">
        <v>45809</v>
      </c>
      <c r="E333" s="23">
        <v>45817</v>
      </c>
      <c r="F333" s="17" t="s">
        <v>11</v>
      </c>
      <c r="G333" s="121">
        <v>10000</v>
      </c>
      <c r="H333" s="2">
        <v>5.0000000000000001E-3</v>
      </c>
      <c r="I333" s="29" t="s">
        <v>25</v>
      </c>
      <c r="J333" s="23">
        <v>45838</v>
      </c>
      <c r="K333" s="15" t="s">
        <v>2097</v>
      </c>
    </row>
    <row r="334" spans="1:11">
      <c r="A334" s="37">
        <v>1822</v>
      </c>
      <c r="B334" s="51" t="s">
        <v>37</v>
      </c>
      <c r="C334" s="14">
        <v>3489</v>
      </c>
      <c r="D334" s="23">
        <v>45809</v>
      </c>
      <c r="E334" s="23">
        <v>45838</v>
      </c>
      <c r="F334" s="17" t="s">
        <v>11</v>
      </c>
      <c r="G334" s="121">
        <v>1000</v>
      </c>
      <c r="H334" s="2">
        <v>5.0000000000000001E-3</v>
      </c>
      <c r="I334" s="29" t="s">
        <v>25</v>
      </c>
      <c r="J334" s="23">
        <v>45838</v>
      </c>
      <c r="K334" s="15" t="s">
        <v>2097</v>
      </c>
    </row>
    <row r="335" spans="1:11">
      <c r="A335" s="37">
        <v>1823</v>
      </c>
      <c r="B335" s="51" t="s">
        <v>37</v>
      </c>
      <c r="C335" s="14">
        <v>3489</v>
      </c>
      <c r="D335" s="23">
        <v>45809</v>
      </c>
      <c r="E335" s="23">
        <v>45838</v>
      </c>
      <c r="F335" s="17" t="s">
        <v>11</v>
      </c>
      <c r="G335" s="121">
        <v>1000</v>
      </c>
      <c r="H335" s="2">
        <v>9.4999999999999998E-3</v>
      </c>
      <c r="I335" s="29" t="s">
        <v>25</v>
      </c>
      <c r="J335" s="23">
        <v>45838</v>
      </c>
      <c r="K335" s="15" t="s">
        <v>2097</v>
      </c>
    </row>
    <row r="336" spans="1:11">
      <c r="A336" s="37">
        <v>1824</v>
      </c>
      <c r="B336" s="51" t="s">
        <v>37</v>
      </c>
      <c r="C336" s="14">
        <v>3489</v>
      </c>
      <c r="D336" s="23">
        <v>45809</v>
      </c>
      <c r="E336" s="23">
        <v>45817</v>
      </c>
      <c r="F336" s="17" t="s">
        <v>11</v>
      </c>
      <c r="G336" s="121">
        <v>0.01</v>
      </c>
      <c r="H336" s="2">
        <v>5.0000000000000001E-3</v>
      </c>
      <c r="I336" s="29" t="s">
        <v>25</v>
      </c>
      <c r="J336" s="23">
        <v>45838</v>
      </c>
      <c r="K336" s="15" t="s">
        <v>2097</v>
      </c>
    </row>
    <row r="337" spans="1:11">
      <c r="A337" s="37">
        <v>1825</v>
      </c>
      <c r="B337" s="51" t="s">
        <v>37</v>
      </c>
      <c r="C337" s="14">
        <v>11907</v>
      </c>
      <c r="D337" s="23">
        <v>45809</v>
      </c>
      <c r="E337" s="23">
        <v>45838</v>
      </c>
      <c r="F337" s="17" t="s">
        <v>11</v>
      </c>
      <c r="G337" s="121">
        <v>400000</v>
      </c>
      <c r="H337" s="126">
        <v>2E-3</v>
      </c>
      <c r="I337" s="29" t="s">
        <v>27</v>
      </c>
      <c r="J337" s="23">
        <v>45838</v>
      </c>
      <c r="K337" s="15" t="s">
        <v>2097</v>
      </c>
    </row>
    <row r="338" spans="1:11">
      <c r="A338" s="37">
        <v>1826</v>
      </c>
      <c r="B338" s="51" t="s">
        <v>37</v>
      </c>
      <c r="C338" s="14">
        <v>17303</v>
      </c>
      <c r="D338" s="23">
        <v>45809</v>
      </c>
      <c r="E338" s="23">
        <v>45838</v>
      </c>
      <c r="F338" s="17" t="s">
        <v>11</v>
      </c>
      <c r="G338" s="121">
        <v>1000</v>
      </c>
      <c r="H338" s="127">
        <v>2.5999999999999999E-3</v>
      </c>
      <c r="I338" s="29" t="s">
        <v>27</v>
      </c>
      <c r="J338" s="23">
        <v>45838</v>
      </c>
      <c r="K338" s="15" t="s">
        <v>2097</v>
      </c>
    </row>
    <row r="339" spans="1:11">
      <c r="A339" s="37">
        <v>1827</v>
      </c>
      <c r="B339" s="51" t="s">
        <v>37</v>
      </c>
      <c r="C339" s="14">
        <v>17303</v>
      </c>
      <c r="D339" s="23">
        <v>45809</v>
      </c>
      <c r="E339" s="23">
        <v>45838</v>
      </c>
      <c r="F339" s="17" t="s">
        <v>11</v>
      </c>
      <c r="G339" s="121">
        <v>1000</v>
      </c>
      <c r="H339" s="128">
        <v>2.0999999999999999E-3</v>
      </c>
      <c r="I339" s="29" t="s">
        <v>27</v>
      </c>
      <c r="J339" s="23">
        <v>45838</v>
      </c>
      <c r="K339" s="15" t="s">
        <v>2097</v>
      </c>
    </row>
    <row r="340" spans="1:11">
      <c r="A340" s="37">
        <v>1828</v>
      </c>
      <c r="B340" s="51" t="s">
        <v>37</v>
      </c>
      <c r="C340" s="14">
        <v>17303</v>
      </c>
      <c r="D340" s="23">
        <v>45809</v>
      </c>
      <c r="E340" s="23">
        <v>45838</v>
      </c>
      <c r="F340" s="17" t="s">
        <v>11</v>
      </c>
      <c r="G340" s="121">
        <v>1000</v>
      </c>
      <c r="H340" s="127">
        <v>2.5000000000000001E-3</v>
      </c>
      <c r="I340" s="29" t="s">
        <v>27</v>
      </c>
      <c r="J340" s="23">
        <v>45838</v>
      </c>
      <c r="K340" s="15" t="s">
        <v>2097</v>
      </c>
    </row>
    <row r="341" spans="1:11">
      <c r="A341" s="37">
        <v>1829</v>
      </c>
      <c r="B341" s="51" t="s">
        <v>37</v>
      </c>
      <c r="C341" s="14">
        <v>17303</v>
      </c>
      <c r="D341" s="23">
        <v>45809</v>
      </c>
      <c r="E341" s="23">
        <v>45838</v>
      </c>
      <c r="F341" s="17" t="s">
        <v>11</v>
      </c>
      <c r="G341" s="121">
        <v>1000</v>
      </c>
      <c r="H341" s="127">
        <v>5.0000000000000001E-3</v>
      </c>
      <c r="I341" s="29" t="s">
        <v>27</v>
      </c>
      <c r="J341" s="23">
        <v>45838</v>
      </c>
      <c r="K341" s="15" t="s">
        <v>2097</v>
      </c>
    </row>
    <row r="342" spans="1:11">
      <c r="A342" s="37">
        <v>1830</v>
      </c>
      <c r="B342" s="51" t="s">
        <v>37</v>
      </c>
      <c r="C342" s="14">
        <v>17303</v>
      </c>
      <c r="D342" s="23">
        <v>45809</v>
      </c>
      <c r="E342" s="23">
        <v>45838</v>
      </c>
      <c r="F342" s="17" t="s">
        <v>11</v>
      </c>
      <c r="G342" s="121">
        <v>1000</v>
      </c>
      <c r="H342" s="127">
        <v>1.4999999999999999E-2</v>
      </c>
      <c r="I342" s="29" t="s">
        <v>27</v>
      </c>
      <c r="J342" s="23">
        <v>45838</v>
      </c>
      <c r="K342" s="15" t="s">
        <v>2097</v>
      </c>
    </row>
    <row r="343" spans="1:11">
      <c r="A343" s="37">
        <v>1831</v>
      </c>
      <c r="B343" s="51" t="s">
        <v>37</v>
      </c>
      <c r="C343" s="14">
        <v>17303</v>
      </c>
      <c r="D343" s="23">
        <v>45809</v>
      </c>
      <c r="E343" s="23">
        <v>45838</v>
      </c>
      <c r="F343" s="17" t="s">
        <v>11</v>
      </c>
      <c r="G343" s="121">
        <v>1000</v>
      </c>
      <c r="H343" s="127">
        <v>7.4999999999999997E-3</v>
      </c>
      <c r="I343" s="29" t="s">
        <v>27</v>
      </c>
      <c r="J343" s="23">
        <v>45838</v>
      </c>
      <c r="K343" s="15" t="s">
        <v>2097</v>
      </c>
    </row>
    <row r="344" spans="1:11">
      <c r="A344" s="37">
        <v>1832</v>
      </c>
      <c r="B344" s="51" t="s">
        <v>37</v>
      </c>
      <c r="C344" s="14">
        <v>17303</v>
      </c>
      <c r="D344" s="23">
        <v>45809</v>
      </c>
      <c r="E344" s="23">
        <v>45838</v>
      </c>
      <c r="F344" s="17" t="s">
        <v>11</v>
      </c>
      <c r="G344" s="121">
        <v>1000</v>
      </c>
      <c r="H344" s="127">
        <v>0.01</v>
      </c>
      <c r="I344" s="29" t="s">
        <v>27</v>
      </c>
      <c r="J344" s="23">
        <v>45838</v>
      </c>
      <c r="K344" s="15" t="s">
        <v>2097</v>
      </c>
    </row>
    <row r="345" spans="1:11">
      <c r="A345" s="37">
        <v>1833</v>
      </c>
      <c r="B345" s="51" t="s">
        <v>37</v>
      </c>
      <c r="C345" s="14">
        <v>17303</v>
      </c>
      <c r="D345" s="23">
        <v>45809</v>
      </c>
      <c r="E345" s="23">
        <v>45838</v>
      </c>
      <c r="F345" s="17" t="s">
        <v>11</v>
      </c>
      <c r="G345" s="121">
        <v>1000</v>
      </c>
      <c r="H345" s="142">
        <v>9.4999999999999998E-3</v>
      </c>
      <c r="I345" s="29" t="s">
        <v>27</v>
      </c>
      <c r="J345" s="23">
        <v>45838</v>
      </c>
      <c r="K345" s="15" t="s">
        <v>2097</v>
      </c>
    </row>
    <row r="346" spans="1:11">
      <c r="A346" s="37">
        <v>1834</v>
      </c>
      <c r="B346" s="51" t="s">
        <v>37</v>
      </c>
      <c r="C346" s="14">
        <v>17303</v>
      </c>
      <c r="D346" s="23">
        <v>45809</v>
      </c>
      <c r="E346" s="23">
        <v>45838</v>
      </c>
      <c r="F346" s="17" t="s">
        <v>11</v>
      </c>
      <c r="G346" s="121">
        <v>1000</v>
      </c>
      <c r="H346" s="126">
        <v>1.4999999999999999E-2</v>
      </c>
      <c r="I346" s="29" t="s">
        <v>27</v>
      </c>
      <c r="J346" s="23">
        <v>45838</v>
      </c>
      <c r="K346" s="15" t="s">
        <v>2097</v>
      </c>
    </row>
    <row r="347" spans="1:11">
      <c r="A347" s="37">
        <v>1835</v>
      </c>
      <c r="B347" s="51" t="s">
        <v>37</v>
      </c>
      <c r="C347" s="9">
        <v>14129</v>
      </c>
      <c r="D347" s="4">
        <v>45809</v>
      </c>
      <c r="E347" s="4">
        <v>45838</v>
      </c>
      <c r="F347" s="40" t="s">
        <v>11</v>
      </c>
      <c r="G347" s="118">
        <v>1000</v>
      </c>
      <c r="H347" s="2">
        <v>7.4999999999999997E-3</v>
      </c>
      <c r="I347" s="29" t="s">
        <v>12</v>
      </c>
      <c r="J347" s="4">
        <v>45818</v>
      </c>
      <c r="K347" s="18" t="s">
        <v>1914</v>
      </c>
    </row>
    <row r="348" spans="1:11">
      <c r="A348" s="37">
        <v>1836</v>
      </c>
      <c r="B348" s="51" t="s">
        <v>37</v>
      </c>
      <c r="C348" s="14" t="s">
        <v>1423</v>
      </c>
      <c r="D348" s="38">
        <v>45831</v>
      </c>
      <c r="E348" s="38">
        <v>45838</v>
      </c>
      <c r="F348" s="17" t="s">
        <v>11</v>
      </c>
      <c r="G348" s="121">
        <v>0.01</v>
      </c>
      <c r="H348" s="2">
        <v>6.4999999999999997E-3</v>
      </c>
      <c r="I348" s="29" t="s">
        <v>20</v>
      </c>
      <c r="J348" s="23">
        <v>45838</v>
      </c>
      <c r="K348" s="15" t="s">
        <v>2117</v>
      </c>
    </row>
    <row r="349" spans="1:11">
      <c r="A349" s="37">
        <v>1837</v>
      </c>
      <c r="B349" s="51" t="s">
        <v>37</v>
      </c>
      <c r="C349" s="14">
        <v>6905</v>
      </c>
      <c r="D349" s="23">
        <v>45809</v>
      </c>
      <c r="E349" s="23">
        <v>45838</v>
      </c>
      <c r="F349" s="17" t="s">
        <v>11</v>
      </c>
      <c r="G349" s="121">
        <v>0.01</v>
      </c>
      <c r="H349" s="126">
        <v>1.23E-2</v>
      </c>
      <c r="I349" s="29" t="s">
        <v>17</v>
      </c>
      <c r="J349" s="23">
        <v>45842</v>
      </c>
      <c r="K349" s="15" t="s">
        <v>2126</v>
      </c>
    </row>
    <row r="350" spans="1:11" s="5" customFormat="1" ht="12.75" customHeight="1">
      <c r="A350" s="37">
        <v>1838</v>
      </c>
      <c r="B350" s="51" t="s">
        <v>37</v>
      </c>
      <c r="C350" s="14">
        <v>12800</v>
      </c>
      <c r="D350" s="23">
        <v>45809</v>
      </c>
      <c r="E350" s="23">
        <v>45838</v>
      </c>
      <c r="F350" s="17" t="s">
        <v>11</v>
      </c>
      <c r="G350" s="121">
        <v>0.01</v>
      </c>
      <c r="H350" s="126">
        <v>7.4999999999999997E-3</v>
      </c>
      <c r="I350" s="30" t="s">
        <v>14</v>
      </c>
      <c r="J350" s="23">
        <v>45818</v>
      </c>
      <c r="K350" s="15" t="s">
        <v>2201</v>
      </c>
    </row>
    <row r="351" spans="1:11" s="5" customFormat="1" ht="12.75" customHeight="1">
      <c r="A351" s="37">
        <v>1839</v>
      </c>
      <c r="B351" s="51" t="s">
        <v>37</v>
      </c>
      <c r="C351" s="20">
        <v>9566</v>
      </c>
      <c r="D351" s="32">
        <v>45809</v>
      </c>
      <c r="E351" s="32">
        <v>45838</v>
      </c>
      <c r="F351" s="31" t="s">
        <v>11</v>
      </c>
      <c r="G351" s="143">
        <v>0.01</v>
      </c>
      <c r="H351" s="144">
        <v>1.4999999999999999E-2</v>
      </c>
      <c r="I351" s="30" t="e">
        <v>#VALUE!</v>
      </c>
      <c r="J351" s="32">
        <v>45818</v>
      </c>
      <c r="K351" s="33" t="s">
        <v>2201</v>
      </c>
    </row>
    <row r="352" spans="1:11" s="5" customFormat="1" ht="12.75" customHeight="1">
      <c r="A352" s="37">
        <v>1840</v>
      </c>
      <c r="B352" s="51" t="s">
        <v>37</v>
      </c>
      <c r="C352" s="14">
        <v>9566</v>
      </c>
      <c r="D352" s="23">
        <v>45809</v>
      </c>
      <c r="E352" s="23">
        <v>45838</v>
      </c>
      <c r="F352" s="17" t="s">
        <v>11</v>
      </c>
      <c r="G352" s="121">
        <v>0.01</v>
      </c>
      <c r="H352" s="126">
        <v>3.0000000000000001E-3</v>
      </c>
      <c r="I352" s="30" t="e">
        <v>#VALUE!</v>
      </c>
      <c r="J352" s="23">
        <v>45818</v>
      </c>
      <c r="K352" s="15" t="s">
        <v>2201</v>
      </c>
    </row>
    <row r="353" spans="1:11" s="5" customFormat="1" ht="12.75" customHeight="1">
      <c r="A353" s="37">
        <v>1841</v>
      </c>
      <c r="B353" s="51" t="s">
        <v>37</v>
      </c>
      <c r="C353" s="20">
        <v>17031</v>
      </c>
      <c r="D353" s="32">
        <v>45809</v>
      </c>
      <c r="E353" s="32">
        <v>45838</v>
      </c>
      <c r="F353" s="31" t="s">
        <v>11</v>
      </c>
      <c r="G353" s="143">
        <v>0.01</v>
      </c>
      <c r="H353" s="144">
        <v>4.0000000000000001E-3</v>
      </c>
      <c r="I353" s="30" t="e">
        <v>#REF!</v>
      </c>
      <c r="J353" s="32">
        <v>45818</v>
      </c>
      <c r="K353" s="33" t="s">
        <v>2201</v>
      </c>
    </row>
    <row r="354" spans="1:11" s="5" customFormat="1" ht="12.75" customHeight="1">
      <c r="A354" s="37">
        <v>1842</v>
      </c>
      <c r="B354" s="51" t="s">
        <v>37</v>
      </c>
      <c r="C354" s="14">
        <v>12986</v>
      </c>
      <c r="D354" s="23">
        <v>45809</v>
      </c>
      <c r="E354" s="23">
        <v>45838</v>
      </c>
      <c r="F354" s="17" t="s">
        <v>11</v>
      </c>
      <c r="G354" s="121">
        <v>0.01</v>
      </c>
      <c r="H354" s="126">
        <v>5.0000000000000001E-3</v>
      </c>
      <c r="I354" s="30" t="e">
        <v>#REF!</v>
      </c>
      <c r="J354" s="23">
        <v>45818</v>
      </c>
      <c r="K354" s="15" t="s">
        <v>2201</v>
      </c>
    </row>
    <row r="355" spans="1:11" s="13" customFormat="1" ht="12.75" customHeight="1">
      <c r="A355" s="37">
        <v>1843</v>
      </c>
      <c r="B355" s="51" t="s">
        <v>37</v>
      </c>
      <c r="C355" s="14">
        <v>13470</v>
      </c>
      <c r="D355" s="23">
        <v>45809</v>
      </c>
      <c r="E355" s="23">
        <v>45838</v>
      </c>
      <c r="F355" s="17" t="s">
        <v>11</v>
      </c>
      <c r="G355" s="121">
        <v>0.01</v>
      </c>
      <c r="H355" s="126">
        <v>1.5E-3</v>
      </c>
      <c r="I355" s="10" t="e">
        <v>#REF!</v>
      </c>
      <c r="J355" s="23">
        <v>45818</v>
      </c>
      <c r="K355" s="15" t="s">
        <v>2201</v>
      </c>
    </row>
    <row r="356" spans="1:11" s="5" customFormat="1" ht="12.75" customHeight="1">
      <c r="A356" s="37">
        <v>1844</v>
      </c>
      <c r="B356" s="51" t="s">
        <v>37</v>
      </c>
      <c r="C356" s="20">
        <v>13249</v>
      </c>
      <c r="D356" s="32">
        <v>45809</v>
      </c>
      <c r="E356" s="32">
        <v>45838</v>
      </c>
      <c r="F356" s="31" t="s">
        <v>11</v>
      </c>
      <c r="G356" s="143">
        <v>0.01</v>
      </c>
      <c r="H356" s="144">
        <v>2.75E-2</v>
      </c>
      <c r="I356" s="30" t="e">
        <v>#REF!</v>
      </c>
      <c r="J356" s="32">
        <v>45818</v>
      </c>
      <c r="K356" s="33" t="s">
        <v>2201</v>
      </c>
    </row>
    <row r="357" spans="1:11" s="5" customFormat="1" ht="12.75" customHeight="1">
      <c r="A357" s="37">
        <v>1845</v>
      </c>
      <c r="B357" s="51" t="s">
        <v>37</v>
      </c>
      <c r="C357" s="14">
        <v>13249</v>
      </c>
      <c r="D357" s="23">
        <v>45809</v>
      </c>
      <c r="E357" s="23">
        <v>45838</v>
      </c>
      <c r="F357" s="17" t="s">
        <v>11</v>
      </c>
      <c r="G357" s="121">
        <v>0.01</v>
      </c>
      <c r="H357" s="126">
        <v>5.0000000000000001E-3</v>
      </c>
      <c r="I357" s="30" t="e">
        <v>#REF!</v>
      </c>
      <c r="J357" s="23">
        <v>45818</v>
      </c>
      <c r="K357" s="15" t="s">
        <v>2201</v>
      </c>
    </row>
    <row r="358" spans="1:11" s="5" customFormat="1" ht="12.75" customHeight="1">
      <c r="A358" s="37">
        <v>1846</v>
      </c>
      <c r="B358" s="51" t="s">
        <v>37</v>
      </c>
      <c r="C358" s="14">
        <v>13249</v>
      </c>
      <c r="D358" s="23">
        <v>45809</v>
      </c>
      <c r="E358" s="23">
        <v>45838</v>
      </c>
      <c r="F358" s="17" t="s">
        <v>11</v>
      </c>
      <c r="G358" s="121">
        <v>0.01</v>
      </c>
      <c r="H358" s="126">
        <v>5.0000000000000001E-3</v>
      </c>
      <c r="I358" s="30" t="e">
        <v>#REF!</v>
      </c>
      <c r="J358" s="23">
        <v>45818</v>
      </c>
      <c r="K358" s="15" t="s">
        <v>2201</v>
      </c>
    </row>
    <row r="359" spans="1:11" s="5" customFormat="1" ht="12.75" customHeight="1">
      <c r="A359" s="37">
        <v>1847</v>
      </c>
      <c r="B359" s="51" t="s">
        <v>37</v>
      </c>
      <c r="C359" s="14">
        <v>13249</v>
      </c>
      <c r="D359" s="23">
        <v>45809</v>
      </c>
      <c r="E359" s="23">
        <v>45838</v>
      </c>
      <c r="F359" s="17" t="s">
        <v>11</v>
      </c>
      <c r="G359" s="121">
        <v>0.01</v>
      </c>
      <c r="H359" s="126">
        <v>1.7999999999999999E-2</v>
      </c>
      <c r="I359" s="30" t="s">
        <v>2204</v>
      </c>
      <c r="J359" s="23">
        <v>45818</v>
      </c>
      <c r="K359" s="15" t="s">
        <v>2201</v>
      </c>
    </row>
  </sheetData>
  <mergeCells count="1">
    <mergeCell ref="L52:M52"/>
  </mergeCells>
  <conditionalFormatting sqref="B2:K359">
    <cfRule type="expression" dxfId="6" priority="2">
      <formula>$A2="2- MANUAL"</formula>
    </cfRule>
  </conditionalFormatting>
  <conditionalFormatting sqref="L2:M243">
    <cfRule type="expression" dxfId="5" priority="1">
      <formula>$A2="2- MANUAL"</formula>
    </cfRule>
  </conditionalFormatting>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71554-AA31-466A-935E-F14960D6F60E}">
  <dimension ref="A1:U333"/>
  <sheetViews>
    <sheetView workbookViewId="0">
      <selection activeCell="F21" sqref="F21"/>
    </sheetView>
  </sheetViews>
  <sheetFormatPr defaultRowHeight="15"/>
  <cols>
    <col min="1" max="1" width="5" bestFit="1" customWidth="1"/>
    <col min="2" max="2" width="13.42578125" bestFit="1" customWidth="1"/>
    <col min="3" max="3" width="22.140625" bestFit="1" customWidth="1"/>
    <col min="4" max="5" width="10.7109375" bestFit="1" customWidth="1"/>
    <col min="6" max="6" width="22.5703125" bestFit="1" customWidth="1"/>
    <col min="7" max="7" width="21" bestFit="1" customWidth="1"/>
    <col min="8" max="8" width="19.7109375" bestFit="1" customWidth="1"/>
    <col min="9" max="9" width="26.140625" bestFit="1" customWidth="1"/>
    <col min="10" max="10" width="21" bestFit="1" customWidth="1"/>
    <col min="11" max="11" width="98.28515625" bestFit="1" customWidth="1"/>
    <col min="12" max="12" width="128.570312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1120</v>
      </c>
      <c r="B2" s="21" t="s">
        <v>35</v>
      </c>
      <c r="C2" s="9">
        <v>5713</v>
      </c>
      <c r="D2" s="26">
        <v>45778</v>
      </c>
      <c r="E2" s="26">
        <v>45808</v>
      </c>
      <c r="F2" s="40" t="s">
        <v>11</v>
      </c>
      <c r="G2" s="19">
        <v>100000</v>
      </c>
      <c r="H2" s="77">
        <v>2E-3</v>
      </c>
      <c r="I2" s="81" t="s">
        <v>12</v>
      </c>
      <c r="J2" s="3">
        <v>45769</v>
      </c>
      <c r="K2" s="18" t="s">
        <v>1432</v>
      </c>
      <c r="L2" s="22" t="s">
        <v>1433</v>
      </c>
    </row>
    <row r="3" spans="1:21">
      <c r="A3" s="37">
        <v>1122</v>
      </c>
      <c r="B3" s="21" t="s">
        <v>35</v>
      </c>
      <c r="C3" s="9">
        <v>12279</v>
      </c>
      <c r="D3" s="26">
        <v>45778</v>
      </c>
      <c r="E3" s="26">
        <v>45808</v>
      </c>
      <c r="F3" s="40" t="s">
        <v>11</v>
      </c>
      <c r="G3" s="19">
        <v>100000</v>
      </c>
      <c r="H3" s="77">
        <v>2E-3</v>
      </c>
      <c r="I3" s="81" t="s">
        <v>12</v>
      </c>
      <c r="J3" s="3">
        <v>45769</v>
      </c>
      <c r="K3" s="18" t="s">
        <v>1434</v>
      </c>
      <c r="L3" s="22" t="s">
        <v>1433</v>
      </c>
    </row>
    <row r="4" spans="1:21">
      <c r="A4" s="37">
        <v>1124</v>
      </c>
      <c r="B4" s="21" t="s">
        <v>35</v>
      </c>
      <c r="C4" s="9">
        <v>11937</v>
      </c>
      <c r="D4" s="26">
        <v>45778</v>
      </c>
      <c r="E4" s="26">
        <v>45808</v>
      </c>
      <c r="F4" s="40" t="s">
        <v>11</v>
      </c>
      <c r="G4" s="19">
        <v>0.01</v>
      </c>
      <c r="H4" s="77">
        <v>2E-3</v>
      </c>
      <c r="I4" s="81" t="s">
        <v>46</v>
      </c>
      <c r="J4" s="3">
        <v>45769</v>
      </c>
      <c r="K4" s="18" t="s">
        <v>1435</v>
      </c>
      <c r="L4" s="22" t="s">
        <v>1084</v>
      </c>
    </row>
    <row r="5" spans="1:21">
      <c r="A5" s="37">
        <v>1126</v>
      </c>
      <c r="B5" s="21" t="s">
        <v>35</v>
      </c>
      <c r="C5" s="9">
        <v>12021</v>
      </c>
      <c r="D5" s="26">
        <v>45778</v>
      </c>
      <c r="E5" s="26">
        <v>45808</v>
      </c>
      <c r="F5" s="40" t="s">
        <v>11</v>
      </c>
      <c r="G5" s="19">
        <v>0.01</v>
      </c>
      <c r="H5" s="77">
        <v>2E-3</v>
      </c>
      <c r="I5" s="81" t="s">
        <v>46</v>
      </c>
      <c r="J5" s="3">
        <v>45769</v>
      </c>
      <c r="K5" s="18" t="s">
        <v>1435</v>
      </c>
      <c r="L5" s="22" t="s">
        <v>1084</v>
      </c>
    </row>
    <row r="6" spans="1:21">
      <c r="A6" s="37">
        <v>1128</v>
      </c>
      <c r="B6" s="21" t="s">
        <v>35</v>
      </c>
      <c r="C6" s="9">
        <v>11937</v>
      </c>
      <c r="D6" s="26">
        <v>45778</v>
      </c>
      <c r="E6" s="26">
        <v>45808</v>
      </c>
      <c r="F6" s="40" t="s">
        <v>11</v>
      </c>
      <c r="G6" s="19">
        <v>0.01</v>
      </c>
      <c r="H6" s="77">
        <v>5.0000000000000001E-3</v>
      </c>
      <c r="I6" s="81" t="s">
        <v>46</v>
      </c>
      <c r="J6" s="3">
        <v>45769</v>
      </c>
      <c r="K6" s="18" t="s">
        <v>1435</v>
      </c>
      <c r="L6" s="22" t="s">
        <v>132</v>
      </c>
    </row>
    <row r="7" spans="1:21">
      <c r="A7" s="37">
        <v>1130</v>
      </c>
      <c r="B7" s="21" t="s">
        <v>35</v>
      </c>
      <c r="C7" s="9">
        <v>12021</v>
      </c>
      <c r="D7" s="26">
        <v>45778</v>
      </c>
      <c r="E7" s="26">
        <v>45808</v>
      </c>
      <c r="F7" s="40" t="s">
        <v>11</v>
      </c>
      <c r="G7" s="19">
        <v>0.01</v>
      </c>
      <c r="H7" s="77">
        <v>5.0000000000000001E-3</v>
      </c>
      <c r="I7" s="81" t="s">
        <v>46</v>
      </c>
      <c r="J7" s="3">
        <v>45769</v>
      </c>
      <c r="K7" s="18" t="s">
        <v>1435</v>
      </c>
      <c r="L7" s="22" t="s">
        <v>132</v>
      </c>
    </row>
    <row r="8" spans="1:21">
      <c r="A8" s="37">
        <v>1153</v>
      </c>
      <c r="B8" s="85" t="s">
        <v>35</v>
      </c>
      <c r="C8" s="89" t="s">
        <v>192</v>
      </c>
      <c r="D8" s="90">
        <v>45778</v>
      </c>
      <c r="E8" s="90">
        <v>45808</v>
      </c>
      <c r="F8" s="91" t="s">
        <v>11</v>
      </c>
      <c r="G8" s="86">
        <v>0.01</v>
      </c>
      <c r="H8" s="92">
        <v>1E-3</v>
      </c>
      <c r="I8" s="93" t="s">
        <v>29</v>
      </c>
      <c r="J8" s="94">
        <v>45580</v>
      </c>
      <c r="K8" s="95" t="s">
        <v>191</v>
      </c>
      <c r="L8" s="96" t="s">
        <v>1694</v>
      </c>
    </row>
    <row r="9" spans="1:21">
      <c r="A9" s="37">
        <v>1154</v>
      </c>
      <c r="B9" s="85" t="s">
        <v>35</v>
      </c>
      <c r="C9" s="85">
        <v>8835</v>
      </c>
      <c r="D9" s="90">
        <v>45778</v>
      </c>
      <c r="E9" s="90">
        <v>45808</v>
      </c>
      <c r="F9" s="97" t="s">
        <v>11</v>
      </c>
      <c r="G9" s="86">
        <v>0.01</v>
      </c>
      <c r="H9" s="98" t="s">
        <v>774</v>
      </c>
      <c r="I9" s="93" t="s">
        <v>20</v>
      </c>
      <c r="J9" s="94">
        <v>45716</v>
      </c>
      <c r="K9" s="87" t="s">
        <v>772</v>
      </c>
      <c r="L9" s="99" t="s">
        <v>773</v>
      </c>
    </row>
    <row r="10" spans="1:21">
      <c r="A10" s="37">
        <v>1155</v>
      </c>
      <c r="B10" s="85" t="s">
        <v>893</v>
      </c>
      <c r="C10" s="85">
        <v>16988</v>
      </c>
      <c r="D10" s="90">
        <v>45726</v>
      </c>
      <c r="E10" s="90">
        <v>45808</v>
      </c>
      <c r="F10" s="97" t="s">
        <v>866</v>
      </c>
      <c r="G10" s="100">
        <v>0.01</v>
      </c>
      <c r="H10" s="101">
        <v>2.5000000000000001E-3</v>
      </c>
      <c r="I10" s="93" t="s">
        <v>168</v>
      </c>
      <c r="J10" s="102">
        <v>45728</v>
      </c>
      <c r="K10" s="87" t="s">
        <v>865</v>
      </c>
      <c r="L10" s="99" t="s">
        <v>76</v>
      </c>
    </row>
    <row r="11" spans="1:21">
      <c r="A11" s="37">
        <v>1156</v>
      </c>
      <c r="B11" s="85" t="s">
        <v>35</v>
      </c>
      <c r="C11" s="85" t="s">
        <v>148</v>
      </c>
      <c r="D11" s="90">
        <v>45778</v>
      </c>
      <c r="E11" s="90">
        <v>45808</v>
      </c>
      <c r="F11" s="97" t="s">
        <v>11</v>
      </c>
      <c r="G11" s="86">
        <v>800000</v>
      </c>
      <c r="H11" s="98">
        <v>1E-3</v>
      </c>
      <c r="I11" s="93" t="s">
        <v>17</v>
      </c>
      <c r="J11" s="94">
        <v>45730</v>
      </c>
      <c r="K11" s="87" t="s">
        <v>939</v>
      </c>
      <c r="L11" s="99" t="s">
        <v>946</v>
      </c>
    </row>
    <row r="12" spans="1:21">
      <c r="A12" s="37">
        <v>1157</v>
      </c>
      <c r="B12" s="85" t="s">
        <v>35</v>
      </c>
      <c r="C12" s="85" t="s">
        <v>962</v>
      </c>
      <c r="D12" s="90">
        <v>45778</v>
      </c>
      <c r="E12" s="90">
        <v>45808</v>
      </c>
      <c r="F12" s="97" t="s">
        <v>11</v>
      </c>
      <c r="G12" s="100">
        <v>300000</v>
      </c>
      <c r="H12" s="101">
        <v>2E-3</v>
      </c>
      <c r="I12" s="93" t="s">
        <v>19</v>
      </c>
      <c r="J12" s="102">
        <v>45721</v>
      </c>
      <c r="K12" s="87" t="s">
        <v>961</v>
      </c>
      <c r="L12" s="99" t="s">
        <v>1695</v>
      </c>
    </row>
    <row r="13" spans="1:21">
      <c r="A13" s="37">
        <v>1158</v>
      </c>
      <c r="B13" s="85" t="s">
        <v>35</v>
      </c>
      <c r="C13" s="85" t="s">
        <v>983</v>
      </c>
      <c r="D13" s="90">
        <v>45778</v>
      </c>
      <c r="E13" s="90">
        <v>45808</v>
      </c>
      <c r="F13" s="97" t="s">
        <v>11</v>
      </c>
      <c r="G13" s="100">
        <v>300000</v>
      </c>
      <c r="H13" s="101">
        <v>4.0000000000000001E-3</v>
      </c>
      <c r="I13" s="93" t="s">
        <v>19</v>
      </c>
      <c r="J13" s="102">
        <v>45728</v>
      </c>
      <c r="K13" s="87" t="s">
        <v>974</v>
      </c>
      <c r="L13" s="99" t="s">
        <v>1696</v>
      </c>
    </row>
    <row r="14" spans="1:21">
      <c r="A14" s="37">
        <v>1159</v>
      </c>
      <c r="B14" s="85" t="s">
        <v>35</v>
      </c>
      <c r="C14" s="85" t="s">
        <v>1000</v>
      </c>
      <c r="D14" s="90">
        <v>45778</v>
      </c>
      <c r="E14" s="90">
        <v>45808</v>
      </c>
      <c r="F14" s="97" t="s">
        <v>11</v>
      </c>
      <c r="G14" s="86">
        <v>1000</v>
      </c>
      <c r="H14" s="98">
        <v>2E-3</v>
      </c>
      <c r="I14" s="93" t="s">
        <v>27</v>
      </c>
      <c r="J14" s="94">
        <v>45734</v>
      </c>
      <c r="K14" s="87" t="s">
        <v>999</v>
      </c>
      <c r="L14" s="99" t="s">
        <v>1001</v>
      </c>
    </row>
    <row r="15" spans="1:21">
      <c r="A15" s="37">
        <v>1160</v>
      </c>
      <c r="B15" s="85" t="s">
        <v>35</v>
      </c>
      <c r="C15" s="85" t="s">
        <v>1040</v>
      </c>
      <c r="D15" s="90">
        <v>45778</v>
      </c>
      <c r="E15" s="90">
        <v>45808</v>
      </c>
      <c r="F15" s="97" t="s">
        <v>11</v>
      </c>
      <c r="G15" s="86">
        <v>600000</v>
      </c>
      <c r="H15" s="98">
        <v>5.0000000000000001E-3</v>
      </c>
      <c r="I15" s="93" t="s">
        <v>19</v>
      </c>
      <c r="J15" s="94">
        <v>45737</v>
      </c>
      <c r="K15" s="87" t="s">
        <v>1039</v>
      </c>
      <c r="L15" s="99" t="s">
        <v>1041</v>
      </c>
    </row>
    <row r="16" spans="1:21">
      <c r="A16" s="37">
        <v>1161</v>
      </c>
      <c r="B16" s="85" t="s">
        <v>35</v>
      </c>
      <c r="C16" s="85">
        <v>12765</v>
      </c>
      <c r="D16" s="90">
        <v>45778</v>
      </c>
      <c r="E16" s="90">
        <v>45808</v>
      </c>
      <c r="F16" s="97" t="s">
        <v>11</v>
      </c>
      <c r="G16" s="100">
        <v>1000000</v>
      </c>
      <c r="H16" s="101">
        <v>0</v>
      </c>
      <c r="I16" s="93" t="s">
        <v>39</v>
      </c>
      <c r="J16" s="102">
        <v>45740</v>
      </c>
      <c r="K16" s="87" t="s">
        <v>1071</v>
      </c>
      <c r="L16" s="99" t="s">
        <v>1072</v>
      </c>
    </row>
    <row r="17" spans="1:12">
      <c r="A17" s="37">
        <v>1162</v>
      </c>
      <c r="B17" s="85" t="s">
        <v>35</v>
      </c>
      <c r="C17" s="85">
        <v>13961</v>
      </c>
      <c r="D17" s="90">
        <v>45717</v>
      </c>
      <c r="E17" s="90">
        <v>45808</v>
      </c>
      <c r="F17" s="97" t="s">
        <v>197</v>
      </c>
      <c r="G17" s="86">
        <v>700000</v>
      </c>
      <c r="H17" s="98">
        <v>5.0000000000000001E-4</v>
      </c>
      <c r="I17" s="93" t="s">
        <v>19</v>
      </c>
      <c r="J17" s="94">
        <v>45713</v>
      </c>
      <c r="K17" s="87" t="s">
        <v>1077</v>
      </c>
      <c r="L17" s="99" t="s">
        <v>1078</v>
      </c>
    </row>
    <row r="18" spans="1:12">
      <c r="A18" s="37">
        <v>1163</v>
      </c>
      <c r="B18" s="85" t="s">
        <v>35</v>
      </c>
      <c r="C18" s="85">
        <v>13961</v>
      </c>
      <c r="D18" s="90">
        <v>45717</v>
      </c>
      <c r="E18" s="90">
        <v>45808</v>
      </c>
      <c r="F18" s="97" t="s">
        <v>197</v>
      </c>
      <c r="G18" s="86">
        <v>1200000</v>
      </c>
      <c r="H18" s="98">
        <v>1E-3</v>
      </c>
      <c r="I18" s="93" t="s">
        <v>19</v>
      </c>
      <c r="J18" s="94">
        <v>45713</v>
      </c>
      <c r="K18" s="87" t="s">
        <v>1077</v>
      </c>
      <c r="L18" s="99" t="s">
        <v>1078</v>
      </c>
    </row>
    <row r="19" spans="1:12">
      <c r="A19" s="37">
        <v>1164</v>
      </c>
      <c r="B19" s="85" t="s">
        <v>35</v>
      </c>
      <c r="C19" s="85">
        <v>13961</v>
      </c>
      <c r="D19" s="90">
        <v>45717</v>
      </c>
      <c r="E19" s="90">
        <v>45808</v>
      </c>
      <c r="F19" s="97" t="s">
        <v>197</v>
      </c>
      <c r="G19" s="86">
        <v>2000000</v>
      </c>
      <c r="H19" s="98">
        <v>1.5E-3</v>
      </c>
      <c r="I19" s="93" t="s">
        <v>19</v>
      </c>
      <c r="J19" s="94">
        <v>45713</v>
      </c>
      <c r="K19" s="87" t="s">
        <v>1077</v>
      </c>
      <c r="L19" s="99" t="s">
        <v>1078</v>
      </c>
    </row>
    <row r="20" spans="1:12">
      <c r="A20" s="37">
        <v>1165</v>
      </c>
      <c r="B20" s="103" t="s">
        <v>35</v>
      </c>
      <c r="C20" s="85" t="s">
        <v>1148</v>
      </c>
      <c r="D20" s="90">
        <v>45748</v>
      </c>
      <c r="E20" s="90">
        <v>45808</v>
      </c>
      <c r="F20" s="97" t="s">
        <v>197</v>
      </c>
      <c r="G20" s="86">
        <v>500000</v>
      </c>
      <c r="H20" s="98">
        <v>0.01</v>
      </c>
      <c r="I20" s="93" t="s">
        <v>29</v>
      </c>
      <c r="J20" s="94">
        <v>45749</v>
      </c>
      <c r="K20" s="87" t="s">
        <v>1147</v>
      </c>
      <c r="L20" s="99" t="s">
        <v>1150</v>
      </c>
    </row>
    <row r="21" spans="1:12">
      <c r="A21" s="37">
        <v>1167</v>
      </c>
      <c r="B21" s="103" t="s">
        <v>35</v>
      </c>
      <c r="C21" s="85" t="s">
        <v>1202</v>
      </c>
      <c r="D21" s="90">
        <v>45778</v>
      </c>
      <c r="E21" s="90">
        <v>45808</v>
      </c>
      <c r="F21" s="97" t="s">
        <v>11</v>
      </c>
      <c r="G21" s="100">
        <v>1</v>
      </c>
      <c r="H21" s="101">
        <v>2E-3</v>
      </c>
      <c r="I21" s="93" t="s">
        <v>39</v>
      </c>
      <c r="J21" s="102">
        <v>45754</v>
      </c>
      <c r="K21" s="87" t="s">
        <v>1201</v>
      </c>
      <c r="L21" s="99" t="s">
        <v>1697</v>
      </c>
    </row>
    <row r="22" spans="1:12">
      <c r="A22" s="37">
        <v>1168</v>
      </c>
      <c r="B22" s="103" t="s">
        <v>35</v>
      </c>
      <c r="C22" s="85" t="s">
        <v>1202</v>
      </c>
      <c r="D22" s="90">
        <v>45778</v>
      </c>
      <c r="E22" s="90">
        <v>45808</v>
      </c>
      <c r="F22" s="97" t="s">
        <v>11</v>
      </c>
      <c r="G22" s="100">
        <v>1</v>
      </c>
      <c r="H22" s="101">
        <v>2E-3</v>
      </c>
      <c r="I22" s="93" t="s">
        <v>39</v>
      </c>
      <c r="J22" s="102">
        <v>45754</v>
      </c>
      <c r="K22" s="87" t="s">
        <v>1201</v>
      </c>
      <c r="L22" s="84" t="s">
        <v>1699</v>
      </c>
    </row>
    <row r="23" spans="1:12" ht="25.5">
      <c r="A23" s="37">
        <v>1169</v>
      </c>
      <c r="B23" s="85" t="s">
        <v>35</v>
      </c>
      <c r="C23" s="85" t="s">
        <v>1394</v>
      </c>
      <c r="D23" s="90">
        <v>45778</v>
      </c>
      <c r="E23" s="90">
        <v>45808</v>
      </c>
      <c r="F23" s="97" t="s">
        <v>11</v>
      </c>
      <c r="G23" s="100" t="s">
        <v>1395</v>
      </c>
      <c r="H23" s="101">
        <v>2E-3</v>
      </c>
      <c r="I23" s="93" t="s">
        <v>19</v>
      </c>
      <c r="J23" s="102">
        <v>45763</v>
      </c>
      <c r="K23" s="87" t="s">
        <v>1393</v>
      </c>
      <c r="L23" s="99" t="s">
        <v>1419</v>
      </c>
    </row>
    <row r="24" spans="1:12">
      <c r="A24" s="37">
        <v>1170</v>
      </c>
      <c r="B24" s="85" t="s">
        <v>35</v>
      </c>
      <c r="C24" s="85">
        <v>1212</v>
      </c>
      <c r="D24" s="90">
        <v>45778</v>
      </c>
      <c r="E24" s="90">
        <v>45808</v>
      </c>
      <c r="F24" s="97" t="s">
        <v>11</v>
      </c>
      <c r="G24" s="86" t="s">
        <v>1698</v>
      </c>
      <c r="H24" s="98">
        <v>2E-3</v>
      </c>
      <c r="I24" s="93" t="s">
        <v>17</v>
      </c>
      <c r="J24" s="94">
        <v>45764</v>
      </c>
      <c r="K24" s="87" t="s">
        <v>1398</v>
      </c>
      <c r="L24" s="99" t="s">
        <v>1399</v>
      </c>
    </row>
    <row r="25" spans="1:12">
      <c r="A25" s="37">
        <v>1172</v>
      </c>
      <c r="B25" s="85" t="s">
        <v>35</v>
      </c>
      <c r="C25" s="85">
        <v>5599</v>
      </c>
      <c r="D25" s="90">
        <v>45778</v>
      </c>
      <c r="E25" s="90">
        <v>45808</v>
      </c>
      <c r="F25" s="97" t="s">
        <v>11</v>
      </c>
      <c r="G25" s="86">
        <v>400000</v>
      </c>
      <c r="H25" s="98">
        <v>5.0000000000000001E-3</v>
      </c>
      <c r="I25" s="93" t="s">
        <v>17</v>
      </c>
      <c r="J25" s="94">
        <v>45764</v>
      </c>
      <c r="K25" s="87" t="s">
        <v>1400</v>
      </c>
      <c r="L25" s="99" t="s">
        <v>1401</v>
      </c>
    </row>
    <row r="26" spans="1:12">
      <c r="A26" s="37">
        <v>1173</v>
      </c>
      <c r="B26" s="85" t="s">
        <v>35</v>
      </c>
      <c r="C26" s="85">
        <v>3444</v>
      </c>
      <c r="D26" s="90">
        <v>45778</v>
      </c>
      <c r="E26" s="90">
        <v>45808</v>
      </c>
      <c r="F26" s="97" t="s">
        <v>11</v>
      </c>
      <c r="G26" s="86">
        <v>10000</v>
      </c>
      <c r="H26" s="98">
        <v>5.0000000000000001E-3</v>
      </c>
      <c r="I26" s="93" t="s">
        <v>17</v>
      </c>
      <c r="J26" s="94">
        <v>45769</v>
      </c>
      <c r="K26" s="87" t="s">
        <v>1420</v>
      </c>
      <c r="L26" s="99" t="s">
        <v>1060</v>
      </c>
    </row>
    <row r="27" spans="1:12">
      <c r="A27" s="37">
        <v>1174</v>
      </c>
      <c r="B27" s="85" t="s">
        <v>35</v>
      </c>
      <c r="C27" s="85">
        <v>3444</v>
      </c>
      <c r="D27" s="90">
        <v>45778</v>
      </c>
      <c r="E27" s="90">
        <v>45808</v>
      </c>
      <c r="F27" s="97" t="s">
        <v>11</v>
      </c>
      <c r="G27" s="86">
        <v>10000</v>
      </c>
      <c r="H27" s="98">
        <v>5.0000000000000001E-3</v>
      </c>
      <c r="I27" s="93" t="s">
        <v>17</v>
      </c>
      <c r="J27" s="94">
        <v>45769</v>
      </c>
      <c r="K27" s="87" t="s">
        <v>1420</v>
      </c>
      <c r="L27" s="99" t="s">
        <v>1061</v>
      </c>
    </row>
    <row r="28" spans="1:12">
      <c r="A28" s="37">
        <v>1175</v>
      </c>
      <c r="B28" s="85" t="s">
        <v>35</v>
      </c>
      <c r="C28" s="85">
        <v>3444</v>
      </c>
      <c r="D28" s="90">
        <v>45778</v>
      </c>
      <c r="E28" s="90">
        <v>45808</v>
      </c>
      <c r="F28" s="97" t="s">
        <v>11</v>
      </c>
      <c r="G28" s="86">
        <v>10000</v>
      </c>
      <c r="H28" s="98">
        <v>3.0000000000000001E-3</v>
      </c>
      <c r="I28" s="93" t="s">
        <v>17</v>
      </c>
      <c r="J28" s="94"/>
      <c r="K28" s="87" t="s">
        <v>1420</v>
      </c>
      <c r="L28" s="99" t="s">
        <v>1062</v>
      </c>
    </row>
    <row r="29" spans="1:12">
      <c r="A29" s="37">
        <v>1176</v>
      </c>
      <c r="B29" s="85" t="s">
        <v>35</v>
      </c>
      <c r="C29" s="85">
        <v>10487</v>
      </c>
      <c r="D29" s="90">
        <v>45778</v>
      </c>
      <c r="E29" s="90">
        <v>45808</v>
      </c>
      <c r="F29" s="97" t="s">
        <v>11</v>
      </c>
      <c r="G29" s="86">
        <v>10000</v>
      </c>
      <c r="H29" s="98">
        <v>5.0000000000000001E-3</v>
      </c>
      <c r="I29" s="93" t="s">
        <v>17</v>
      </c>
      <c r="J29" s="94"/>
      <c r="K29" s="87" t="s">
        <v>1420</v>
      </c>
      <c r="L29" s="99" t="s">
        <v>1063</v>
      </c>
    </row>
    <row r="30" spans="1:12">
      <c r="A30" s="37">
        <v>1177</v>
      </c>
      <c r="B30" s="85" t="s">
        <v>35</v>
      </c>
      <c r="C30" s="85" t="s">
        <v>188</v>
      </c>
      <c r="D30" s="90">
        <v>45778</v>
      </c>
      <c r="E30" s="90">
        <v>45807</v>
      </c>
      <c r="F30" s="97" t="s">
        <v>11</v>
      </c>
      <c r="G30" s="100">
        <v>200000</v>
      </c>
      <c r="H30" s="101">
        <v>5.0000000000000001E-3</v>
      </c>
      <c r="I30" s="93" t="s">
        <v>17</v>
      </c>
      <c r="J30" s="102">
        <v>45762</v>
      </c>
      <c r="K30" s="87" t="s">
        <v>1415</v>
      </c>
      <c r="L30" s="99" t="s">
        <v>1416</v>
      </c>
    </row>
    <row r="31" spans="1:12">
      <c r="A31" s="37">
        <v>1178</v>
      </c>
      <c r="B31" s="85" t="s">
        <v>35</v>
      </c>
      <c r="C31" s="85" t="s">
        <v>188</v>
      </c>
      <c r="D31" s="90">
        <v>45778</v>
      </c>
      <c r="E31" s="90">
        <v>45807</v>
      </c>
      <c r="F31" s="97" t="s">
        <v>11</v>
      </c>
      <c r="G31" s="86">
        <v>200000</v>
      </c>
      <c r="H31" s="98">
        <v>5.0000000000000001E-3</v>
      </c>
      <c r="I31" s="93" t="s">
        <v>17</v>
      </c>
      <c r="J31" s="94">
        <v>45762</v>
      </c>
      <c r="K31" s="87" t="s">
        <v>1415</v>
      </c>
      <c r="L31" s="99" t="s">
        <v>1417</v>
      </c>
    </row>
    <row r="32" spans="1:12">
      <c r="A32" s="37">
        <v>1179</v>
      </c>
      <c r="B32" s="85" t="s">
        <v>35</v>
      </c>
      <c r="C32" s="85" t="s">
        <v>188</v>
      </c>
      <c r="D32" s="90">
        <v>45778</v>
      </c>
      <c r="E32" s="90">
        <v>45807</v>
      </c>
      <c r="F32" s="97" t="s">
        <v>11</v>
      </c>
      <c r="G32" s="86">
        <v>150000</v>
      </c>
      <c r="H32" s="98">
        <v>2.5000000000000001E-3</v>
      </c>
      <c r="I32" s="93" t="s">
        <v>17</v>
      </c>
      <c r="J32" s="94">
        <v>45762</v>
      </c>
      <c r="K32" s="87" t="s">
        <v>1415</v>
      </c>
      <c r="L32" s="99" t="s">
        <v>1418</v>
      </c>
    </row>
    <row r="33" spans="1:12">
      <c r="A33" s="37">
        <v>1180</v>
      </c>
      <c r="B33" s="85" t="s">
        <v>35</v>
      </c>
      <c r="C33" s="85">
        <v>16403</v>
      </c>
      <c r="D33" s="90">
        <v>45778</v>
      </c>
      <c r="E33" s="90">
        <v>45807</v>
      </c>
      <c r="F33" s="97" t="s">
        <v>11</v>
      </c>
      <c r="G33" s="86">
        <v>150000</v>
      </c>
      <c r="H33" s="98">
        <v>2.5000000000000001E-3</v>
      </c>
      <c r="I33" s="93" t="s">
        <v>17</v>
      </c>
      <c r="J33" s="94">
        <v>45763</v>
      </c>
      <c r="K33" s="87" t="s">
        <v>1407</v>
      </c>
      <c r="L33" s="99" t="s">
        <v>1408</v>
      </c>
    </row>
    <row r="34" spans="1:12">
      <c r="A34" s="37">
        <v>1181</v>
      </c>
      <c r="B34" s="85" t="s">
        <v>35</v>
      </c>
      <c r="C34" s="85">
        <v>16403</v>
      </c>
      <c r="D34" s="90">
        <v>45778</v>
      </c>
      <c r="E34" s="90">
        <v>45807</v>
      </c>
      <c r="F34" s="97" t="s">
        <v>11</v>
      </c>
      <c r="G34" s="86">
        <v>100000</v>
      </c>
      <c r="H34" s="98">
        <v>3.0000000000000001E-3</v>
      </c>
      <c r="I34" s="93" t="s">
        <v>17</v>
      </c>
      <c r="J34" s="94">
        <v>45763</v>
      </c>
      <c r="K34" s="87" t="s">
        <v>1407</v>
      </c>
      <c r="L34" s="99" t="s">
        <v>1409</v>
      </c>
    </row>
    <row r="35" spans="1:12">
      <c r="A35" s="37">
        <v>1182</v>
      </c>
      <c r="B35" s="85" t="s">
        <v>35</v>
      </c>
      <c r="C35" s="85">
        <v>17375</v>
      </c>
      <c r="D35" s="90">
        <v>45778</v>
      </c>
      <c r="E35" s="90">
        <v>45807</v>
      </c>
      <c r="F35" s="97" t="s">
        <v>11</v>
      </c>
      <c r="G35" s="86">
        <v>40000</v>
      </c>
      <c r="H35" s="98">
        <v>5.0000000000000001E-3</v>
      </c>
      <c r="I35" s="93" t="s">
        <v>17</v>
      </c>
      <c r="J35" s="94">
        <v>45763</v>
      </c>
      <c r="K35" s="87" t="s">
        <v>1407</v>
      </c>
      <c r="L35" s="99" t="s">
        <v>1410</v>
      </c>
    </row>
    <row r="36" spans="1:12" ht="25.5">
      <c r="A36" s="37">
        <v>1183</v>
      </c>
      <c r="B36" s="85" t="s">
        <v>35</v>
      </c>
      <c r="C36" s="85">
        <v>12340</v>
      </c>
      <c r="D36" s="90">
        <v>45778</v>
      </c>
      <c r="E36" s="90">
        <v>45807</v>
      </c>
      <c r="F36" s="97" t="s">
        <v>11</v>
      </c>
      <c r="G36" s="86" t="s">
        <v>1304</v>
      </c>
      <c r="H36" s="98" t="s">
        <v>1412</v>
      </c>
      <c r="I36" s="93" t="s">
        <v>17</v>
      </c>
      <c r="J36" s="94">
        <v>45763</v>
      </c>
      <c r="K36" s="87" t="s">
        <v>204</v>
      </c>
      <c r="L36" s="99" t="s">
        <v>1700</v>
      </c>
    </row>
    <row r="37" spans="1:12">
      <c r="A37" s="37">
        <v>1184</v>
      </c>
      <c r="B37" s="85" t="s">
        <v>35</v>
      </c>
      <c r="C37" s="85" t="s">
        <v>190</v>
      </c>
      <c r="D37" s="90">
        <v>45778</v>
      </c>
      <c r="E37" s="90">
        <v>45807</v>
      </c>
      <c r="F37" s="97" t="s">
        <v>11</v>
      </c>
      <c r="G37" s="86" t="s">
        <v>1304</v>
      </c>
      <c r="H37" s="98" t="s">
        <v>1412</v>
      </c>
      <c r="I37" s="93" t="s">
        <v>17</v>
      </c>
      <c r="J37" s="94">
        <v>45762</v>
      </c>
      <c r="K37" s="87" t="s">
        <v>1414</v>
      </c>
      <c r="L37" s="99" t="s">
        <v>1431</v>
      </c>
    </row>
    <row r="38" spans="1:12" ht="25.5">
      <c r="A38" s="37">
        <v>1185</v>
      </c>
      <c r="B38" s="85" t="s">
        <v>35</v>
      </c>
      <c r="C38" s="85">
        <v>1427</v>
      </c>
      <c r="D38" s="90">
        <v>45778</v>
      </c>
      <c r="E38" s="90">
        <v>45807</v>
      </c>
      <c r="F38" s="97" t="s">
        <v>11</v>
      </c>
      <c r="G38" s="100">
        <v>0.01</v>
      </c>
      <c r="H38" s="101">
        <v>4.4999999999999997E-3</v>
      </c>
      <c r="I38" s="93" t="s">
        <v>19</v>
      </c>
      <c r="J38" s="102">
        <v>45721</v>
      </c>
      <c r="K38" s="87" t="s">
        <v>797</v>
      </c>
      <c r="L38" s="99" t="s">
        <v>1471</v>
      </c>
    </row>
    <row r="39" spans="1:12">
      <c r="A39" s="37">
        <v>1186</v>
      </c>
      <c r="B39" s="85" t="s">
        <v>35</v>
      </c>
      <c r="C39" s="85">
        <v>16710</v>
      </c>
      <c r="D39" s="90">
        <v>45778</v>
      </c>
      <c r="E39" s="90">
        <v>45808</v>
      </c>
      <c r="F39" s="97" t="s">
        <v>11</v>
      </c>
      <c r="G39" s="100">
        <v>1000</v>
      </c>
      <c r="H39" s="101">
        <v>5.0000000000000001E-3</v>
      </c>
      <c r="I39" s="93" t="s">
        <v>175</v>
      </c>
      <c r="J39" s="102">
        <v>45775</v>
      </c>
      <c r="K39" s="87" t="s">
        <v>1497</v>
      </c>
      <c r="L39" s="99" t="s">
        <v>1498</v>
      </c>
    </row>
    <row r="40" spans="1:12" ht="38.25">
      <c r="A40" s="37">
        <v>1187</v>
      </c>
      <c r="B40" s="85" t="s">
        <v>35</v>
      </c>
      <c r="C40" s="85">
        <v>13483</v>
      </c>
      <c r="D40" s="90">
        <v>45778</v>
      </c>
      <c r="E40" s="90">
        <v>45808</v>
      </c>
      <c r="F40" s="97" t="s">
        <v>11</v>
      </c>
      <c r="G40" s="100">
        <v>100000</v>
      </c>
      <c r="H40" s="101">
        <v>2E-3</v>
      </c>
      <c r="I40" s="93" t="s">
        <v>12</v>
      </c>
      <c r="J40" s="102">
        <v>45777</v>
      </c>
      <c r="K40" s="87" t="s">
        <v>1499</v>
      </c>
      <c r="L40" s="99" t="s">
        <v>1544</v>
      </c>
    </row>
    <row r="41" spans="1:12">
      <c r="A41" s="37">
        <v>1188</v>
      </c>
      <c r="B41" s="85" t="s">
        <v>35</v>
      </c>
      <c r="C41" s="85">
        <v>17467</v>
      </c>
      <c r="D41" s="90">
        <v>45778</v>
      </c>
      <c r="E41" s="90">
        <v>45808</v>
      </c>
      <c r="F41" s="97" t="s">
        <v>11</v>
      </c>
      <c r="G41" s="100">
        <v>0.01</v>
      </c>
      <c r="H41" s="101">
        <v>5.0000000000000001E-3</v>
      </c>
      <c r="I41" s="93" t="s">
        <v>16</v>
      </c>
      <c r="J41" s="102">
        <v>45779</v>
      </c>
      <c r="K41" s="87" t="s">
        <v>1500</v>
      </c>
      <c r="L41" s="99" t="s">
        <v>232</v>
      </c>
    </row>
    <row r="42" spans="1:12">
      <c r="A42" s="37">
        <v>1189</v>
      </c>
      <c r="B42" s="85" t="s">
        <v>35</v>
      </c>
      <c r="C42" s="85">
        <v>2598</v>
      </c>
      <c r="D42" s="90">
        <v>45778</v>
      </c>
      <c r="E42" s="90">
        <v>45808</v>
      </c>
      <c r="F42" s="97" t="s">
        <v>11</v>
      </c>
      <c r="G42" s="100">
        <v>0.01</v>
      </c>
      <c r="H42" s="101">
        <v>2.5000000000000001E-3</v>
      </c>
      <c r="I42" s="93" t="s">
        <v>29</v>
      </c>
      <c r="J42" s="102">
        <v>45779</v>
      </c>
      <c r="K42" s="87" t="s">
        <v>1501</v>
      </c>
      <c r="L42" s="99" t="s">
        <v>1502</v>
      </c>
    </row>
    <row r="43" spans="1:12">
      <c r="A43" s="37">
        <v>1190</v>
      </c>
      <c r="B43" s="85" t="s">
        <v>35</v>
      </c>
      <c r="C43" s="85">
        <v>15087</v>
      </c>
      <c r="D43" s="90">
        <v>45778</v>
      </c>
      <c r="E43" s="90">
        <v>45808</v>
      </c>
      <c r="F43" s="97" t="s">
        <v>11</v>
      </c>
      <c r="G43" s="86">
        <v>30000</v>
      </c>
      <c r="H43" s="98">
        <v>2.5000000000000001E-3</v>
      </c>
      <c r="I43" s="93" t="s">
        <v>48</v>
      </c>
      <c r="J43" s="94">
        <v>45779</v>
      </c>
      <c r="K43" s="87" t="s">
        <v>1472</v>
      </c>
      <c r="L43" s="99" t="s">
        <v>1503</v>
      </c>
    </row>
    <row r="44" spans="1:12">
      <c r="A44" s="37">
        <v>1191</v>
      </c>
      <c r="B44" s="85" t="s">
        <v>35</v>
      </c>
      <c r="C44" s="85">
        <v>17142</v>
      </c>
      <c r="D44" s="90">
        <v>45778</v>
      </c>
      <c r="E44" s="90">
        <v>45808</v>
      </c>
      <c r="F44" s="97" t="s">
        <v>11</v>
      </c>
      <c r="G44" s="86">
        <v>30000</v>
      </c>
      <c r="H44" s="98">
        <v>5.0000000000000001E-3</v>
      </c>
      <c r="I44" s="93" t="s">
        <v>48</v>
      </c>
      <c r="J44" s="94">
        <v>45782</v>
      </c>
      <c r="K44" s="87" t="s">
        <v>1504</v>
      </c>
      <c r="L44" s="99" t="s">
        <v>1505</v>
      </c>
    </row>
    <row r="45" spans="1:12">
      <c r="A45" s="37">
        <v>1192</v>
      </c>
      <c r="B45" s="85" t="s">
        <v>35</v>
      </c>
      <c r="C45" s="85" t="s">
        <v>122</v>
      </c>
      <c r="D45" s="90">
        <v>45778</v>
      </c>
      <c r="E45" s="90">
        <v>45808</v>
      </c>
      <c r="F45" s="97" t="s">
        <v>11</v>
      </c>
      <c r="G45" s="86">
        <v>1000</v>
      </c>
      <c r="H45" s="98">
        <v>5.0000000000000001E-3</v>
      </c>
      <c r="I45" s="93" t="s">
        <v>27</v>
      </c>
      <c r="J45" s="94"/>
      <c r="K45" s="87" t="s">
        <v>1506</v>
      </c>
      <c r="L45" s="99" t="s">
        <v>1507</v>
      </c>
    </row>
    <row r="46" spans="1:12">
      <c r="A46" s="37">
        <v>1193</v>
      </c>
      <c r="B46" s="85" t="s">
        <v>35</v>
      </c>
      <c r="C46" s="85" t="s">
        <v>208</v>
      </c>
      <c r="D46" s="90">
        <v>45778</v>
      </c>
      <c r="E46" s="90">
        <v>45808</v>
      </c>
      <c r="F46" s="97" t="s">
        <v>11</v>
      </c>
      <c r="G46" s="86">
        <v>1000</v>
      </c>
      <c r="H46" s="98">
        <v>5.0000000000000001E-3</v>
      </c>
      <c r="I46" s="93" t="s">
        <v>27</v>
      </c>
      <c r="J46" s="94">
        <v>45782</v>
      </c>
      <c r="K46" s="87" t="s">
        <v>1506</v>
      </c>
      <c r="L46" s="99" t="s">
        <v>1206</v>
      </c>
    </row>
    <row r="47" spans="1:12">
      <c r="A47" s="37">
        <v>1194</v>
      </c>
      <c r="B47" s="85" t="s">
        <v>35</v>
      </c>
      <c r="C47" s="85" t="s">
        <v>904</v>
      </c>
      <c r="D47" s="90">
        <v>45778</v>
      </c>
      <c r="E47" s="90">
        <v>45808</v>
      </c>
      <c r="F47" s="97" t="s">
        <v>11</v>
      </c>
      <c r="G47" s="86">
        <v>0.01</v>
      </c>
      <c r="H47" s="98">
        <v>0.02</v>
      </c>
      <c r="I47" s="93" t="s">
        <v>27</v>
      </c>
      <c r="J47" s="94">
        <v>45782</v>
      </c>
      <c r="K47" s="87" t="s">
        <v>1506</v>
      </c>
      <c r="L47" s="99" t="s">
        <v>906</v>
      </c>
    </row>
    <row r="48" spans="1:12">
      <c r="A48" s="37">
        <v>1195</v>
      </c>
      <c r="B48" s="85" t="s">
        <v>35</v>
      </c>
      <c r="C48" s="85" t="s">
        <v>904</v>
      </c>
      <c r="D48" s="90">
        <v>45778</v>
      </c>
      <c r="E48" s="90">
        <v>45808</v>
      </c>
      <c r="F48" s="97" t="s">
        <v>11</v>
      </c>
      <c r="G48" s="86">
        <v>0.01</v>
      </c>
      <c r="H48" s="98">
        <v>5.0000000000000001E-3</v>
      </c>
      <c r="I48" s="93" t="s">
        <v>27</v>
      </c>
      <c r="J48" s="94">
        <v>45782</v>
      </c>
      <c r="K48" s="87" t="s">
        <v>1506</v>
      </c>
      <c r="L48" s="88" t="s">
        <v>1546</v>
      </c>
    </row>
    <row r="49" spans="1:12">
      <c r="A49" s="37">
        <v>1196</v>
      </c>
      <c r="B49" s="85" t="s">
        <v>35</v>
      </c>
      <c r="C49" s="85" t="s">
        <v>122</v>
      </c>
      <c r="D49" s="90">
        <v>45778</v>
      </c>
      <c r="E49" s="90">
        <v>45808</v>
      </c>
      <c r="F49" s="97" t="s">
        <v>11</v>
      </c>
      <c r="G49" s="86">
        <v>0.01</v>
      </c>
      <c r="H49" s="98">
        <v>5.0000000000000001E-3</v>
      </c>
      <c r="I49" s="93" t="s">
        <v>27</v>
      </c>
      <c r="J49" s="94">
        <v>45782</v>
      </c>
      <c r="K49" s="87" t="s">
        <v>1506</v>
      </c>
      <c r="L49" s="99" t="s">
        <v>1508</v>
      </c>
    </row>
    <row r="50" spans="1:12">
      <c r="A50" s="37">
        <v>1197</v>
      </c>
      <c r="B50" s="85" t="s">
        <v>35</v>
      </c>
      <c r="C50" s="85">
        <v>14363</v>
      </c>
      <c r="D50" s="90">
        <v>45778</v>
      </c>
      <c r="E50" s="90">
        <v>45808</v>
      </c>
      <c r="F50" s="97" t="s">
        <v>11</v>
      </c>
      <c r="G50" s="86">
        <v>1000</v>
      </c>
      <c r="H50" s="98">
        <v>1.4999999999999999E-2</v>
      </c>
      <c r="I50" s="93" t="s">
        <v>15</v>
      </c>
      <c r="J50" s="94">
        <v>45782</v>
      </c>
      <c r="K50" s="87" t="s">
        <v>650</v>
      </c>
      <c r="L50" s="99" t="s">
        <v>1509</v>
      </c>
    </row>
    <row r="51" spans="1:12">
      <c r="A51" s="37">
        <v>1198</v>
      </c>
      <c r="B51" s="85" t="s">
        <v>35</v>
      </c>
      <c r="C51" s="85" t="s">
        <v>1511</v>
      </c>
      <c r="D51" s="90">
        <v>45778</v>
      </c>
      <c r="E51" s="90">
        <v>45808</v>
      </c>
      <c r="F51" s="97" t="s">
        <v>11</v>
      </c>
      <c r="G51" s="100">
        <v>10000</v>
      </c>
      <c r="H51" s="101">
        <v>5.0000000000000001E-3</v>
      </c>
      <c r="I51" s="93" t="s">
        <v>25</v>
      </c>
      <c r="J51" s="102">
        <v>45782</v>
      </c>
      <c r="K51" s="87" t="s">
        <v>1510</v>
      </c>
      <c r="L51" s="99" t="s">
        <v>232</v>
      </c>
    </row>
    <row r="52" spans="1:12">
      <c r="A52" s="37">
        <v>1199</v>
      </c>
      <c r="B52" s="85" t="s">
        <v>35</v>
      </c>
      <c r="C52" s="85">
        <v>8336</v>
      </c>
      <c r="D52" s="90">
        <v>45778</v>
      </c>
      <c r="E52" s="90">
        <v>45808</v>
      </c>
      <c r="F52" s="97" t="s">
        <v>11</v>
      </c>
      <c r="G52" s="86">
        <v>0.01</v>
      </c>
      <c r="H52" s="98">
        <v>0.02</v>
      </c>
      <c r="I52" s="93" t="s">
        <v>168</v>
      </c>
      <c r="J52" s="94">
        <v>45782</v>
      </c>
      <c r="K52" s="87" t="s">
        <v>1512</v>
      </c>
      <c r="L52" s="99" t="s">
        <v>1701</v>
      </c>
    </row>
    <row r="53" spans="1:12">
      <c r="A53" s="37">
        <v>1200</v>
      </c>
      <c r="B53" s="85" t="s">
        <v>35</v>
      </c>
      <c r="C53" s="85">
        <v>16055</v>
      </c>
      <c r="D53" s="90">
        <v>45778</v>
      </c>
      <c r="E53" s="90">
        <v>45808</v>
      </c>
      <c r="F53" s="97" t="s">
        <v>11</v>
      </c>
      <c r="G53" s="100">
        <v>0.01</v>
      </c>
      <c r="H53" s="101">
        <v>7.4999999999999997E-3</v>
      </c>
      <c r="I53" s="93" t="s">
        <v>168</v>
      </c>
      <c r="J53" s="102">
        <v>45783</v>
      </c>
      <c r="K53" s="87" t="s">
        <v>1513</v>
      </c>
      <c r="L53" s="99" t="s">
        <v>232</v>
      </c>
    </row>
    <row r="54" spans="1:12">
      <c r="A54" s="37">
        <v>1201</v>
      </c>
      <c r="B54" s="85" t="s">
        <v>35</v>
      </c>
      <c r="C54" s="85">
        <v>15087</v>
      </c>
      <c r="D54" s="90">
        <v>45778</v>
      </c>
      <c r="E54" s="90">
        <v>45808</v>
      </c>
      <c r="F54" s="97" t="s">
        <v>11</v>
      </c>
      <c r="G54" s="100">
        <v>30000</v>
      </c>
      <c r="H54" s="101">
        <v>5.0000000000000001E-3</v>
      </c>
      <c r="I54" s="93" t="s">
        <v>48</v>
      </c>
      <c r="J54" s="102">
        <v>45783</v>
      </c>
      <c r="K54" s="87" t="s">
        <v>1472</v>
      </c>
      <c r="L54" s="99" t="s">
        <v>1514</v>
      </c>
    </row>
    <row r="55" spans="1:12">
      <c r="A55" s="37">
        <v>1202</v>
      </c>
      <c r="B55" s="85" t="s">
        <v>35</v>
      </c>
      <c r="C55" s="85">
        <v>9212</v>
      </c>
      <c r="D55" s="90">
        <v>45778</v>
      </c>
      <c r="E55" s="90">
        <v>45808</v>
      </c>
      <c r="F55" s="97" t="s">
        <v>11</v>
      </c>
      <c r="G55" s="100">
        <v>0.01</v>
      </c>
      <c r="H55" s="101">
        <v>7.4999999999999997E-3</v>
      </c>
      <c r="I55" s="93" t="s">
        <v>14</v>
      </c>
      <c r="J55" s="102">
        <v>45783</v>
      </c>
      <c r="K55" s="87" t="s">
        <v>1515</v>
      </c>
      <c r="L55" s="99" t="s">
        <v>1516</v>
      </c>
    </row>
    <row r="56" spans="1:12">
      <c r="A56" s="37">
        <v>1203</v>
      </c>
      <c r="B56" s="85" t="s">
        <v>35</v>
      </c>
      <c r="C56" s="85">
        <v>15366</v>
      </c>
      <c r="D56" s="90">
        <v>45778</v>
      </c>
      <c r="E56" s="90">
        <v>45808</v>
      </c>
      <c r="F56" s="97" t="s">
        <v>11</v>
      </c>
      <c r="G56" s="86">
        <v>0.01</v>
      </c>
      <c r="H56" s="104">
        <v>2.2000000000000001E-3</v>
      </c>
      <c r="I56" s="93" t="s">
        <v>14</v>
      </c>
      <c r="J56" s="94">
        <v>45783</v>
      </c>
      <c r="K56" s="87" t="s">
        <v>1515</v>
      </c>
      <c r="L56" s="99" t="s">
        <v>1707</v>
      </c>
    </row>
    <row r="57" spans="1:12">
      <c r="A57" s="37">
        <v>1204</v>
      </c>
      <c r="B57" s="85" t="s">
        <v>35</v>
      </c>
      <c r="C57" s="85">
        <v>15932</v>
      </c>
      <c r="D57" s="90">
        <v>45778</v>
      </c>
      <c r="E57" s="90">
        <v>45808</v>
      </c>
      <c r="F57" s="97" t="s">
        <v>11</v>
      </c>
      <c r="G57" s="86">
        <v>0.01</v>
      </c>
      <c r="H57" s="98">
        <v>1.4999999999999999E-2</v>
      </c>
      <c r="I57" s="93" t="s">
        <v>27</v>
      </c>
      <c r="J57" s="94">
        <v>45783</v>
      </c>
      <c r="K57" s="87" t="s">
        <v>1515</v>
      </c>
      <c r="L57" s="99" t="s">
        <v>1517</v>
      </c>
    </row>
    <row r="58" spans="1:12">
      <c r="A58" s="37">
        <v>1205</v>
      </c>
      <c r="B58" s="85" t="s">
        <v>35</v>
      </c>
      <c r="C58" s="85">
        <v>15932</v>
      </c>
      <c r="D58" s="90">
        <v>45778</v>
      </c>
      <c r="E58" s="90">
        <v>45808</v>
      </c>
      <c r="F58" s="97" t="s">
        <v>11</v>
      </c>
      <c r="G58" s="86">
        <v>0.01</v>
      </c>
      <c r="H58" s="98">
        <v>3.5000000000000003E-2</v>
      </c>
      <c r="I58" s="93" t="s">
        <v>27</v>
      </c>
      <c r="J58" s="94">
        <v>45783</v>
      </c>
      <c r="K58" s="87" t="s">
        <v>1515</v>
      </c>
      <c r="L58" s="99" t="s">
        <v>1518</v>
      </c>
    </row>
    <row r="59" spans="1:12">
      <c r="A59" s="37">
        <v>1206</v>
      </c>
      <c r="B59" s="85" t="s">
        <v>35</v>
      </c>
      <c r="C59" s="85">
        <v>15932</v>
      </c>
      <c r="D59" s="90">
        <v>45778</v>
      </c>
      <c r="E59" s="90">
        <v>45808</v>
      </c>
      <c r="F59" s="97" t="s">
        <v>11</v>
      </c>
      <c r="G59" s="86">
        <v>0.01</v>
      </c>
      <c r="H59" s="98">
        <v>7.4999999999999997E-3</v>
      </c>
      <c r="I59" s="93" t="s">
        <v>27</v>
      </c>
      <c r="J59" s="94">
        <v>45783</v>
      </c>
      <c r="K59" s="87" t="s">
        <v>1515</v>
      </c>
      <c r="L59" s="99" t="s">
        <v>1742</v>
      </c>
    </row>
    <row r="60" spans="1:12">
      <c r="A60" s="37">
        <v>1207</v>
      </c>
      <c r="B60" s="85" t="s">
        <v>35</v>
      </c>
      <c r="C60" s="85">
        <v>15932</v>
      </c>
      <c r="D60" s="90">
        <v>45778</v>
      </c>
      <c r="E60" s="90">
        <v>45808</v>
      </c>
      <c r="F60" s="97" t="s">
        <v>11</v>
      </c>
      <c r="G60" s="86">
        <v>0.01</v>
      </c>
      <c r="H60" s="98">
        <v>5.0000000000000001E-3</v>
      </c>
      <c r="I60" s="93" t="s">
        <v>27</v>
      </c>
      <c r="J60" s="94">
        <v>45783</v>
      </c>
      <c r="K60" s="87" t="s">
        <v>1515</v>
      </c>
      <c r="L60" s="99" t="s">
        <v>1705</v>
      </c>
    </row>
    <row r="61" spans="1:12">
      <c r="A61" s="37">
        <v>1208</v>
      </c>
      <c r="B61" s="85" t="s">
        <v>35</v>
      </c>
      <c r="C61" s="85">
        <v>15932</v>
      </c>
      <c r="D61" s="90">
        <v>45778</v>
      </c>
      <c r="E61" s="90">
        <v>45808</v>
      </c>
      <c r="F61" s="97" t="s">
        <v>11</v>
      </c>
      <c r="G61" s="86">
        <v>0.01</v>
      </c>
      <c r="H61" s="98">
        <v>2.5000000000000001E-3</v>
      </c>
      <c r="I61" s="93" t="s">
        <v>27</v>
      </c>
      <c r="J61" s="94">
        <v>45783</v>
      </c>
      <c r="K61" s="87" t="s">
        <v>1515</v>
      </c>
      <c r="L61" s="99" t="s">
        <v>1706</v>
      </c>
    </row>
    <row r="62" spans="1:12">
      <c r="A62" s="37">
        <v>1209</v>
      </c>
      <c r="B62" s="85" t="s">
        <v>35</v>
      </c>
      <c r="C62" s="85" t="s">
        <v>51</v>
      </c>
      <c r="D62" s="90">
        <v>45778</v>
      </c>
      <c r="E62" s="90">
        <v>45808</v>
      </c>
      <c r="F62" s="97" t="s">
        <v>11</v>
      </c>
      <c r="G62" s="86">
        <v>0.01</v>
      </c>
      <c r="H62" s="98">
        <v>0.02</v>
      </c>
      <c r="I62" s="93" t="s">
        <v>14</v>
      </c>
      <c r="J62" s="94">
        <v>45783</v>
      </c>
      <c r="K62" s="87" t="s">
        <v>1519</v>
      </c>
      <c r="L62" s="105" t="s">
        <v>1521</v>
      </c>
    </row>
    <row r="63" spans="1:12">
      <c r="A63" s="37">
        <v>1210</v>
      </c>
      <c r="B63" s="85" t="s">
        <v>35</v>
      </c>
      <c r="C63" s="85" t="s">
        <v>51</v>
      </c>
      <c r="D63" s="90">
        <v>45778</v>
      </c>
      <c r="E63" s="90">
        <v>45808</v>
      </c>
      <c r="F63" s="97" t="s">
        <v>11</v>
      </c>
      <c r="G63" s="86">
        <v>0.01</v>
      </c>
      <c r="H63" s="98">
        <v>1.4999999999999999E-2</v>
      </c>
      <c r="I63" s="93" t="s">
        <v>14</v>
      </c>
      <c r="J63" s="94">
        <v>45783</v>
      </c>
      <c r="K63" s="87" t="s">
        <v>1519</v>
      </c>
      <c r="L63" s="105" t="s">
        <v>154</v>
      </c>
    </row>
    <row r="64" spans="1:12">
      <c r="A64" s="37">
        <v>1211</v>
      </c>
      <c r="B64" s="85" t="s">
        <v>35</v>
      </c>
      <c r="C64" s="85" t="s">
        <v>1042</v>
      </c>
      <c r="D64" s="90">
        <v>45778</v>
      </c>
      <c r="E64" s="90">
        <v>45808</v>
      </c>
      <c r="F64" s="97" t="s">
        <v>11</v>
      </c>
      <c r="G64" s="100">
        <v>0.01</v>
      </c>
      <c r="H64" s="101">
        <v>1.7999999999999999E-2</v>
      </c>
      <c r="I64" s="93" t="s">
        <v>14</v>
      </c>
      <c r="J64" s="102">
        <v>45783</v>
      </c>
      <c r="K64" s="87" t="s">
        <v>1519</v>
      </c>
      <c r="L64" s="105" t="s">
        <v>1047</v>
      </c>
    </row>
    <row r="65" spans="1:12">
      <c r="A65" s="37">
        <v>1212</v>
      </c>
      <c r="B65" s="85" t="s">
        <v>35</v>
      </c>
      <c r="C65" s="85" t="s">
        <v>1042</v>
      </c>
      <c r="D65" s="90">
        <v>45778</v>
      </c>
      <c r="E65" s="90">
        <v>45808</v>
      </c>
      <c r="F65" s="97" t="s">
        <v>11</v>
      </c>
      <c r="G65" s="100">
        <v>0.01</v>
      </c>
      <c r="H65" s="101">
        <v>5.0000000000000001E-3</v>
      </c>
      <c r="I65" s="93" t="s">
        <v>14</v>
      </c>
      <c r="J65" s="102">
        <v>45783</v>
      </c>
      <c r="K65" s="87" t="s">
        <v>1519</v>
      </c>
      <c r="L65" s="105" t="s">
        <v>1668</v>
      </c>
    </row>
    <row r="66" spans="1:12">
      <c r="A66" s="37">
        <v>1213</v>
      </c>
      <c r="B66" s="85" t="s">
        <v>35</v>
      </c>
      <c r="C66" s="85" t="s">
        <v>1042</v>
      </c>
      <c r="D66" s="90">
        <v>45778</v>
      </c>
      <c r="E66" s="90">
        <v>45808</v>
      </c>
      <c r="F66" s="97" t="s">
        <v>11</v>
      </c>
      <c r="G66" s="100">
        <v>0.01</v>
      </c>
      <c r="H66" s="101">
        <v>5.0000000000000001E-3</v>
      </c>
      <c r="I66" s="93" t="s">
        <v>14</v>
      </c>
      <c r="J66" s="102">
        <v>45783</v>
      </c>
      <c r="K66" s="87" t="s">
        <v>1519</v>
      </c>
      <c r="L66" s="105" t="s">
        <v>1667</v>
      </c>
    </row>
    <row r="67" spans="1:12">
      <c r="A67" s="37">
        <v>1214</v>
      </c>
      <c r="B67" s="85" t="s">
        <v>35</v>
      </c>
      <c r="C67" s="85" t="s">
        <v>1042</v>
      </c>
      <c r="D67" s="90">
        <v>45778</v>
      </c>
      <c r="E67" s="90">
        <v>45808</v>
      </c>
      <c r="F67" s="97" t="s">
        <v>11</v>
      </c>
      <c r="G67" s="100">
        <v>0.01</v>
      </c>
      <c r="H67" s="101">
        <v>2.75E-2</v>
      </c>
      <c r="I67" s="93" t="s">
        <v>14</v>
      </c>
      <c r="J67" s="102">
        <v>45783</v>
      </c>
      <c r="K67" s="87" t="s">
        <v>1519</v>
      </c>
      <c r="L67" s="105" t="s">
        <v>1048</v>
      </c>
    </row>
    <row r="68" spans="1:12">
      <c r="A68" s="37">
        <v>1215</v>
      </c>
      <c r="B68" s="85" t="s">
        <v>35</v>
      </c>
      <c r="C68" s="85" t="s">
        <v>1043</v>
      </c>
      <c r="D68" s="90">
        <v>45778</v>
      </c>
      <c r="E68" s="90">
        <v>45808</v>
      </c>
      <c r="F68" s="97" t="s">
        <v>11</v>
      </c>
      <c r="G68" s="100">
        <v>0.01</v>
      </c>
      <c r="H68" s="101">
        <v>1.5E-3</v>
      </c>
      <c r="I68" s="93" t="s">
        <v>14</v>
      </c>
      <c r="J68" s="102">
        <v>45783</v>
      </c>
      <c r="K68" s="87" t="s">
        <v>1519</v>
      </c>
      <c r="L68" s="105" t="s">
        <v>1703</v>
      </c>
    </row>
    <row r="69" spans="1:12">
      <c r="A69" s="37">
        <v>1216</v>
      </c>
      <c r="B69" s="85" t="s">
        <v>35</v>
      </c>
      <c r="C69" s="85" t="s">
        <v>1044</v>
      </c>
      <c r="D69" s="90">
        <v>45778</v>
      </c>
      <c r="E69" s="90">
        <v>45808</v>
      </c>
      <c r="F69" s="97" t="s">
        <v>11</v>
      </c>
      <c r="G69" s="100">
        <v>0.01</v>
      </c>
      <c r="H69" s="101">
        <v>7.4999999999999997E-3</v>
      </c>
      <c r="I69" s="93" t="s">
        <v>14</v>
      </c>
      <c r="J69" s="102">
        <v>45783</v>
      </c>
      <c r="K69" s="87" t="s">
        <v>1519</v>
      </c>
      <c r="L69" s="105" t="s">
        <v>232</v>
      </c>
    </row>
    <row r="70" spans="1:12">
      <c r="A70" s="37">
        <v>1217</v>
      </c>
      <c r="B70" s="85" t="s">
        <v>35</v>
      </c>
      <c r="C70" s="85" t="s">
        <v>1520</v>
      </c>
      <c r="D70" s="90">
        <v>45778</v>
      </c>
      <c r="E70" s="90">
        <v>45808</v>
      </c>
      <c r="F70" s="97" t="s">
        <v>11</v>
      </c>
      <c r="G70" s="86">
        <v>0.01</v>
      </c>
      <c r="H70" s="98">
        <v>5.0000000000000001E-3</v>
      </c>
      <c r="I70" s="93" t="s">
        <v>14</v>
      </c>
      <c r="J70" s="94">
        <v>45783</v>
      </c>
      <c r="K70" s="87" t="s">
        <v>1519</v>
      </c>
      <c r="L70" s="105" t="s">
        <v>1522</v>
      </c>
    </row>
    <row r="71" spans="1:12">
      <c r="A71" s="37">
        <v>1218</v>
      </c>
      <c r="B71" s="85" t="s">
        <v>35</v>
      </c>
      <c r="C71" s="85" t="s">
        <v>1772</v>
      </c>
      <c r="D71" s="90">
        <v>45778</v>
      </c>
      <c r="E71" s="90">
        <v>45808</v>
      </c>
      <c r="F71" s="97" t="s">
        <v>11</v>
      </c>
      <c r="G71" s="86">
        <v>0.01</v>
      </c>
      <c r="H71" s="98">
        <v>4.0000000000000001E-3</v>
      </c>
      <c r="I71" s="93" t="s">
        <v>14</v>
      </c>
      <c r="J71" s="94">
        <v>45783</v>
      </c>
      <c r="K71" s="87" t="s">
        <v>1519</v>
      </c>
      <c r="L71" s="105" t="s">
        <v>154</v>
      </c>
    </row>
    <row r="72" spans="1:12">
      <c r="A72" s="37">
        <v>1219</v>
      </c>
      <c r="B72" s="85" t="s">
        <v>35</v>
      </c>
      <c r="C72" s="85" t="s">
        <v>1794</v>
      </c>
      <c r="D72" s="90">
        <v>45778</v>
      </c>
      <c r="E72" s="90">
        <v>45808</v>
      </c>
      <c r="F72" s="97" t="s">
        <v>11</v>
      </c>
      <c r="G72" s="86">
        <v>0.01</v>
      </c>
      <c r="H72" s="98">
        <v>1</v>
      </c>
      <c r="I72" s="93" t="s">
        <v>14</v>
      </c>
      <c r="J72" s="94">
        <v>45783</v>
      </c>
      <c r="K72" s="87" t="s">
        <v>1519</v>
      </c>
      <c r="L72" s="105" t="s">
        <v>1704</v>
      </c>
    </row>
    <row r="73" spans="1:12">
      <c r="A73" s="37">
        <v>1220</v>
      </c>
      <c r="B73" s="85" t="s">
        <v>35</v>
      </c>
      <c r="C73" s="85" t="s">
        <v>421</v>
      </c>
      <c r="D73" s="90">
        <v>45778</v>
      </c>
      <c r="E73" s="90">
        <v>45808</v>
      </c>
      <c r="F73" s="97" t="s">
        <v>11</v>
      </c>
      <c r="G73" s="86">
        <v>0.01</v>
      </c>
      <c r="H73" s="98">
        <v>1.7999999999999999E-2</v>
      </c>
      <c r="I73" s="93" t="s">
        <v>14</v>
      </c>
      <c r="J73" s="94">
        <v>45783</v>
      </c>
      <c r="K73" s="87" t="s">
        <v>86</v>
      </c>
      <c r="L73" s="105" t="s">
        <v>969</v>
      </c>
    </row>
    <row r="74" spans="1:12">
      <c r="A74" s="37">
        <v>1221</v>
      </c>
      <c r="B74" s="85" t="s">
        <v>35</v>
      </c>
      <c r="C74" s="85" t="s">
        <v>421</v>
      </c>
      <c r="D74" s="90">
        <v>45778</v>
      </c>
      <c r="E74" s="90">
        <v>45808</v>
      </c>
      <c r="F74" s="97" t="s">
        <v>11</v>
      </c>
      <c r="G74" s="86">
        <v>0.01</v>
      </c>
      <c r="H74" s="98">
        <v>5.0000000000000001E-3</v>
      </c>
      <c r="I74" s="93" t="s">
        <v>14</v>
      </c>
      <c r="J74" s="94">
        <v>45783</v>
      </c>
      <c r="K74" s="87" t="s">
        <v>86</v>
      </c>
      <c r="L74" s="105" t="s">
        <v>711</v>
      </c>
    </row>
    <row r="75" spans="1:12">
      <c r="A75" s="37">
        <v>1222</v>
      </c>
      <c r="B75" s="85" t="s">
        <v>35</v>
      </c>
      <c r="C75" s="85" t="s">
        <v>710</v>
      </c>
      <c r="D75" s="90">
        <v>45778</v>
      </c>
      <c r="E75" s="90">
        <v>45808</v>
      </c>
      <c r="F75" s="97" t="s">
        <v>11</v>
      </c>
      <c r="G75" s="86">
        <v>0.01</v>
      </c>
      <c r="H75" s="98">
        <v>3.5000000000000003E-2</v>
      </c>
      <c r="I75" s="93" t="s">
        <v>14</v>
      </c>
      <c r="J75" s="94">
        <v>45783</v>
      </c>
      <c r="K75" s="87" t="s">
        <v>86</v>
      </c>
      <c r="L75" s="105" t="s">
        <v>1404</v>
      </c>
    </row>
    <row r="76" spans="1:12">
      <c r="A76" s="37">
        <v>1223</v>
      </c>
      <c r="B76" s="85" t="s">
        <v>35</v>
      </c>
      <c r="C76" s="85" t="s">
        <v>710</v>
      </c>
      <c r="D76" s="90">
        <v>45778</v>
      </c>
      <c r="E76" s="90">
        <v>45808</v>
      </c>
      <c r="F76" s="97" t="s">
        <v>11</v>
      </c>
      <c r="G76" s="86">
        <v>0.01</v>
      </c>
      <c r="H76" s="98">
        <v>5.0000000000000001E-3</v>
      </c>
      <c r="I76" s="93" t="s">
        <v>14</v>
      </c>
      <c r="J76" s="94">
        <v>45783</v>
      </c>
      <c r="K76" s="87" t="s">
        <v>86</v>
      </c>
      <c r="L76" s="105" t="s">
        <v>711</v>
      </c>
    </row>
    <row r="77" spans="1:12">
      <c r="A77" s="37">
        <v>1224</v>
      </c>
      <c r="B77" s="85" t="s">
        <v>35</v>
      </c>
      <c r="C77" s="85" t="s">
        <v>1523</v>
      </c>
      <c r="D77" s="90">
        <v>45778</v>
      </c>
      <c r="E77" s="90">
        <v>45808</v>
      </c>
      <c r="F77" s="97" t="s">
        <v>11</v>
      </c>
      <c r="G77" s="86">
        <v>0.01</v>
      </c>
      <c r="H77" s="98">
        <v>5.0000000000000001E-3</v>
      </c>
      <c r="I77" s="93" t="s">
        <v>14</v>
      </c>
      <c r="J77" s="94">
        <v>45783</v>
      </c>
      <c r="K77" s="87" t="s">
        <v>86</v>
      </c>
      <c r="L77" s="105" t="s">
        <v>711</v>
      </c>
    </row>
    <row r="78" spans="1:12">
      <c r="A78" s="37">
        <v>1225</v>
      </c>
      <c r="B78" s="85" t="s">
        <v>35</v>
      </c>
      <c r="C78" s="85" t="s">
        <v>1524</v>
      </c>
      <c r="D78" s="90">
        <v>45778</v>
      </c>
      <c r="E78" s="90">
        <v>45808</v>
      </c>
      <c r="F78" s="97" t="s">
        <v>11</v>
      </c>
      <c r="G78" s="86">
        <v>0.01</v>
      </c>
      <c r="H78" s="98">
        <v>5.0000000000000001E-3</v>
      </c>
      <c r="I78" s="93" t="s">
        <v>14</v>
      </c>
      <c r="J78" s="94">
        <v>45783</v>
      </c>
      <c r="K78" s="87" t="s">
        <v>86</v>
      </c>
      <c r="L78" s="105" t="s">
        <v>711</v>
      </c>
    </row>
    <row r="79" spans="1:12">
      <c r="A79" s="37">
        <v>1226</v>
      </c>
      <c r="B79" s="85" t="s">
        <v>35</v>
      </c>
      <c r="C79" s="85" t="s">
        <v>1525</v>
      </c>
      <c r="D79" s="90">
        <v>45778</v>
      </c>
      <c r="E79" s="90">
        <v>45808</v>
      </c>
      <c r="F79" s="97" t="s">
        <v>11</v>
      </c>
      <c r="G79" s="86">
        <v>0.01</v>
      </c>
      <c r="H79" s="98">
        <v>5.0000000000000001E-3</v>
      </c>
      <c r="I79" s="93" t="s">
        <v>14</v>
      </c>
      <c r="J79" s="94">
        <v>45783</v>
      </c>
      <c r="K79" s="87" t="s">
        <v>86</v>
      </c>
      <c r="L79" s="105" t="s">
        <v>711</v>
      </c>
    </row>
    <row r="80" spans="1:12">
      <c r="A80" s="37">
        <v>1227</v>
      </c>
      <c r="B80" s="85" t="s">
        <v>35</v>
      </c>
      <c r="C80" s="85" t="s">
        <v>968</v>
      </c>
      <c r="D80" s="90">
        <v>45778</v>
      </c>
      <c r="E80" s="90">
        <v>45808</v>
      </c>
      <c r="F80" s="97" t="s">
        <v>11</v>
      </c>
      <c r="G80" s="86">
        <v>0.01</v>
      </c>
      <c r="H80" s="98">
        <v>5.0000000000000001E-3</v>
      </c>
      <c r="I80" s="93" t="s">
        <v>14</v>
      </c>
      <c r="J80" s="94">
        <v>45783</v>
      </c>
      <c r="K80" s="87" t="s">
        <v>86</v>
      </c>
      <c r="L80" s="105" t="s">
        <v>1545</v>
      </c>
    </row>
    <row r="81" spans="1:12">
      <c r="A81" s="37">
        <v>1228</v>
      </c>
      <c r="B81" s="85" t="s">
        <v>35</v>
      </c>
      <c r="C81" s="85" t="s">
        <v>968</v>
      </c>
      <c r="D81" s="90">
        <v>45778</v>
      </c>
      <c r="E81" s="90">
        <v>45808</v>
      </c>
      <c r="F81" s="97" t="s">
        <v>11</v>
      </c>
      <c r="G81" s="86">
        <v>0.01</v>
      </c>
      <c r="H81" s="98">
        <v>3.0000000000000001E-3</v>
      </c>
      <c r="I81" s="93" t="s">
        <v>14</v>
      </c>
      <c r="J81" s="94">
        <v>45783</v>
      </c>
      <c r="K81" s="87" t="s">
        <v>86</v>
      </c>
      <c r="L81" s="105" t="s">
        <v>711</v>
      </c>
    </row>
    <row r="82" spans="1:12">
      <c r="A82" s="37">
        <v>1229</v>
      </c>
      <c r="B82" s="85" t="s">
        <v>35</v>
      </c>
      <c r="C82" s="85" t="s">
        <v>710</v>
      </c>
      <c r="D82" s="90">
        <v>45778</v>
      </c>
      <c r="E82" s="90">
        <v>45808</v>
      </c>
      <c r="F82" s="97" t="s">
        <v>11</v>
      </c>
      <c r="G82" s="100">
        <v>0.01</v>
      </c>
      <c r="H82" s="101">
        <v>0.01</v>
      </c>
      <c r="I82" s="93" t="s">
        <v>14</v>
      </c>
      <c r="J82" s="102">
        <v>45792</v>
      </c>
      <c r="K82" s="87" t="s">
        <v>86</v>
      </c>
      <c r="L82" s="105" t="s">
        <v>1575</v>
      </c>
    </row>
    <row r="83" spans="1:12">
      <c r="A83" s="37">
        <v>1230</v>
      </c>
      <c r="B83" s="85" t="s">
        <v>35</v>
      </c>
      <c r="C83" s="85">
        <v>13166</v>
      </c>
      <c r="D83" s="90">
        <v>45778</v>
      </c>
      <c r="E83" s="90">
        <v>45808</v>
      </c>
      <c r="F83" s="97" t="s">
        <v>11</v>
      </c>
      <c r="G83" s="100">
        <v>300000</v>
      </c>
      <c r="H83" s="101">
        <v>5.0000000000000001E-3</v>
      </c>
      <c r="I83" s="93" t="s">
        <v>13</v>
      </c>
      <c r="J83" s="102">
        <v>45783</v>
      </c>
      <c r="K83" s="87" t="s">
        <v>1526</v>
      </c>
      <c r="L83" s="105" t="s">
        <v>232</v>
      </c>
    </row>
    <row r="84" spans="1:12">
      <c r="A84" s="37">
        <v>1231</v>
      </c>
      <c r="B84" s="85" t="s">
        <v>35</v>
      </c>
      <c r="C84" s="85">
        <v>17229</v>
      </c>
      <c r="D84" s="90">
        <v>45778</v>
      </c>
      <c r="E84" s="90">
        <v>45808</v>
      </c>
      <c r="F84" s="97" t="s">
        <v>11</v>
      </c>
      <c r="G84" s="100">
        <v>0.01</v>
      </c>
      <c r="H84" s="101">
        <v>5.0000000000000001E-3</v>
      </c>
      <c r="I84" s="93" t="s">
        <v>13</v>
      </c>
      <c r="J84" s="102">
        <v>45783</v>
      </c>
      <c r="K84" s="87" t="s">
        <v>1528</v>
      </c>
      <c r="L84" s="105" t="s">
        <v>232</v>
      </c>
    </row>
    <row r="85" spans="1:12">
      <c r="A85" s="37">
        <v>1232</v>
      </c>
      <c r="B85" s="85" t="s">
        <v>35</v>
      </c>
      <c r="C85" s="85">
        <v>16995</v>
      </c>
      <c r="D85" s="90">
        <v>45778</v>
      </c>
      <c r="E85" s="90">
        <v>45808</v>
      </c>
      <c r="F85" s="97" t="s">
        <v>11</v>
      </c>
      <c r="G85" s="100">
        <v>300000</v>
      </c>
      <c r="H85" s="101">
        <v>5.0000000000000001E-3</v>
      </c>
      <c r="I85" s="93" t="s">
        <v>13</v>
      </c>
      <c r="J85" s="102">
        <v>45783</v>
      </c>
      <c r="K85" s="87" t="s">
        <v>1529</v>
      </c>
      <c r="L85" s="105" t="s">
        <v>232</v>
      </c>
    </row>
    <row r="86" spans="1:12">
      <c r="A86" s="37">
        <v>1235</v>
      </c>
      <c r="B86" s="85" t="s">
        <v>35</v>
      </c>
      <c r="C86" s="85">
        <v>16360</v>
      </c>
      <c r="D86" s="90">
        <v>45778</v>
      </c>
      <c r="E86" s="90">
        <v>45808</v>
      </c>
      <c r="F86" s="97" t="s">
        <v>11</v>
      </c>
      <c r="G86" s="100">
        <v>100000</v>
      </c>
      <c r="H86" s="101">
        <v>5.0000000000000001E-3</v>
      </c>
      <c r="I86" s="93" t="s">
        <v>13</v>
      </c>
      <c r="J86" s="102">
        <v>45783</v>
      </c>
      <c r="K86" s="87" t="s">
        <v>1530</v>
      </c>
      <c r="L86" s="105" t="s">
        <v>1527</v>
      </c>
    </row>
    <row r="87" spans="1:12">
      <c r="A87" s="37">
        <v>1236</v>
      </c>
      <c r="B87" s="85" t="s">
        <v>35</v>
      </c>
      <c r="C87" s="85">
        <v>17421</v>
      </c>
      <c r="D87" s="90">
        <v>45778</v>
      </c>
      <c r="E87" s="90">
        <v>45808</v>
      </c>
      <c r="F87" s="97" t="s">
        <v>11</v>
      </c>
      <c r="G87" s="100">
        <v>300000</v>
      </c>
      <c r="H87" s="101">
        <v>5.0000000000000001E-3</v>
      </c>
      <c r="I87" s="93" t="s">
        <v>13</v>
      </c>
      <c r="J87" s="102">
        <v>45783</v>
      </c>
      <c r="K87" s="87" t="s">
        <v>1531</v>
      </c>
      <c r="L87" s="105" t="s">
        <v>232</v>
      </c>
    </row>
    <row r="88" spans="1:12">
      <c r="A88" s="37">
        <v>1239</v>
      </c>
      <c r="B88" s="85" t="s">
        <v>35</v>
      </c>
      <c r="C88" s="85">
        <v>1818</v>
      </c>
      <c r="D88" s="90">
        <v>45778</v>
      </c>
      <c r="E88" s="90">
        <v>45808</v>
      </c>
      <c r="F88" s="97" t="s">
        <v>11</v>
      </c>
      <c r="G88" s="100">
        <v>500000</v>
      </c>
      <c r="H88" s="101">
        <v>2E-3</v>
      </c>
      <c r="I88" s="93" t="s">
        <v>19</v>
      </c>
      <c r="J88" s="102">
        <v>45783</v>
      </c>
      <c r="K88" s="87" t="s">
        <v>1532</v>
      </c>
      <c r="L88" s="105" t="s">
        <v>1533</v>
      </c>
    </row>
    <row r="89" spans="1:12">
      <c r="A89" s="37">
        <v>1240</v>
      </c>
      <c r="B89" s="85" t="s">
        <v>35</v>
      </c>
      <c r="C89" s="85">
        <v>16898</v>
      </c>
      <c r="D89" s="90">
        <v>45779</v>
      </c>
      <c r="E89" s="90">
        <v>45808</v>
      </c>
      <c r="F89" s="97" t="s">
        <v>11</v>
      </c>
      <c r="G89" s="100">
        <v>200000</v>
      </c>
      <c r="H89" s="101">
        <v>2.5000000000000001E-3</v>
      </c>
      <c r="I89" s="93" t="s">
        <v>168</v>
      </c>
      <c r="J89" s="102">
        <v>45784</v>
      </c>
      <c r="K89" s="87" t="s">
        <v>1534</v>
      </c>
      <c r="L89" s="105" t="s">
        <v>232</v>
      </c>
    </row>
    <row r="90" spans="1:12">
      <c r="A90" s="37">
        <v>1241</v>
      </c>
      <c r="B90" s="85" t="s">
        <v>35</v>
      </c>
      <c r="C90" s="85" t="s">
        <v>1536</v>
      </c>
      <c r="D90" s="90">
        <v>45779</v>
      </c>
      <c r="E90" s="90">
        <v>45808</v>
      </c>
      <c r="F90" s="97" t="s">
        <v>11</v>
      </c>
      <c r="G90" s="100">
        <v>200000</v>
      </c>
      <c r="H90" s="101">
        <v>2.5000000000000001E-3</v>
      </c>
      <c r="I90" s="93" t="s">
        <v>168</v>
      </c>
      <c r="J90" s="102">
        <v>45784</v>
      </c>
      <c r="K90" s="87" t="s">
        <v>1535</v>
      </c>
      <c r="L90" s="105" t="s">
        <v>232</v>
      </c>
    </row>
    <row r="91" spans="1:12">
      <c r="A91" s="37">
        <v>1242</v>
      </c>
      <c r="B91" s="85" t="s">
        <v>35</v>
      </c>
      <c r="C91" s="85">
        <v>15874</v>
      </c>
      <c r="D91" s="90">
        <v>45778</v>
      </c>
      <c r="E91" s="90">
        <v>45808</v>
      </c>
      <c r="F91" s="97" t="s">
        <v>11</v>
      </c>
      <c r="G91" s="86">
        <v>0.01</v>
      </c>
      <c r="H91" s="98">
        <v>5.0000000000000001E-3</v>
      </c>
      <c r="I91" s="93" t="s">
        <v>19</v>
      </c>
      <c r="J91" s="94">
        <v>45783</v>
      </c>
      <c r="K91" s="87" t="s">
        <v>1537</v>
      </c>
      <c r="L91" s="105" t="s">
        <v>1538</v>
      </c>
    </row>
    <row r="92" spans="1:12">
      <c r="A92" s="37">
        <v>1243</v>
      </c>
      <c r="B92" s="85" t="s">
        <v>35</v>
      </c>
      <c r="C92" s="85">
        <v>8687</v>
      </c>
      <c r="D92" s="90">
        <v>45778</v>
      </c>
      <c r="E92" s="90">
        <v>45808</v>
      </c>
      <c r="F92" s="97" t="s">
        <v>11</v>
      </c>
      <c r="G92" s="100">
        <v>0.01</v>
      </c>
      <c r="H92" s="101">
        <v>1E-3</v>
      </c>
      <c r="I92" s="93" t="s">
        <v>46</v>
      </c>
      <c r="J92" s="102">
        <v>45784</v>
      </c>
      <c r="K92" s="87" t="s">
        <v>110</v>
      </c>
      <c r="L92" s="105" t="s">
        <v>539</v>
      </c>
    </row>
    <row r="93" spans="1:12">
      <c r="A93" s="37">
        <v>1244</v>
      </c>
      <c r="B93" s="85" t="s">
        <v>35</v>
      </c>
      <c r="C93" s="85">
        <v>10461</v>
      </c>
      <c r="D93" s="90">
        <v>45778</v>
      </c>
      <c r="E93" s="90">
        <v>45808</v>
      </c>
      <c r="F93" s="97" t="s">
        <v>11</v>
      </c>
      <c r="G93" s="86">
        <v>0.01</v>
      </c>
      <c r="H93" s="98">
        <v>0.01</v>
      </c>
      <c r="I93" s="93" t="s">
        <v>46</v>
      </c>
      <c r="J93" s="94">
        <v>45784</v>
      </c>
      <c r="K93" s="87" t="s">
        <v>110</v>
      </c>
      <c r="L93" s="105" t="s">
        <v>836</v>
      </c>
    </row>
    <row r="94" spans="1:12">
      <c r="A94" s="37">
        <v>1245</v>
      </c>
      <c r="B94" s="85" t="s">
        <v>35</v>
      </c>
      <c r="C94" s="85">
        <v>12385</v>
      </c>
      <c r="D94" s="90">
        <v>45778</v>
      </c>
      <c r="E94" s="90">
        <v>45808</v>
      </c>
      <c r="F94" s="97" t="s">
        <v>11</v>
      </c>
      <c r="G94" s="86">
        <v>0.01</v>
      </c>
      <c r="H94" s="98">
        <v>0.01</v>
      </c>
      <c r="I94" s="93" t="s">
        <v>46</v>
      </c>
      <c r="J94" s="94">
        <v>45784</v>
      </c>
      <c r="K94" s="87" t="s">
        <v>110</v>
      </c>
      <c r="L94" s="105" t="s">
        <v>836</v>
      </c>
    </row>
    <row r="95" spans="1:12">
      <c r="A95" s="37">
        <v>1246</v>
      </c>
      <c r="B95" s="85" t="s">
        <v>35</v>
      </c>
      <c r="C95" s="85">
        <v>12385</v>
      </c>
      <c r="D95" s="90">
        <v>45778</v>
      </c>
      <c r="E95" s="90">
        <v>45808</v>
      </c>
      <c r="F95" s="97" t="s">
        <v>11</v>
      </c>
      <c r="G95" s="100">
        <v>0.01</v>
      </c>
      <c r="H95" s="101">
        <v>5.0000000000000001E-3</v>
      </c>
      <c r="I95" s="93" t="s">
        <v>46</v>
      </c>
      <c r="J95" s="102">
        <v>45784</v>
      </c>
      <c r="K95" s="87" t="s">
        <v>110</v>
      </c>
      <c r="L95" s="105" t="s">
        <v>539</v>
      </c>
    </row>
    <row r="96" spans="1:12">
      <c r="A96" s="37">
        <v>1247</v>
      </c>
      <c r="B96" s="85" t="s">
        <v>35</v>
      </c>
      <c r="C96" s="85">
        <v>10649</v>
      </c>
      <c r="D96" s="90">
        <v>45778</v>
      </c>
      <c r="E96" s="90">
        <v>45808</v>
      </c>
      <c r="F96" s="97" t="s">
        <v>11</v>
      </c>
      <c r="G96" s="100">
        <v>180000</v>
      </c>
      <c r="H96" s="101">
        <v>2E-3</v>
      </c>
      <c r="I96" s="93" t="s">
        <v>12</v>
      </c>
      <c r="J96" s="102">
        <v>45784</v>
      </c>
      <c r="K96" s="87" t="s">
        <v>1539</v>
      </c>
      <c r="L96" s="105" t="s">
        <v>1540</v>
      </c>
    </row>
    <row r="97" spans="1:12">
      <c r="A97" s="37">
        <v>1249</v>
      </c>
      <c r="B97" s="85" t="s">
        <v>35</v>
      </c>
      <c r="C97" s="85">
        <v>15244</v>
      </c>
      <c r="D97" s="90">
        <v>45778</v>
      </c>
      <c r="E97" s="90">
        <v>45808</v>
      </c>
      <c r="F97" s="97" t="s">
        <v>11</v>
      </c>
      <c r="G97" s="86">
        <v>1000</v>
      </c>
      <c r="H97" s="98">
        <v>2.5000000000000001E-3</v>
      </c>
      <c r="I97" s="93" t="s">
        <v>12</v>
      </c>
      <c r="J97" s="94">
        <v>45784</v>
      </c>
      <c r="K97" s="87" t="s">
        <v>1539</v>
      </c>
      <c r="L97" s="105" t="s">
        <v>1490</v>
      </c>
    </row>
    <row r="98" spans="1:12">
      <c r="A98" s="37">
        <v>1250</v>
      </c>
      <c r="B98" s="85" t="s">
        <v>35</v>
      </c>
      <c r="C98" s="85">
        <v>14129</v>
      </c>
      <c r="D98" s="90">
        <v>45778</v>
      </c>
      <c r="E98" s="90">
        <v>45808</v>
      </c>
      <c r="F98" s="97" t="s">
        <v>11</v>
      </c>
      <c r="G98" s="100">
        <v>1000</v>
      </c>
      <c r="H98" s="101">
        <v>7.4999999999999997E-3</v>
      </c>
      <c r="I98" s="93" t="s">
        <v>12</v>
      </c>
      <c r="J98" s="102">
        <v>45784</v>
      </c>
      <c r="K98" s="87" t="s">
        <v>1539</v>
      </c>
      <c r="L98" s="105" t="s">
        <v>137</v>
      </c>
    </row>
    <row r="99" spans="1:12">
      <c r="A99" s="37">
        <v>1251</v>
      </c>
      <c r="B99" s="85" t="s">
        <v>35</v>
      </c>
      <c r="C99" s="85" t="s">
        <v>1542</v>
      </c>
      <c r="D99" s="90">
        <v>45778</v>
      </c>
      <c r="E99" s="90">
        <v>45808</v>
      </c>
      <c r="F99" s="97" t="s">
        <v>11</v>
      </c>
      <c r="G99" s="86">
        <v>0.01</v>
      </c>
      <c r="H99" s="98">
        <v>2E-3</v>
      </c>
      <c r="I99" s="93" t="s">
        <v>17</v>
      </c>
      <c r="J99" s="94">
        <v>45784</v>
      </c>
      <c r="K99" s="87" t="s">
        <v>1541</v>
      </c>
      <c r="L99" s="105" t="s">
        <v>1543</v>
      </c>
    </row>
    <row r="100" spans="1:12">
      <c r="A100" s="37">
        <v>1252</v>
      </c>
      <c r="B100" s="85" t="s">
        <v>35</v>
      </c>
      <c r="C100" s="85">
        <v>14544</v>
      </c>
      <c r="D100" s="90">
        <v>45778</v>
      </c>
      <c r="E100" s="90">
        <v>45808</v>
      </c>
      <c r="F100" s="97" t="s">
        <v>11</v>
      </c>
      <c r="G100" s="100">
        <v>100000</v>
      </c>
      <c r="H100" s="101">
        <v>2.5000000000000001E-3</v>
      </c>
      <c r="I100" s="93" t="s">
        <v>18</v>
      </c>
      <c r="J100" s="102">
        <v>45789</v>
      </c>
      <c r="K100" s="87" t="s">
        <v>1547</v>
      </c>
      <c r="L100" s="105" t="s">
        <v>1548</v>
      </c>
    </row>
    <row r="101" spans="1:12">
      <c r="A101" s="37">
        <v>1253</v>
      </c>
      <c r="B101" s="85" t="s">
        <v>35</v>
      </c>
      <c r="C101" s="85">
        <v>13900</v>
      </c>
      <c r="D101" s="90">
        <v>45778</v>
      </c>
      <c r="E101" s="90">
        <v>45808</v>
      </c>
      <c r="F101" s="97" t="s">
        <v>11</v>
      </c>
      <c r="G101" s="100">
        <v>0.01</v>
      </c>
      <c r="H101" s="101">
        <v>1E-3</v>
      </c>
      <c r="I101" s="93" t="s">
        <v>46</v>
      </c>
      <c r="J101" s="102">
        <v>45789</v>
      </c>
      <c r="K101" s="87" t="s">
        <v>1549</v>
      </c>
      <c r="L101" s="105" t="s">
        <v>1550</v>
      </c>
    </row>
    <row r="102" spans="1:12">
      <c r="A102" s="37">
        <v>1254</v>
      </c>
      <c r="B102" s="85" t="s">
        <v>35</v>
      </c>
      <c r="C102" s="85">
        <v>17288</v>
      </c>
      <c r="D102" s="90">
        <v>45778</v>
      </c>
      <c r="E102" s="90">
        <v>45808</v>
      </c>
      <c r="F102" s="97" t="s">
        <v>11</v>
      </c>
      <c r="G102" s="100">
        <v>10000</v>
      </c>
      <c r="H102" s="101">
        <v>7.0000000000000001E-3</v>
      </c>
      <c r="I102" s="93" t="s">
        <v>18</v>
      </c>
      <c r="J102" s="102">
        <v>45789</v>
      </c>
      <c r="K102" s="87" t="s">
        <v>1551</v>
      </c>
      <c r="L102" s="105" t="s">
        <v>76</v>
      </c>
    </row>
    <row r="103" spans="1:12">
      <c r="A103" s="37">
        <v>1255</v>
      </c>
      <c r="B103" s="85" t="s">
        <v>35</v>
      </c>
      <c r="C103" s="85">
        <v>14105</v>
      </c>
      <c r="D103" s="90">
        <v>45778</v>
      </c>
      <c r="E103" s="90">
        <v>45808</v>
      </c>
      <c r="F103" s="97" t="s">
        <v>11</v>
      </c>
      <c r="G103" s="86">
        <v>1000</v>
      </c>
      <c r="H103" s="98">
        <v>2E-3</v>
      </c>
      <c r="I103" s="93" t="s">
        <v>32</v>
      </c>
      <c r="J103" s="94">
        <v>45762</v>
      </c>
      <c r="K103" s="87" t="s">
        <v>1552</v>
      </c>
      <c r="L103" s="105" t="s">
        <v>1574</v>
      </c>
    </row>
    <row r="104" spans="1:12">
      <c r="A104" s="37">
        <v>1256</v>
      </c>
      <c r="B104" s="85" t="s">
        <v>35</v>
      </c>
      <c r="C104" s="85">
        <v>17303</v>
      </c>
      <c r="D104" s="90">
        <v>45778</v>
      </c>
      <c r="E104" s="90">
        <v>45790</v>
      </c>
      <c r="F104" s="97" t="s">
        <v>11</v>
      </c>
      <c r="G104" s="86">
        <v>1000</v>
      </c>
      <c r="H104" s="98">
        <v>0.03</v>
      </c>
      <c r="I104" s="93" t="s">
        <v>27</v>
      </c>
      <c r="J104" s="94">
        <v>45790</v>
      </c>
      <c r="K104" s="87" t="s">
        <v>1553</v>
      </c>
      <c r="L104" s="105" t="s">
        <v>1781</v>
      </c>
    </row>
    <row r="105" spans="1:12">
      <c r="A105" s="37">
        <v>1257</v>
      </c>
      <c r="B105" s="85" t="s">
        <v>35</v>
      </c>
      <c r="C105" s="85">
        <v>13694</v>
      </c>
      <c r="D105" s="90">
        <v>45778</v>
      </c>
      <c r="E105" s="90">
        <v>45808</v>
      </c>
      <c r="F105" s="97" t="s">
        <v>11</v>
      </c>
      <c r="G105" s="100">
        <v>200000</v>
      </c>
      <c r="H105" s="101">
        <v>5.0000000000000001E-3</v>
      </c>
      <c r="I105" s="93" t="s">
        <v>39</v>
      </c>
      <c r="J105" s="102">
        <v>45790</v>
      </c>
      <c r="K105" s="87" t="s">
        <v>225</v>
      </c>
      <c r="L105" s="105" t="s">
        <v>978</v>
      </c>
    </row>
    <row r="106" spans="1:12">
      <c r="A106" s="37">
        <v>1258</v>
      </c>
      <c r="B106" s="85" t="s">
        <v>35</v>
      </c>
      <c r="C106" s="85">
        <v>13694</v>
      </c>
      <c r="D106" s="90">
        <v>45778</v>
      </c>
      <c r="E106" s="90">
        <v>45808</v>
      </c>
      <c r="F106" s="97" t="s">
        <v>11</v>
      </c>
      <c r="G106" s="100">
        <v>200000</v>
      </c>
      <c r="H106" s="101">
        <v>5.0000000000000001E-3</v>
      </c>
      <c r="I106" s="93" t="s">
        <v>39</v>
      </c>
      <c r="J106" s="102">
        <v>45790</v>
      </c>
      <c r="K106" s="87" t="s">
        <v>225</v>
      </c>
      <c r="L106" s="105" t="s">
        <v>1571</v>
      </c>
    </row>
    <row r="107" spans="1:12">
      <c r="A107" s="37">
        <v>1259</v>
      </c>
      <c r="B107" s="85" t="s">
        <v>35</v>
      </c>
      <c r="C107" s="85">
        <v>13694</v>
      </c>
      <c r="D107" s="90">
        <v>45778</v>
      </c>
      <c r="E107" s="90">
        <v>45808</v>
      </c>
      <c r="F107" s="97" t="s">
        <v>11</v>
      </c>
      <c r="G107" s="86">
        <v>200000</v>
      </c>
      <c r="H107" s="98">
        <v>5.0000000000000001E-3</v>
      </c>
      <c r="I107" s="93" t="s">
        <v>39</v>
      </c>
      <c r="J107" s="94">
        <v>45790</v>
      </c>
      <c r="K107" s="87" t="s">
        <v>225</v>
      </c>
      <c r="L107" s="105" t="s">
        <v>1572</v>
      </c>
    </row>
    <row r="108" spans="1:12">
      <c r="A108" s="37">
        <v>1260</v>
      </c>
      <c r="B108" s="85" t="s">
        <v>35</v>
      </c>
      <c r="C108" s="85">
        <v>13694</v>
      </c>
      <c r="D108" s="90">
        <v>45778</v>
      </c>
      <c r="E108" s="90">
        <v>45808</v>
      </c>
      <c r="F108" s="97" t="s">
        <v>11</v>
      </c>
      <c r="G108" s="100">
        <v>200000</v>
      </c>
      <c r="H108" s="101">
        <v>5.0000000000000001E-3</v>
      </c>
      <c r="I108" s="93" t="s">
        <v>39</v>
      </c>
      <c r="J108" s="102">
        <v>45790</v>
      </c>
      <c r="K108" s="87" t="s">
        <v>225</v>
      </c>
      <c r="L108" s="105" t="s">
        <v>1573</v>
      </c>
    </row>
    <row r="109" spans="1:12">
      <c r="A109" s="37">
        <v>1261</v>
      </c>
      <c r="B109" s="85" t="s">
        <v>35</v>
      </c>
      <c r="C109" s="85">
        <v>14409</v>
      </c>
      <c r="D109" s="90">
        <v>45778</v>
      </c>
      <c r="E109" s="90">
        <v>45808</v>
      </c>
      <c r="F109" s="97" t="s">
        <v>11</v>
      </c>
      <c r="G109" s="100">
        <v>10000</v>
      </c>
      <c r="H109" s="101">
        <v>5.0000000000000001E-3</v>
      </c>
      <c r="I109" s="93" t="s">
        <v>18</v>
      </c>
      <c r="J109" s="102">
        <v>45790</v>
      </c>
      <c r="K109" s="87" t="s">
        <v>1354</v>
      </c>
      <c r="L109" s="105" t="s">
        <v>1782</v>
      </c>
    </row>
    <row r="110" spans="1:12">
      <c r="A110" s="37">
        <v>1262</v>
      </c>
      <c r="B110" s="85" t="s">
        <v>35</v>
      </c>
      <c r="C110" s="85">
        <v>16977</v>
      </c>
      <c r="D110" s="90">
        <v>45778</v>
      </c>
      <c r="E110" s="90">
        <v>45808</v>
      </c>
      <c r="F110" s="97" t="s">
        <v>11</v>
      </c>
      <c r="G110" s="86">
        <v>0.01</v>
      </c>
      <c r="H110" s="98">
        <v>8.0000000000000002E-3</v>
      </c>
      <c r="I110" s="93" t="s">
        <v>168</v>
      </c>
      <c r="J110" s="94">
        <v>45790</v>
      </c>
      <c r="K110" s="87" t="s">
        <v>1554</v>
      </c>
      <c r="L110" s="105" t="s">
        <v>1793</v>
      </c>
    </row>
    <row r="111" spans="1:12">
      <c r="A111" s="37">
        <v>1263</v>
      </c>
      <c r="B111" s="85" t="s">
        <v>35</v>
      </c>
      <c r="C111" s="85">
        <v>17354</v>
      </c>
      <c r="D111" s="90">
        <v>45778</v>
      </c>
      <c r="E111" s="90">
        <v>46022</v>
      </c>
      <c r="F111" s="97" t="s">
        <v>11</v>
      </c>
      <c r="G111" s="86">
        <v>1</v>
      </c>
      <c r="H111" s="98">
        <v>6.0000000000000001E-3</v>
      </c>
      <c r="I111" s="93" t="s">
        <v>42</v>
      </c>
      <c r="J111" s="94">
        <v>45790</v>
      </c>
      <c r="K111" s="87" t="s">
        <v>1555</v>
      </c>
      <c r="L111" s="105" t="s">
        <v>1789</v>
      </c>
    </row>
    <row r="112" spans="1:12">
      <c r="A112" s="37">
        <v>1264</v>
      </c>
      <c r="B112" s="85" t="s">
        <v>35</v>
      </c>
      <c r="C112" s="85">
        <v>6887</v>
      </c>
      <c r="D112" s="90">
        <v>45778</v>
      </c>
      <c r="E112" s="90">
        <v>45808</v>
      </c>
      <c r="F112" s="97" t="s">
        <v>11</v>
      </c>
      <c r="G112" s="86">
        <v>100000</v>
      </c>
      <c r="H112" s="98">
        <v>5.0000000000000001E-3</v>
      </c>
      <c r="I112" s="93" t="s">
        <v>18</v>
      </c>
      <c r="J112" s="94">
        <v>45790</v>
      </c>
      <c r="K112" s="87" t="s">
        <v>1556</v>
      </c>
      <c r="L112" s="105" t="s">
        <v>1783</v>
      </c>
    </row>
    <row r="113" spans="1:12">
      <c r="A113" s="37">
        <v>1265</v>
      </c>
      <c r="B113" s="85" t="s">
        <v>35</v>
      </c>
      <c r="C113" s="85">
        <v>17614</v>
      </c>
      <c r="D113" s="90">
        <v>45778</v>
      </c>
      <c r="E113" s="90">
        <v>45808</v>
      </c>
      <c r="F113" s="97" t="s">
        <v>11</v>
      </c>
      <c r="G113" s="100">
        <v>150000</v>
      </c>
      <c r="H113" s="101">
        <v>5.0000000000000001E-3</v>
      </c>
      <c r="I113" s="93" t="s">
        <v>20</v>
      </c>
      <c r="J113" s="102">
        <v>45790</v>
      </c>
      <c r="K113" s="87" t="s">
        <v>1557</v>
      </c>
      <c r="L113" s="105" t="s">
        <v>76</v>
      </c>
    </row>
    <row r="114" spans="1:12">
      <c r="A114" s="37">
        <v>1266</v>
      </c>
      <c r="B114" s="85" t="s">
        <v>35</v>
      </c>
      <c r="C114" s="85">
        <v>13053</v>
      </c>
      <c r="D114" s="90">
        <v>45778</v>
      </c>
      <c r="E114" s="90">
        <v>45808</v>
      </c>
      <c r="F114" s="97" t="s">
        <v>11</v>
      </c>
      <c r="G114" s="100">
        <v>50000</v>
      </c>
      <c r="H114" s="101">
        <v>1.4999999999999999E-2</v>
      </c>
      <c r="I114" s="93" t="s">
        <v>18</v>
      </c>
      <c r="J114" s="102">
        <v>45792</v>
      </c>
      <c r="K114" s="87" t="s">
        <v>1558</v>
      </c>
      <c r="L114" s="105" t="s">
        <v>1784</v>
      </c>
    </row>
    <row r="115" spans="1:12">
      <c r="A115" s="37">
        <v>1267</v>
      </c>
      <c r="B115" s="85" t="s">
        <v>35</v>
      </c>
      <c r="C115" s="85">
        <v>17350</v>
      </c>
      <c r="D115" s="90">
        <v>45778</v>
      </c>
      <c r="E115" s="90">
        <v>45808</v>
      </c>
      <c r="F115" s="97" t="s">
        <v>11</v>
      </c>
      <c r="G115" s="100">
        <v>1000</v>
      </c>
      <c r="H115" s="101">
        <v>5.0000000000000001E-3</v>
      </c>
      <c r="I115" s="93" t="s">
        <v>15</v>
      </c>
      <c r="J115" s="102">
        <v>45792</v>
      </c>
      <c r="K115" s="87" t="s">
        <v>1559</v>
      </c>
      <c r="L115" s="105" t="s">
        <v>143</v>
      </c>
    </row>
    <row r="116" spans="1:12">
      <c r="A116" s="37">
        <v>1268</v>
      </c>
      <c r="B116" s="85" t="s">
        <v>35</v>
      </c>
      <c r="C116" s="85">
        <v>7149</v>
      </c>
      <c r="D116" s="90">
        <v>45778</v>
      </c>
      <c r="E116" s="90">
        <v>45808</v>
      </c>
      <c r="F116" s="97" t="s">
        <v>11</v>
      </c>
      <c r="G116" s="86">
        <v>0.01</v>
      </c>
      <c r="H116" s="98">
        <v>2.5000000000000001E-2</v>
      </c>
      <c r="I116" s="93" t="s">
        <v>30</v>
      </c>
      <c r="J116" s="94">
        <v>45792</v>
      </c>
      <c r="K116" s="87" t="s">
        <v>1560</v>
      </c>
      <c r="L116" s="105" t="s">
        <v>1790</v>
      </c>
    </row>
    <row r="117" spans="1:12">
      <c r="A117" s="37">
        <v>1269</v>
      </c>
      <c r="B117" s="85" t="s">
        <v>35</v>
      </c>
      <c r="C117" s="85">
        <v>15515</v>
      </c>
      <c r="D117" s="90">
        <v>45778</v>
      </c>
      <c r="E117" s="90">
        <v>45808</v>
      </c>
      <c r="F117" s="97" t="s">
        <v>11</v>
      </c>
      <c r="G117" s="100">
        <v>100000</v>
      </c>
      <c r="H117" s="101">
        <v>2.5000000000000001E-3</v>
      </c>
      <c r="I117" s="93" t="s">
        <v>12</v>
      </c>
      <c r="J117" s="102">
        <v>45792</v>
      </c>
      <c r="K117" s="87" t="s">
        <v>1561</v>
      </c>
      <c r="L117" s="105" t="s">
        <v>224</v>
      </c>
    </row>
    <row r="118" spans="1:12">
      <c r="A118" s="37">
        <v>1270</v>
      </c>
      <c r="B118" s="85" t="s">
        <v>35</v>
      </c>
      <c r="C118" s="85">
        <v>3489</v>
      </c>
      <c r="D118" s="90">
        <v>45778</v>
      </c>
      <c r="E118" s="90">
        <v>45808</v>
      </c>
      <c r="F118" s="97" t="s">
        <v>11</v>
      </c>
      <c r="G118" s="100">
        <v>1000</v>
      </c>
      <c r="H118" s="101">
        <v>5.0000000000000001E-3</v>
      </c>
      <c r="I118" s="93" t="s">
        <v>25</v>
      </c>
      <c r="J118" s="102">
        <v>45792</v>
      </c>
      <c r="K118" s="87" t="s">
        <v>1562</v>
      </c>
      <c r="L118" s="105" t="s">
        <v>1785</v>
      </c>
    </row>
    <row r="119" spans="1:12">
      <c r="A119" s="37">
        <v>1271</v>
      </c>
      <c r="B119" s="85" t="s">
        <v>35</v>
      </c>
      <c r="C119" s="85">
        <v>13977</v>
      </c>
      <c r="D119" s="90">
        <v>45778</v>
      </c>
      <c r="E119" s="90">
        <v>45808</v>
      </c>
      <c r="F119" s="97" t="s">
        <v>11</v>
      </c>
      <c r="G119" s="100">
        <v>100</v>
      </c>
      <c r="H119" s="101">
        <v>1.5E-3</v>
      </c>
      <c r="I119" s="93" t="s">
        <v>49</v>
      </c>
      <c r="J119" s="102">
        <v>45792</v>
      </c>
      <c r="K119" s="87" t="s">
        <v>1563</v>
      </c>
      <c r="L119" s="105" t="s">
        <v>143</v>
      </c>
    </row>
    <row r="120" spans="1:12">
      <c r="A120" s="37">
        <v>1272</v>
      </c>
      <c r="B120" s="85" t="s">
        <v>35</v>
      </c>
      <c r="C120" s="85">
        <v>11208</v>
      </c>
      <c r="D120" s="90">
        <v>45778</v>
      </c>
      <c r="E120" s="90">
        <v>45808</v>
      </c>
      <c r="F120" s="97" t="s">
        <v>11</v>
      </c>
      <c r="G120" s="100">
        <v>250000</v>
      </c>
      <c r="H120" s="101">
        <v>2.5000000000000001E-3</v>
      </c>
      <c r="I120" s="93" t="s">
        <v>16</v>
      </c>
      <c r="J120" s="102">
        <v>45792</v>
      </c>
      <c r="K120" s="87" t="s">
        <v>1564</v>
      </c>
      <c r="L120" s="105" t="s">
        <v>232</v>
      </c>
    </row>
    <row r="121" spans="1:12">
      <c r="A121" s="37">
        <v>1273</v>
      </c>
      <c r="B121" s="85" t="s">
        <v>35</v>
      </c>
      <c r="C121" s="85" t="s">
        <v>1423</v>
      </c>
      <c r="D121" s="90">
        <v>45778</v>
      </c>
      <c r="E121" s="90">
        <v>45808</v>
      </c>
      <c r="F121" s="97" t="s">
        <v>11</v>
      </c>
      <c r="G121" s="100">
        <v>1</v>
      </c>
      <c r="H121" s="101">
        <v>6.4999999999999997E-3</v>
      </c>
      <c r="I121" s="93" t="s">
        <v>20</v>
      </c>
      <c r="J121" s="102">
        <v>45785</v>
      </c>
      <c r="K121" s="87" t="s">
        <v>1565</v>
      </c>
      <c r="L121" s="105" t="s">
        <v>1566</v>
      </c>
    </row>
    <row r="122" spans="1:12">
      <c r="A122" s="37">
        <v>1274</v>
      </c>
      <c r="B122" s="85" t="s">
        <v>35</v>
      </c>
      <c r="C122" s="85">
        <v>17391</v>
      </c>
      <c r="D122" s="90">
        <v>45778</v>
      </c>
      <c r="E122" s="90">
        <v>45808</v>
      </c>
      <c r="F122" s="97" t="s">
        <v>11</v>
      </c>
      <c r="G122" s="100">
        <v>30000</v>
      </c>
      <c r="H122" s="101">
        <v>2.5000000000000001E-3</v>
      </c>
      <c r="I122" s="93" t="s">
        <v>18</v>
      </c>
      <c r="J122" s="102">
        <v>45785</v>
      </c>
      <c r="K122" s="87" t="s">
        <v>1567</v>
      </c>
      <c r="L122" s="105" t="s">
        <v>1786</v>
      </c>
    </row>
    <row r="123" spans="1:12">
      <c r="A123" s="37">
        <v>1275</v>
      </c>
      <c r="B123" s="85" t="s">
        <v>35</v>
      </c>
      <c r="C123" s="85">
        <v>15664</v>
      </c>
      <c r="D123" s="90">
        <v>45778</v>
      </c>
      <c r="E123" s="90">
        <v>45808</v>
      </c>
      <c r="F123" s="97" t="s">
        <v>11</v>
      </c>
      <c r="G123" s="86">
        <v>50000</v>
      </c>
      <c r="H123" s="98">
        <v>2.5000000000000001E-3</v>
      </c>
      <c r="I123" s="93" t="s">
        <v>18</v>
      </c>
      <c r="J123" s="94">
        <v>45785</v>
      </c>
      <c r="K123" s="87" t="s">
        <v>1568</v>
      </c>
      <c r="L123" s="105" t="s">
        <v>1792</v>
      </c>
    </row>
    <row r="124" spans="1:12" ht="25.5">
      <c r="A124" s="37">
        <v>1276</v>
      </c>
      <c r="B124" s="85" t="s">
        <v>35</v>
      </c>
      <c r="C124" s="85" t="s">
        <v>916</v>
      </c>
      <c r="D124" s="90">
        <v>45778</v>
      </c>
      <c r="E124" s="90">
        <v>45808</v>
      </c>
      <c r="F124" s="97" t="s">
        <v>11</v>
      </c>
      <c r="G124" s="100">
        <v>100000</v>
      </c>
      <c r="H124" s="101">
        <v>3.0000000000000001E-3</v>
      </c>
      <c r="I124" s="93" t="s">
        <v>18</v>
      </c>
      <c r="J124" s="102">
        <v>45785</v>
      </c>
      <c r="K124" s="87" t="s">
        <v>1280</v>
      </c>
      <c r="L124" s="105" t="s">
        <v>1791</v>
      </c>
    </row>
    <row r="125" spans="1:12">
      <c r="A125" s="37">
        <v>1277</v>
      </c>
      <c r="B125" s="85" t="s">
        <v>35</v>
      </c>
      <c r="C125" s="85">
        <v>5144</v>
      </c>
      <c r="D125" s="90">
        <v>45778</v>
      </c>
      <c r="E125" s="90">
        <v>45808</v>
      </c>
      <c r="F125" s="97" t="s">
        <v>11</v>
      </c>
      <c r="G125" s="86">
        <v>50000</v>
      </c>
      <c r="H125" s="98">
        <v>2.5000000000000001E-3</v>
      </c>
      <c r="I125" s="93" t="s">
        <v>18</v>
      </c>
      <c r="J125" s="94">
        <v>45785</v>
      </c>
      <c r="K125" s="87" t="s">
        <v>1280</v>
      </c>
      <c r="L125" s="105" t="s">
        <v>1569</v>
      </c>
    </row>
    <row r="126" spans="1:12">
      <c r="A126" s="37">
        <v>1278</v>
      </c>
      <c r="B126" s="85" t="s">
        <v>35</v>
      </c>
      <c r="C126" s="85">
        <v>5146</v>
      </c>
      <c r="D126" s="90">
        <v>45778</v>
      </c>
      <c r="E126" s="90">
        <v>45808</v>
      </c>
      <c r="F126" s="97" t="s">
        <v>11</v>
      </c>
      <c r="G126" s="86">
        <v>100000</v>
      </c>
      <c r="H126" s="98">
        <v>3.0000000000000001E-3</v>
      </c>
      <c r="I126" s="93" t="s">
        <v>18</v>
      </c>
      <c r="J126" s="94">
        <v>45785</v>
      </c>
      <c r="K126" s="87" t="s">
        <v>1280</v>
      </c>
      <c r="L126" s="105" t="s">
        <v>1570</v>
      </c>
    </row>
    <row r="127" spans="1:12">
      <c r="A127" s="37">
        <v>1279</v>
      </c>
      <c r="B127" s="85" t="s">
        <v>35</v>
      </c>
      <c r="C127" s="85">
        <v>15664</v>
      </c>
      <c r="D127" s="90">
        <v>45778</v>
      </c>
      <c r="E127" s="90">
        <v>45808</v>
      </c>
      <c r="F127" s="97" t="s">
        <v>11</v>
      </c>
      <c r="G127" s="86">
        <v>50000</v>
      </c>
      <c r="H127" s="98">
        <v>2.5000000000000001E-3</v>
      </c>
      <c r="I127" s="93" t="s">
        <v>18</v>
      </c>
      <c r="J127" s="94">
        <v>45793</v>
      </c>
      <c r="K127" s="87" t="s">
        <v>1280</v>
      </c>
      <c r="L127" s="105" t="s">
        <v>1679</v>
      </c>
    </row>
    <row r="128" spans="1:12">
      <c r="A128" s="37">
        <v>1280</v>
      </c>
      <c r="B128" s="85" t="s">
        <v>35</v>
      </c>
      <c r="C128" s="85">
        <v>16457</v>
      </c>
      <c r="D128" s="90">
        <v>45778</v>
      </c>
      <c r="E128" s="90">
        <v>45808</v>
      </c>
      <c r="F128" s="97" t="s">
        <v>11</v>
      </c>
      <c r="G128" s="100">
        <v>300000</v>
      </c>
      <c r="H128" s="101">
        <v>5.0000000000000001E-3</v>
      </c>
      <c r="I128" s="93" t="s">
        <v>39</v>
      </c>
      <c r="J128" s="102">
        <v>45792</v>
      </c>
      <c r="K128" s="87" t="s">
        <v>1576</v>
      </c>
      <c r="L128" s="105" t="s">
        <v>1608</v>
      </c>
    </row>
    <row r="129" spans="1:12">
      <c r="A129" s="37">
        <v>1281</v>
      </c>
      <c r="B129" s="85" t="s">
        <v>35</v>
      </c>
      <c r="C129" s="85">
        <v>16457</v>
      </c>
      <c r="D129" s="90">
        <v>45778</v>
      </c>
      <c r="E129" s="90">
        <v>45808</v>
      </c>
      <c r="F129" s="97" t="s">
        <v>11</v>
      </c>
      <c r="G129" s="100">
        <v>300000</v>
      </c>
      <c r="H129" s="101">
        <v>5.0000000000000001E-3</v>
      </c>
      <c r="I129" s="93" t="s">
        <v>39</v>
      </c>
      <c r="J129" s="102">
        <v>45792</v>
      </c>
      <c r="K129" s="87" t="s">
        <v>1576</v>
      </c>
      <c r="L129" s="105" t="s">
        <v>1609</v>
      </c>
    </row>
    <row r="130" spans="1:12">
      <c r="A130" s="37">
        <v>1282</v>
      </c>
      <c r="B130" s="85" t="s">
        <v>35</v>
      </c>
      <c r="C130" s="85">
        <v>16457</v>
      </c>
      <c r="D130" s="90">
        <v>45778</v>
      </c>
      <c r="E130" s="90">
        <v>45808</v>
      </c>
      <c r="F130" s="97" t="s">
        <v>11</v>
      </c>
      <c r="G130" s="86">
        <v>300000</v>
      </c>
      <c r="H130" s="98">
        <v>5.0000000000000001E-3</v>
      </c>
      <c r="I130" s="93" t="s">
        <v>39</v>
      </c>
      <c r="J130" s="94">
        <v>45792</v>
      </c>
      <c r="K130" s="87" t="s">
        <v>1576</v>
      </c>
      <c r="L130" s="105" t="s">
        <v>1572</v>
      </c>
    </row>
    <row r="131" spans="1:12">
      <c r="A131" s="37">
        <v>1283</v>
      </c>
      <c r="B131" s="85" t="s">
        <v>35</v>
      </c>
      <c r="C131" s="85">
        <v>16457</v>
      </c>
      <c r="D131" s="90">
        <v>45778</v>
      </c>
      <c r="E131" s="90">
        <v>45808</v>
      </c>
      <c r="F131" s="97" t="s">
        <v>11</v>
      </c>
      <c r="G131" s="100">
        <v>300000</v>
      </c>
      <c r="H131" s="101">
        <v>5.0000000000000001E-3</v>
      </c>
      <c r="I131" s="93" t="s">
        <v>39</v>
      </c>
      <c r="J131" s="102">
        <v>45792</v>
      </c>
      <c r="K131" s="87" t="s">
        <v>1576</v>
      </c>
      <c r="L131" s="105" t="s">
        <v>1610</v>
      </c>
    </row>
    <row r="132" spans="1:12">
      <c r="A132" s="37">
        <v>1284</v>
      </c>
      <c r="B132" s="85" t="s">
        <v>35</v>
      </c>
      <c r="C132" s="85">
        <v>16446</v>
      </c>
      <c r="D132" s="90">
        <v>45778</v>
      </c>
      <c r="E132" s="90">
        <v>45808</v>
      </c>
      <c r="F132" s="97" t="s">
        <v>11</v>
      </c>
      <c r="G132" s="86">
        <v>0.01</v>
      </c>
      <c r="H132" s="98">
        <v>1.7999999999999999E-2</v>
      </c>
      <c r="I132" s="93" t="s">
        <v>48</v>
      </c>
      <c r="J132" s="94">
        <v>45792</v>
      </c>
      <c r="K132" s="87" t="s">
        <v>1577</v>
      </c>
      <c r="L132" s="105" t="s">
        <v>1578</v>
      </c>
    </row>
    <row r="133" spans="1:12">
      <c r="A133" s="37">
        <v>1285</v>
      </c>
      <c r="B133" s="85" t="s">
        <v>35</v>
      </c>
      <c r="C133" s="85">
        <v>16446</v>
      </c>
      <c r="D133" s="90">
        <v>45778</v>
      </c>
      <c r="E133" s="90">
        <v>45808</v>
      </c>
      <c r="F133" s="97" t="s">
        <v>11</v>
      </c>
      <c r="G133" s="100">
        <v>30000</v>
      </c>
      <c r="H133" s="101">
        <v>2.5999999999999999E-3</v>
      </c>
      <c r="I133" s="93" t="s">
        <v>48</v>
      </c>
      <c r="J133" s="102">
        <v>45792</v>
      </c>
      <c r="K133" s="87" t="s">
        <v>1579</v>
      </c>
      <c r="L133" s="105" t="s">
        <v>1787</v>
      </c>
    </row>
    <row r="134" spans="1:12" ht="25.5">
      <c r="A134" s="37">
        <v>1286</v>
      </c>
      <c r="B134" s="85" t="s">
        <v>35</v>
      </c>
      <c r="C134" s="85">
        <v>15692</v>
      </c>
      <c r="D134" s="90">
        <v>45778</v>
      </c>
      <c r="E134" s="90">
        <v>45808</v>
      </c>
      <c r="F134" s="97" t="s">
        <v>11</v>
      </c>
      <c r="G134" s="100">
        <v>0.01</v>
      </c>
      <c r="H134" s="101" t="s">
        <v>1581</v>
      </c>
      <c r="I134" s="93" t="s">
        <v>95</v>
      </c>
      <c r="J134" s="102">
        <v>45792</v>
      </c>
      <c r="K134" s="87" t="s">
        <v>1580</v>
      </c>
      <c r="L134" s="105" t="s">
        <v>1788</v>
      </c>
    </row>
    <row r="135" spans="1:12">
      <c r="A135" s="37">
        <v>1287</v>
      </c>
      <c r="B135" s="85" t="s">
        <v>35</v>
      </c>
      <c r="C135" s="85">
        <v>17401</v>
      </c>
      <c r="D135" s="90">
        <v>45778</v>
      </c>
      <c r="E135" s="90">
        <v>45808</v>
      </c>
      <c r="F135" s="97" t="s">
        <v>11</v>
      </c>
      <c r="G135" s="100">
        <v>0.01</v>
      </c>
      <c r="H135" s="101">
        <v>3.0000000000000001E-3</v>
      </c>
      <c r="I135" s="93" t="s">
        <v>95</v>
      </c>
      <c r="J135" s="102">
        <v>45792</v>
      </c>
      <c r="K135" s="87" t="s">
        <v>1583</v>
      </c>
      <c r="L135" s="105" t="s">
        <v>76</v>
      </c>
    </row>
    <row r="136" spans="1:12">
      <c r="A136" s="37">
        <v>1288</v>
      </c>
      <c r="B136" s="85" t="s">
        <v>35</v>
      </c>
      <c r="C136" s="85">
        <v>14291</v>
      </c>
      <c r="D136" s="90">
        <v>45778</v>
      </c>
      <c r="E136" s="90">
        <v>45808</v>
      </c>
      <c r="F136" s="97" t="s">
        <v>11</v>
      </c>
      <c r="G136" s="100">
        <v>0.01</v>
      </c>
      <c r="H136" s="101">
        <v>2.5000000000000001E-3</v>
      </c>
      <c r="I136" s="93" t="s">
        <v>95</v>
      </c>
      <c r="J136" s="102">
        <v>45792</v>
      </c>
      <c r="K136" s="87" t="s">
        <v>1584</v>
      </c>
      <c r="L136" s="105" t="s">
        <v>76</v>
      </c>
    </row>
    <row r="137" spans="1:12">
      <c r="A137" s="37">
        <v>1289</v>
      </c>
      <c r="B137" s="85" t="s">
        <v>35</v>
      </c>
      <c r="C137" s="85">
        <v>4097</v>
      </c>
      <c r="D137" s="90">
        <v>45778</v>
      </c>
      <c r="E137" s="90">
        <v>45808</v>
      </c>
      <c r="F137" s="97" t="s">
        <v>11</v>
      </c>
      <c r="G137" s="100">
        <v>10000</v>
      </c>
      <c r="H137" s="101">
        <v>3.0000000000000001E-3</v>
      </c>
      <c r="I137" s="93" t="s">
        <v>95</v>
      </c>
      <c r="J137" s="102">
        <v>45792</v>
      </c>
      <c r="K137" s="87" t="s">
        <v>1585</v>
      </c>
      <c r="L137" s="105" t="s">
        <v>1586</v>
      </c>
    </row>
    <row r="138" spans="1:12">
      <c r="A138" s="37">
        <v>1290</v>
      </c>
      <c r="B138" s="85" t="s">
        <v>35</v>
      </c>
      <c r="C138" s="85">
        <v>13128</v>
      </c>
      <c r="D138" s="90">
        <v>45778</v>
      </c>
      <c r="E138" s="90">
        <v>45808</v>
      </c>
      <c r="F138" s="97" t="s">
        <v>11</v>
      </c>
      <c r="G138" s="100">
        <v>0.01</v>
      </c>
      <c r="H138" s="101">
        <v>3.0000000000000001E-3</v>
      </c>
      <c r="I138" s="93" t="s">
        <v>95</v>
      </c>
      <c r="J138" s="102">
        <v>45792</v>
      </c>
      <c r="K138" s="87" t="s">
        <v>1587</v>
      </c>
      <c r="L138" s="105" t="s">
        <v>76</v>
      </c>
    </row>
    <row r="139" spans="1:12">
      <c r="A139" s="37">
        <v>1291</v>
      </c>
      <c r="B139" s="85" t="s">
        <v>35</v>
      </c>
      <c r="C139" s="85">
        <v>8856</v>
      </c>
      <c r="D139" s="90">
        <v>45778</v>
      </c>
      <c r="E139" s="90">
        <v>45869</v>
      </c>
      <c r="F139" s="97" t="s">
        <v>11</v>
      </c>
      <c r="G139" s="86">
        <v>200000</v>
      </c>
      <c r="H139" s="98">
        <v>5.0000000000000001E-3</v>
      </c>
      <c r="I139" s="93" t="s">
        <v>17</v>
      </c>
      <c r="J139" s="94">
        <v>45792</v>
      </c>
      <c r="K139" s="87" t="s">
        <v>1588</v>
      </c>
      <c r="L139" s="105" t="s">
        <v>1589</v>
      </c>
    </row>
    <row r="140" spans="1:12">
      <c r="A140" s="37">
        <v>1292</v>
      </c>
      <c r="B140" s="85" t="s">
        <v>35</v>
      </c>
      <c r="C140" s="85">
        <v>1532</v>
      </c>
      <c r="D140" s="90">
        <v>45778</v>
      </c>
      <c r="E140" s="90">
        <v>45808</v>
      </c>
      <c r="F140" s="97" t="s">
        <v>11</v>
      </c>
      <c r="G140" s="100">
        <v>1</v>
      </c>
      <c r="H140" s="101">
        <v>5.0000000000000001E-3</v>
      </c>
      <c r="I140" s="93" t="s">
        <v>29</v>
      </c>
      <c r="J140" s="102">
        <v>45792</v>
      </c>
      <c r="K140" s="87" t="s">
        <v>1590</v>
      </c>
      <c r="L140" s="105" t="s">
        <v>136</v>
      </c>
    </row>
    <row r="141" spans="1:12">
      <c r="A141" s="37">
        <v>1293</v>
      </c>
      <c r="B141" s="85" t="s">
        <v>35</v>
      </c>
      <c r="C141" s="85">
        <v>1452</v>
      </c>
      <c r="D141" s="90">
        <v>45778</v>
      </c>
      <c r="E141" s="90">
        <v>45808</v>
      </c>
      <c r="F141" s="97" t="s">
        <v>11</v>
      </c>
      <c r="G141" s="100">
        <v>300000</v>
      </c>
      <c r="H141" s="101">
        <v>1E-3</v>
      </c>
      <c r="I141" s="93" t="s">
        <v>17</v>
      </c>
      <c r="J141" s="102">
        <v>45792</v>
      </c>
      <c r="K141" s="87" t="s">
        <v>1591</v>
      </c>
      <c r="L141" s="105" t="s">
        <v>1611</v>
      </c>
    </row>
    <row r="142" spans="1:12">
      <c r="A142" s="37">
        <v>1294</v>
      </c>
      <c r="B142" s="85" t="s">
        <v>35</v>
      </c>
      <c r="C142" s="85">
        <v>14511</v>
      </c>
      <c r="D142" s="90">
        <v>45778</v>
      </c>
      <c r="E142" s="90">
        <v>45808</v>
      </c>
      <c r="F142" s="97" t="s">
        <v>11</v>
      </c>
      <c r="G142" s="100">
        <v>0.01</v>
      </c>
      <c r="H142" s="101">
        <v>3.0000000000000001E-3</v>
      </c>
      <c r="I142" s="93" t="s">
        <v>95</v>
      </c>
      <c r="J142" s="102">
        <v>45792</v>
      </c>
      <c r="K142" s="87" t="s">
        <v>1592</v>
      </c>
      <c r="L142" s="105" t="s">
        <v>76</v>
      </c>
    </row>
    <row r="143" spans="1:12">
      <c r="A143" s="37">
        <v>1295</v>
      </c>
      <c r="B143" s="85" t="s">
        <v>35</v>
      </c>
      <c r="C143" s="85">
        <v>2838</v>
      </c>
      <c r="D143" s="90">
        <v>45778</v>
      </c>
      <c r="E143" s="90">
        <v>45808</v>
      </c>
      <c r="F143" s="97" t="s">
        <v>11</v>
      </c>
      <c r="G143" s="86">
        <v>1</v>
      </c>
      <c r="H143" s="98">
        <v>0.01</v>
      </c>
      <c r="I143" s="93" t="s">
        <v>29</v>
      </c>
      <c r="J143" s="94">
        <v>45792</v>
      </c>
      <c r="K143" s="87" t="s">
        <v>937</v>
      </c>
      <c r="L143" s="105" t="s">
        <v>938</v>
      </c>
    </row>
    <row r="144" spans="1:12">
      <c r="A144" s="37">
        <v>1296</v>
      </c>
      <c r="B144" s="85" t="s">
        <v>35</v>
      </c>
      <c r="C144" s="85">
        <v>11301</v>
      </c>
      <c r="D144" s="90">
        <v>45778</v>
      </c>
      <c r="E144" s="90">
        <v>45808</v>
      </c>
      <c r="F144" s="97" t="s">
        <v>11</v>
      </c>
      <c r="G144" s="100">
        <v>0.01</v>
      </c>
      <c r="H144" s="101">
        <v>3.0000000000000001E-3</v>
      </c>
      <c r="I144" s="93" t="s">
        <v>95</v>
      </c>
      <c r="J144" s="102">
        <v>45792</v>
      </c>
      <c r="K144" s="87" t="s">
        <v>1593</v>
      </c>
      <c r="L144" s="105" t="s">
        <v>76</v>
      </c>
    </row>
    <row r="145" spans="1:12">
      <c r="A145" s="37">
        <v>1297</v>
      </c>
      <c r="B145" s="85" t="s">
        <v>35</v>
      </c>
      <c r="C145" s="85">
        <v>17192</v>
      </c>
      <c r="D145" s="90">
        <v>45778</v>
      </c>
      <c r="E145" s="90">
        <v>45808</v>
      </c>
      <c r="F145" s="97" t="s">
        <v>11</v>
      </c>
      <c r="G145" s="100">
        <v>0.01</v>
      </c>
      <c r="H145" s="101">
        <v>3.0000000000000001E-3</v>
      </c>
      <c r="I145" s="93" t="s">
        <v>95</v>
      </c>
      <c r="J145" s="102">
        <v>45792</v>
      </c>
      <c r="K145" s="87" t="s">
        <v>1594</v>
      </c>
      <c r="L145" s="105" t="s">
        <v>76</v>
      </c>
    </row>
    <row r="146" spans="1:12">
      <c r="A146" s="37">
        <v>1298</v>
      </c>
      <c r="B146" s="85" t="s">
        <v>35</v>
      </c>
      <c r="C146" s="85">
        <v>15564</v>
      </c>
      <c r="D146" s="90">
        <v>45778</v>
      </c>
      <c r="E146" s="90">
        <v>45808</v>
      </c>
      <c r="F146" s="97" t="s">
        <v>11</v>
      </c>
      <c r="G146" s="100">
        <v>0.01</v>
      </c>
      <c r="H146" s="101">
        <v>3.0000000000000001E-3</v>
      </c>
      <c r="I146" s="93" t="s">
        <v>95</v>
      </c>
      <c r="J146" s="102">
        <v>45792</v>
      </c>
      <c r="K146" s="87" t="s">
        <v>1595</v>
      </c>
      <c r="L146" s="105" t="s">
        <v>76</v>
      </c>
    </row>
    <row r="147" spans="1:12">
      <c r="A147" s="37">
        <v>1299</v>
      </c>
      <c r="B147" s="85" t="s">
        <v>35</v>
      </c>
      <c r="C147" s="85">
        <v>16578</v>
      </c>
      <c r="D147" s="90">
        <v>45778</v>
      </c>
      <c r="E147" s="90">
        <v>45808</v>
      </c>
      <c r="F147" s="97" t="s">
        <v>11</v>
      </c>
      <c r="G147" s="100">
        <v>0.01</v>
      </c>
      <c r="H147" s="101">
        <v>3.0000000000000001E-3</v>
      </c>
      <c r="I147" s="93" t="s">
        <v>95</v>
      </c>
      <c r="J147" s="102">
        <v>45792</v>
      </c>
      <c r="K147" s="87" t="s">
        <v>1596</v>
      </c>
      <c r="L147" s="105" t="s">
        <v>76</v>
      </c>
    </row>
    <row r="148" spans="1:12">
      <c r="A148" s="37">
        <v>1300</v>
      </c>
      <c r="B148" s="85" t="s">
        <v>35</v>
      </c>
      <c r="C148" s="85">
        <v>16578</v>
      </c>
      <c r="D148" s="90">
        <v>45778</v>
      </c>
      <c r="E148" s="90">
        <v>45808</v>
      </c>
      <c r="F148" s="97" t="s">
        <v>11</v>
      </c>
      <c r="G148" s="86">
        <v>0.01</v>
      </c>
      <c r="H148" s="98">
        <v>3.0000000000000001E-3</v>
      </c>
      <c r="I148" s="93" t="s">
        <v>95</v>
      </c>
      <c r="J148" s="94">
        <v>45792</v>
      </c>
      <c r="K148" s="87" t="s">
        <v>1596</v>
      </c>
      <c r="L148" s="105" t="s">
        <v>1597</v>
      </c>
    </row>
    <row r="149" spans="1:12">
      <c r="A149" s="37">
        <v>1301</v>
      </c>
      <c r="B149" s="85" t="s">
        <v>35</v>
      </c>
      <c r="C149" s="85" t="s">
        <v>1816</v>
      </c>
      <c r="D149" s="90">
        <v>45778</v>
      </c>
      <c r="E149" s="90">
        <v>45808</v>
      </c>
      <c r="F149" s="97" t="s">
        <v>11</v>
      </c>
      <c r="G149" s="100">
        <v>0.01</v>
      </c>
      <c r="H149" s="101">
        <v>3.0000000000000001E-3</v>
      </c>
      <c r="I149" s="93" t="s">
        <v>95</v>
      </c>
      <c r="J149" s="102">
        <v>45792</v>
      </c>
      <c r="K149" s="87" t="s">
        <v>1598</v>
      </c>
      <c r="L149" s="105" t="s">
        <v>76</v>
      </c>
    </row>
    <row r="150" spans="1:12">
      <c r="A150" s="37">
        <v>1302</v>
      </c>
      <c r="B150" s="85" t="s">
        <v>35</v>
      </c>
      <c r="C150" s="85">
        <v>14011</v>
      </c>
      <c r="D150" s="90">
        <v>45778</v>
      </c>
      <c r="E150" s="90">
        <v>45808</v>
      </c>
      <c r="F150" s="97" t="s">
        <v>11</v>
      </c>
      <c r="G150" s="100">
        <v>0.01</v>
      </c>
      <c r="H150" s="101">
        <v>5.0000000000000001E-3</v>
      </c>
      <c r="I150" s="93" t="s">
        <v>95</v>
      </c>
      <c r="J150" s="102">
        <v>45792</v>
      </c>
      <c r="K150" s="87" t="s">
        <v>1599</v>
      </c>
      <c r="L150" s="105" t="s">
        <v>1613</v>
      </c>
    </row>
    <row r="151" spans="1:12">
      <c r="A151" s="37">
        <v>1303</v>
      </c>
      <c r="B151" s="85" t="s">
        <v>35</v>
      </c>
      <c r="C151" s="85">
        <v>14011</v>
      </c>
      <c r="D151" s="90">
        <v>45778</v>
      </c>
      <c r="E151" s="90">
        <v>45808</v>
      </c>
      <c r="F151" s="97" t="s">
        <v>11</v>
      </c>
      <c r="G151" s="86">
        <v>450000</v>
      </c>
      <c r="H151" s="98">
        <v>5.0000000000000001E-3</v>
      </c>
      <c r="I151" s="93" t="s">
        <v>95</v>
      </c>
      <c r="J151" s="94">
        <v>45792</v>
      </c>
      <c r="K151" s="87" t="s">
        <v>1599</v>
      </c>
      <c r="L151" s="105" t="s">
        <v>1600</v>
      </c>
    </row>
    <row r="152" spans="1:12">
      <c r="A152" s="37">
        <v>1304</v>
      </c>
      <c r="B152" s="85" t="s">
        <v>35</v>
      </c>
      <c r="C152" s="85">
        <v>13932</v>
      </c>
      <c r="D152" s="90">
        <v>45778</v>
      </c>
      <c r="E152" s="90">
        <v>45807</v>
      </c>
      <c r="F152" s="97" t="s">
        <v>11</v>
      </c>
      <c r="G152" s="100">
        <v>0.01</v>
      </c>
      <c r="H152" s="101">
        <v>3.0000000000000001E-3</v>
      </c>
      <c r="I152" s="93" t="s">
        <v>95</v>
      </c>
      <c r="J152" s="102">
        <v>45792</v>
      </c>
      <c r="K152" s="87" t="s">
        <v>1601</v>
      </c>
      <c r="L152" s="105" t="s">
        <v>76</v>
      </c>
    </row>
    <row r="153" spans="1:12">
      <c r="A153" s="37">
        <v>1305</v>
      </c>
      <c r="B153" s="85" t="s">
        <v>35</v>
      </c>
      <c r="C153" s="85">
        <v>1577</v>
      </c>
      <c r="D153" s="90">
        <v>45778</v>
      </c>
      <c r="E153" s="90">
        <v>45808</v>
      </c>
      <c r="F153" s="97" t="s">
        <v>11</v>
      </c>
      <c r="G153" s="86">
        <v>100</v>
      </c>
      <c r="H153" s="98">
        <v>3.0000000000000001E-3</v>
      </c>
      <c r="I153" s="93" t="s">
        <v>18</v>
      </c>
      <c r="J153" s="94">
        <v>45793</v>
      </c>
      <c r="K153" s="87" t="s">
        <v>104</v>
      </c>
      <c r="L153" s="105" t="s">
        <v>1476</v>
      </c>
    </row>
    <row r="154" spans="1:12">
      <c r="A154" s="37">
        <v>1306</v>
      </c>
      <c r="B154" s="85" t="s">
        <v>35</v>
      </c>
      <c r="C154" s="85">
        <v>16572</v>
      </c>
      <c r="D154" s="90">
        <v>45778</v>
      </c>
      <c r="E154" s="90">
        <v>45808</v>
      </c>
      <c r="F154" s="97" t="s">
        <v>11</v>
      </c>
      <c r="G154" s="86">
        <v>0.01</v>
      </c>
      <c r="H154" s="98">
        <v>3.0000000000000001E-3</v>
      </c>
      <c r="I154" s="93" t="s">
        <v>12</v>
      </c>
      <c r="J154" s="94">
        <v>45793</v>
      </c>
      <c r="K154" s="87" t="s">
        <v>715</v>
      </c>
      <c r="L154" s="105" t="s">
        <v>1146</v>
      </c>
    </row>
    <row r="155" spans="1:12">
      <c r="A155" s="37">
        <v>1307</v>
      </c>
      <c r="B155" s="85" t="s">
        <v>35</v>
      </c>
      <c r="C155" s="85">
        <v>11937</v>
      </c>
      <c r="D155" s="90">
        <v>45778</v>
      </c>
      <c r="E155" s="90">
        <v>45808</v>
      </c>
      <c r="F155" s="97" t="s">
        <v>11</v>
      </c>
      <c r="G155" s="86">
        <v>0.01</v>
      </c>
      <c r="H155" s="98">
        <v>2E-3</v>
      </c>
      <c r="I155" s="93" t="s">
        <v>46</v>
      </c>
      <c r="J155" s="94">
        <v>45793</v>
      </c>
      <c r="K155" s="87" t="s">
        <v>689</v>
      </c>
      <c r="L155" s="105" t="s">
        <v>1084</v>
      </c>
    </row>
    <row r="156" spans="1:12">
      <c r="A156" s="37">
        <v>1308</v>
      </c>
      <c r="B156" s="85" t="s">
        <v>35</v>
      </c>
      <c r="C156" s="85">
        <v>11937</v>
      </c>
      <c r="D156" s="90">
        <v>45778</v>
      </c>
      <c r="E156" s="90">
        <v>45808</v>
      </c>
      <c r="F156" s="97" t="s">
        <v>11</v>
      </c>
      <c r="G156" s="100">
        <v>0.01</v>
      </c>
      <c r="H156" s="101">
        <v>5.0000000000000001E-3</v>
      </c>
      <c r="I156" s="93" t="s">
        <v>46</v>
      </c>
      <c r="J156" s="102">
        <v>45793</v>
      </c>
      <c r="K156" s="87" t="s">
        <v>689</v>
      </c>
      <c r="L156" s="105" t="s">
        <v>693</v>
      </c>
    </row>
    <row r="157" spans="1:12">
      <c r="A157" s="37">
        <v>1309</v>
      </c>
      <c r="B157" s="85" t="s">
        <v>35</v>
      </c>
      <c r="C157" s="85">
        <v>12021</v>
      </c>
      <c r="D157" s="90">
        <v>45778</v>
      </c>
      <c r="E157" s="90">
        <v>45808</v>
      </c>
      <c r="F157" s="97" t="s">
        <v>11</v>
      </c>
      <c r="G157" s="86">
        <v>0.01</v>
      </c>
      <c r="H157" s="98">
        <v>2E-3</v>
      </c>
      <c r="I157" s="93" t="s">
        <v>46</v>
      </c>
      <c r="J157" s="94">
        <v>45793</v>
      </c>
      <c r="K157" s="87" t="s">
        <v>1602</v>
      </c>
      <c r="L157" s="105" t="s">
        <v>1084</v>
      </c>
    </row>
    <row r="158" spans="1:12">
      <c r="A158" s="37">
        <v>1310</v>
      </c>
      <c r="B158" s="85" t="s">
        <v>35</v>
      </c>
      <c r="C158" s="85">
        <v>12021</v>
      </c>
      <c r="D158" s="90">
        <v>45778</v>
      </c>
      <c r="E158" s="90">
        <v>45808</v>
      </c>
      <c r="F158" s="97" t="s">
        <v>11</v>
      </c>
      <c r="G158" s="100">
        <v>0.01</v>
      </c>
      <c r="H158" s="101">
        <v>5.0000000000000001E-3</v>
      </c>
      <c r="I158" s="93" t="s">
        <v>46</v>
      </c>
      <c r="J158" s="102">
        <v>45793</v>
      </c>
      <c r="K158" s="87" t="s">
        <v>1602</v>
      </c>
      <c r="L158" s="105" t="s">
        <v>693</v>
      </c>
    </row>
    <row r="159" spans="1:12">
      <c r="A159" s="37">
        <v>1311</v>
      </c>
      <c r="B159" s="85" t="s">
        <v>35</v>
      </c>
      <c r="C159" s="85">
        <v>14750</v>
      </c>
      <c r="D159" s="90">
        <v>45778</v>
      </c>
      <c r="E159" s="90">
        <v>45808</v>
      </c>
      <c r="F159" s="97" t="s">
        <v>11</v>
      </c>
      <c r="G159" s="86">
        <v>100</v>
      </c>
      <c r="H159" s="98">
        <v>0.03</v>
      </c>
      <c r="I159" s="93" t="s">
        <v>49</v>
      </c>
      <c r="J159" s="94">
        <v>45785</v>
      </c>
      <c r="K159" s="87" t="s">
        <v>1603</v>
      </c>
      <c r="L159" s="105" t="s">
        <v>1804</v>
      </c>
    </row>
    <row r="160" spans="1:12">
      <c r="A160" s="37">
        <v>1312</v>
      </c>
      <c r="B160" s="85" t="s">
        <v>35</v>
      </c>
      <c r="C160" s="85">
        <v>16153</v>
      </c>
      <c r="D160" s="90">
        <v>45778</v>
      </c>
      <c r="E160" s="90">
        <v>45808</v>
      </c>
      <c r="F160" s="97" t="s">
        <v>11</v>
      </c>
      <c r="G160" s="86">
        <v>100</v>
      </c>
      <c r="H160" s="98">
        <v>1.4999999999999999E-2</v>
      </c>
      <c r="I160" s="93" t="s">
        <v>49</v>
      </c>
      <c r="J160" s="94">
        <v>45785</v>
      </c>
      <c r="K160" s="87" t="s">
        <v>1603</v>
      </c>
      <c r="L160" s="105" t="s">
        <v>1804</v>
      </c>
    </row>
    <row r="161" spans="1:12">
      <c r="A161" s="37">
        <v>1313</v>
      </c>
      <c r="B161" s="85" t="s">
        <v>35</v>
      </c>
      <c r="C161" s="85">
        <v>8437</v>
      </c>
      <c r="D161" s="90">
        <v>45778</v>
      </c>
      <c r="E161" s="90">
        <v>45808</v>
      </c>
      <c r="F161" s="97" t="s">
        <v>11</v>
      </c>
      <c r="G161" s="86">
        <v>100</v>
      </c>
      <c r="H161" s="98">
        <v>0.03</v>
      </c>
      <c r="I161" s="93" t="s">
        <v>49</v>
      </c>
      <c r="J161" s="94">
        <v>45785</v>
      </c>
      <c r="K161" s="87" t="s">
        <v>1603</v>
      </c>
      <c r="L161" s="105" t="s">
        <v>1804</v>
      </c>
    </row>
    <row r="162" spans="1:12">
      <c r="A162" s="37">
        <v>1314</v>
      </c>
      <c r="B162" s="85" t="s">
        <v>35</v>
      </c>
      <c r="C162" s="85">
        <v>12988</v>
      </c>
      <c r="D162" s="90">
        <v>45775</v>
      </c>
      <c r="E162" s="90">
        <v>45808</v>
      </c>
      <c r="F162" s="97" t="s">
        <v>11</v>
      </c>
      <c r="G162" s="86">
        <v>100000</v>
      </c>
      <c r="H162" s="98">
        <v>1E-3</v>
      </c>
      <c r="I162" s="93" t="s">
        <v>41</v>
      </c>
      <c r="J162" s="94">
        <v>45786</v>
      </c>
      <c r="K162" s="87" t="s">
        <v>1604</v>
      </c>
      <c r="L162" s="105" t="s">
        <v>1612</v>
      </c>
    </row>
    <row r="163" spans="1:12">
      <c r="A163" s="37">
        <v>1315</v>
      </c>
      <c r="B163" s="85" t="s">
        <v>35</v>
      </c>
      <c r="C163" s="85">
        <v>14452</v>
      </c>
      <c r="D163" s="90">
        <v>45778</v>
      </c>
      <c r="E163" s="90">
        <v>45808</v>
      </c>
      <c r="F163" s="97" t="s">
        <v>11</v>
      </c>
      <c r="G163" s="86">
        <v>10000</v>
      </c>
      <c r="H163" s="98">
        <v>7.0000000000000001E-3</v>
      </c>
      <c r="I163" s="93" t="s">
        <v>20</v>
      </c>
      <c r="J163" s="94">
        <v>45786</v>
      </c>
      <c r="K163" s="87" t="s">
        <v>994</v>
      </c>
      <c r="L163" s="105" t="s">
        <v>1582</v>
      </c>
    </row>
    <row r="164" spans="1:12">
      <c r="A164" s="37">
        <v>1316</v>
      </c>
      <c r="B164" s="85" t="s">
        <v>35</v>
      </c>
      <c r="C164" s="85">
        <v>4079</v>
      </c>
      <c r="D164" s="90">
        <v>45778</v>
      </c>
      <c r="E164" s="90">
        <v>45808</v>
      </c>
      <c r="F164" s="97" t="s">
        <v>11</v>
      </c>
      <c r="G164" s="86" t="s">
        <v>1607</v>
      </c>
      <c r="H164" s="98" t="s">
        <v>1606</v>
      </c>
      <c r="I164" s="93" t="s">
        <v>17</v>
      </c>
      <c r="J164" s="94">
        <v>45786</v>
      </c>
      <c r="K164" s="87" t="s">
        <v>1605</v>
      </c>
      <c r="L164" s="105" t="s">
        <v>1805</v>
      </c>
    </row>
    <row r="165" spans="1:12">
      <c r="A165" s="37">
        <v>1317</v>
      </c>
      <c r="B165" s="85" t="s">
        <v>35</v>
      </c>
      <c r="C165" s="85">
        <v>11652</v>
      </c>
      <c r="D165" s="90">
        <v>45778</v>
      </c>
      <c r="E165" s="90">
        <v>45808</v>
      </c>
      <c r="F165" s="97" t="s">
        <v>11</v>
      </c>
      <c r="G165" s="86">
        <v>0.01</v>
      </c>
      <c r="H165" s="98">
        <v>0.01</v>
      </c>
      <c r="I165" s="93" t="s">
        <v>46</v>
      </c>
      <c r="J165" s="94">
        <v>45785</v>
      </c>
      <c r="K165" s="87" t="s">
        <v>1614</v>
      </c>
      <c r="L165" s="105" t="s">
        <v>1615</v>
      </c>
    </row>
    <row r="166" spans="1:12">
      <c r="A166" s="37">
        <v>1318</v>
      </c>
      <c r="B166" s="85" t="s">
        <v>35</v>
      </c>
      <c r="C166" s="85">
        <v>10090</v>
      </c>
      <c r="D166" s="90">
        <v>45778</v>
      </c>
      <c r="E166" s="90">
        <v>45808</v>
      </c>
      <c r="F166" s="97" t="s">
        <v>11</v>
      </c>
      <c r="G166" s="86">
        <v>0.01</v>
      </c>
      <c r="H166" s="98">
        <v>0.01</v>
      </c>
      <c r="I166" s="93" t="s">
        <v>46</v>
      </c>
      <c r="J166" s="94">
        <v>45785</v>
      </c>
      <c r="K166" s="87" t="s">
        <v>1614</v>
      </c>
      <c r="L166" s="105" t="s">
        <v>1615</v>
      </c>
    </row>
    <row r="167" spans="1:12">
      <c r="A167" s="37">
        <v>1319</v>
      </c>
      <c r="B167" s="85" t="s">
        <v>35</v>
      </c>
      <c r="C167" s="85">
        <v>14533</v>
      </c>
      <c r="D167" s="90">
        <v>45778</v>
      </c>
      <c r="E167" s="90">
        <v>45808</v>
      </c>
      <c r="F167" s="97" t="s">
        <v>11</v>
      </c>
      <c r="G167" s="86">
        <v>0.01</v>
      </c>
      <c r="H167" s="98">
        <v>0.01</v>
      </c>
      <c r="I167" s="93" t="s">
        <v>46</v>
      </c>
      <c r="J167" s="94">
        <v>45785</v>
      </c>
      <c r="K167" s="87" t="s">
        <v>1614</v>
      </c>
      <c r="L167" s="105" t="s">
        <v>1615</v>
      </c>
    </row>
    <row r="168" spans="1:12">
      <c r="A168" s="37">
        <v>1320</v>
      </c>
      <c r="B168" s="85" t="s">
        <v>35</v>
      </c>
      <c r="C168" s="85">
        <v>4629</v>
      </c>
      <c r="D168" s="90">
        <v>45778</v>
      </c>
      <c r="E168" s="90">
        <v>45808</v>
      </c>
      <c r="F168" s="97" t="s">
        <v>11</v>
      </c>
      <c r="G168" s="86">
        <v>0.01</v>
      </c>
      <c r="H168" s="98">
        <v>0.01</v>
      </c>
      <c r="I168" s="93" t="s">
        <v>46</v>
      </c>
      <c r="J168" s="94">
        <v>45785</v>
      </c>
      <c r="K168" s="87" t="s">
        <v>1614</v>
      </c>
      <c r="L168" s="105" t="s">
        <v>1615</v>
      </c>
    </row>
    <row r="169" spans="1:12">
      <c r="A169" s="37">
        <v>1321</v>
      </c>
      <c r="B169" s="85" t="s">
        <v>35</v>
      </c>
      <c r="C169" s="85">
        <v>4629</v>
      </c>
      <c r="D169" s="90">
        <v>45778</v>
      </c>
      <c r="E169" s="90">
        <v>45808</v>
      </c>
      <c r="F169" s="97" t="s">
        <v>11</v>
      </c>
      <c r="G169" s="86">
        <v>0.01</v>
      </c>
      <c r="H169" s="98">
        <v>5.0000000000000001E-3</v>
      </c>
      <c r="I169" s="93" t="s">
        <v>46</v>
      </c>
      <c r="J169" s="94">
        <v>45785</v>
      </c>
      <c r="K169" s="87" t="s">
        <v>1614</v>
      </c>
      <c r="L169" s="105" t="s">
        <v>1644</v>
      </c>
    </row>
    <row r="170" spans="1:12">
      <c r="A170" s="37">
        <v>1322</v>
      </c>
      <c r="B170" s="85" t="s">
        <v>35</v>
      </c>
      <c r="C170" s="85">
        <v>11652</v>
      </c>
      <c r="D170" s="90">
        <v>45778</v>
      </c>
      <c r="E170" s="90">
        <v>45808</v>
      </c>
      <c r="F170" s="97" t="s">
        <v>11</v>
      </c>
      <c r="G170" s="86">
        <v>0.01</v>
      </c>
      <c r="H170" s="98">
        <v>0.03</v>
      </c>
      <c r="I170" s="93" t="s">
        <v>46</v>
      </c>
      <c r="J170" s="94">
        <v>45785</v>
      </c>
      <c r="K170" s="87" t="s">
        <v>1614</v>
      </c>
      <c r="L170" s="105" t="s">
        <v>1616</v>
      </c>
    </row>
    <row r="171" spans="1:12">
      <c r="A171" s="37">
        <v>1323</v>
      </c>
      <c r="B171" s="85" t="s">
        <v>35</v>
      </c>
      <c r="C171" s="85">
        <v>14533</v>
      </c>
      <c r="D171" s="90">
        <v>45778</v>
      </c>
      <c r="E171" s="90">
        <v>45808</v>
      </c>
      <c r="F171" s="97" t="s">
        <v>11</v>
      </c>
      <c r="G171" s="86">
        <v>0.01</v>
      </c>
      <c r="H171" s="98">
        <v>0.03</v>
      </c>
      <c r="I171" s="93" t="s">
        <v>46</v>
      </c>
      <c r="J171" s="94">
        <v>45785</v>
      </c>
      <c r="K171" s="87" t="s">
        <v>1614</v>
      </c>
      <c r="L171" s="105" t="s">
        <v>1616</v>
      </c>
    </row>
    <row r="172" spans="1:12">
      <c r="A172" s="37">
        <v>1324</v>
      </c>
      <c r="B172" s="85" t="s">
        <v>35</v>
      </c>
      <c r="C172" s="85">
        <v>4629</v>
      </c>
      <c r="D172" s="90">
        <v>45778</v>
      </c>
      <c r="E172" s="90">
        <v>45808</v>
      </c>
      <c r="F172" s="97" t="s">
        <v>11</v>
      </c>
      <c r="G172" s="86">
        <v>0.01</v>
      </c>
      <c r="H172" s="98">
        <v>0.03</v>
      </c>
      <c r="I172" s="93" t="s">
        <v>46</v>
      </c>
      <c r="J172" s="94">
        <v>45785</v>
      </c>
      <c r="K172" s="87" t="s">
        <v>1614</v>
      </c>
      <c r="L172" s="105" t="s">
        <v>1616</v>
      </c>
    </row>
    <row r="173" spans="1:12">
      <c r="A173" s="37">
        <v>1325</v>
      </c>
      <c r="B173" s="85" t="s">
        <v>35</v>
      </c>
      <c r="C173" s="85">
        <v>14722</v>
      </c>
      <c r="D173" s="90">
        <v>45778</v>
      </c>
      <c r="E173" s="90">
        <v>45808</v>
      </c>
      <c r="F173" s="97" t="s">
        <v>11</v>
      </c>
      <c r="G173" s="86">
        <v>10000</v>
      </c>
      <c r="H173" s="98">
        <v>2.5999999999999999E-3</v>
      </c>
      <c r="I173" s="93" t="s">
        <v>25</v>
      </c>
      <c r="J173" s="94">
        <v>45785</v>
      </c>
      <c r="K173" s="87" t="s">
        <v>1617</v>
      </c>
      <c r="L173" s="105" t="s">
        <v>1618</v>
      </c>
    </row>
    <row r="174" spans="1:12">
      <c r="A174" s="37">
        <v>1326</v>
      </c>
      <c r="B174" s="85" t="s">
        <v>35</v>
      </c>
      <c r="C174" s="85">
        <v>14722</v>
      </c>
      <c r="D174" s="90">
        <v>45778</v>
      </c>
      <c r="E174" s="90">
        <v>45808</v>
      </c>
      <c r="F174" s="97" t="s">
        <v>11</v>
      </c>
      <c r="G174" s="86">
        <v>10000</v>
      </c>
      <c r="H174" s="98">
        <v>5.0000000000000001E-3</v>
      </c>
      <c r="I174" s="93" t="s">
        <v>25</v>
      </c>
      <c r="J174" s="94">
        <v>45785</v>
      </c>
      <c r="K174" s="87" t="s">
        <v>1617</v>
      </c>
      <c r="L174" s="105" t="s">
        <v>1619</v>
      </c>
    </row>
    <row r="175" spans="1:12">
      <c r="A175" s="37">
        <v>1327</v>
      </c>
      <c r="B175" s="85" t="s">
        <v>35</v>
      </c>
      <c r="C175" s="85">
        <v>14722</v>
      </c>
      <c r="D175" s="90">
        <v>45778</v>
      </c>
      <c r="E175" s="90">
        <v>45808</v>
      </c>
      <c r="F175" s="97" t="s">
        <v>11</v>
      </c>
      <c r="G175" s="100">
        <v>10000</v>
      </c>
      <c r="H175" s="101">
        <v>7.4999999999999997E-3</v>
      </c>
      <c r="I175" s="93" t="s">
        <v>25</v>
      </c>
      <c r="J175" s="102">
        <v>45785</v>
      </c>
      <c r="K175" s="87" t="s">
        <v>1617</v>
      </c>
      <c r="L175" s="105" t="s">
        <v>1806</v>
      </c>
    </row>
    <row r="176" spans="1:12">
      <c r="A176" s="37">
        <v>1328</v>
      </c>
      <c r="B176" s="85" t="s">
        <v>35</v>
      </c>
      <c r="C176" s="85">
        <v>11390</v>
      </c>
      <c r="D176" s="90">
        <v>45778</v>
      </c>
      <c r="E176" s="90">
        <v>45808</v>
      </c>
      <c r="F176" s="97" t="s">
        <v>11</v>
      </c>
      <c r="G176" s="86">
        <v>10000</v>
      </c>
      <c r="H176" s="98">
        <v>3.0000000000000001E-3</v>
      </c>
      <c r="I176" s="93" t="s">
        <v>25</v>
      </c>
      <c r="J176" s="94">
        <v>45785</v>
      </c>
      <c r="K176" s="87" t="s">
        <v>1617</v>
      </c>
      <c r="L176" s="105" t="s">
        <v>1618</v>
      </c>
    </row>
    <row r="177" spans="1:12">
      <c r="A177" s="37">
        <v>1329</v>
      </c>
      <c r="B177" s="85" t="s">
        <v>35</v>
      </c>
      <c r="C177" s="85">
        <v>11390</v>
      </c>
      <c r="D177" s="90">
        <v>45778</v>
      </c>
      <c r="E177" s="90">
        <v>45808</v>
      </c>
      <c r="F177" s="97" t="s">
        <v>11</v>
      </c>
      <c r="G177" s="100">
        <v>10000</v>
      </c>
      <c r="H177" s="101">
        <v>5.0000000000000001E-3</v>
      </c>
      <c r="I177" s="93" t="s">
        <v>25</v>
      </c>
      <c r="J177" s="102">
        <v>45785</v>
      </c>
      <c r="K177" s="87" t="s">
        <v>1617</v>
      </c>
      <c r="L177" s="105" t="s">
        <v>1807</v>
      </c>
    </row>
    <row r="178" spans="1:12">
      <c r="A178" s="37">
        <v>1330</v>
      </c>
      <c r="B178" s="85" t="s">
        <v>35</v>
      </c>
      <c r="C178" s="85">
        <v>11390</v>
      </c>
      <c r="D178" s="90">
        <v>45778</v>
      </c>
      <c r="E178" s="90">
        <v>45808</v>
      </c>
      <c r="F178" s="97" t="s">
        <v>11</v>
      </c>
      <c r="G178" s="86">
        <v>10000</v>
      </c>
      <c r="H178" s="98">
        <v>5.0000000000000001E-3</v>
      </c>
      <c r="I178" s="93" t="s">
        <v>25</v>
      </c>
      <c r="J178" s="94">
        <v>45785</v>
      </c>
      <c r="K178" s="87" t="s">
        <v>1617</v>
      </c>
      <c r="L178" s="105" t="s">
        <v>1619</v>
      </c>
    </row>
    <row r="179" spans="1:12">
      <c r="A179" s="37">
        <v>1331</v>
      </c>
      <c r="B179" s="85" t="s">
        <v>35</v>
      </c>
      <c r="C179" s="85">
        <v>4353</v>
      </c>
      <c r="D179" s="90">
        <v>45778</v>
      </c>
      <c r="E179" s="90">
        <v>45808</v>
      </c>
      <c r="F179" s="97" t="s">
        <v>11</v>
      </c>
      <c r="G179" s="86">
        <v>10000</v>
      </c>
      <c r="H179" s="98">
        <v>5.0000000000000001E-3</v>
      </c>
      <c r="I179" s="93" t="s">
        <v>25</v>
      </c>
      <c r="J179" s="94">
        <v>45785</v>
      </c>
      <c r="K179" s="87" t="s">
        <v>1617</v>
      </c>
      <c r="L179" s="105" t="s">
        <v>1619</v>
      </c>
    </row>
    <row r="180" spans="1:12">
      <c r="A180" s="37">
        <v>1332</v>
      </c>
      <c r="B180" s="85" t="s">
        <v>35</v>
      </c>
      <c r="C180" s="85">
        <v>4353</v>
      </c>
      <c r="D180" s="90">
        <v>45778</v>
      </c>
      <c r="E180" s="90">
        <v>45808</v>
      </c>
      <c r="F180" s="97" t="s">
        <v>11</v>
      </c>
      <c r="G180" s="100">
        <v>10000</v>
      </c>
      <c r="H180" s="101">
        <v>5.0000000000000001E-3</v>
      </c>
      <c r="I180" s="93" t="s">
        <v>25</v>
      </c>
      <c r="J180" s="102">
        <v>45785</v>
      </c>
      <c r="K180" s="87" t="s">
        <v>1617</v>
      </c>
      <c r="L180" s="105" t="s">
        <v>137</v>
      </c>
    </row>
    <row r="181" spans="1:12">
      <c r="A181" s="37">
        <v>1333</v>
      </c>
      <c r="B181" s="85" t="s">
        <v>35</v>
      </c>
      <c r="C181" s="85" t="s">
        <v>102</v>
      </c>
      <c r="D181" s="90">
        <v>45778</v>
      </c>
      <c r="E181" s="90">
        <v>45808</v>
      </c>
      <c r="F181" s="97" t="s">
        <v>11</v>
      </c>
      <c r="G181" s="86">
        <v>1000</v>
      </c>
      <c r="H181" s="98">
        <v>5.0000000000000001E-3</v>
      </c>
      <c r="I181" s="93" t="s">
        <v>95</v>
      </c>
      <c r="J181" s="94">
        <v>45793</v>
      </c>
      <c r="K181" s="87" t="s">
        <v>1620</v>
      </c>
      <c r="L181" s="105" t="s">
        <v>1809</v>
      </c>
    </row>
    <row r="182" spans="1:12">
      <c r="A182" s="37">
        <v>1334</v>
      </c>
      <c r="B182" s="85" t="s">
        <v>35</v>
      </c>
      <c r="C182" s="85" t="s">
        <v>102</v>
      </c>
      <c r="D182" s="90">
        <v>45778</v>
      </c>
      <c r="E182" s="90">
        <v>45808</v>
      </c>
      <c r="F182" s="97" t="s">
        <v>11</v>
      </c>
      <c r="G182" s="86">
        <v>1000</v>
      </c>
      <c r="H182" s="98">
        <v>0.01</v>
      </c>
      <c r="I182" s="93" t="s">
        <v>95</v>
      </c>
      <c r="J182" s="94">
        <v>45793</v>
      </c>
      <c r="K182" s="87" t="s">
        <v>1620</v>
      </c>
      <c r="L182" s="105" t="s">
        <v>1621</v>
      </c>
    </row>
    <row r="183" spans="1:12">
      <c r="A183" s="37">
        <v>1335</v>
      </c>
      <c r="B183" s="85" t="s">
        <v>35</v>
      </c>
      <c r="C183" s="85">
        <v>16955</v>
      </c>
      <c r="D183" s="90">
        <v>45778</v>
      </c>
      <c r="E183" s="90">
        <v>45808</v>
      </c>
      <c r="F183" s="97" t="s">
        <v>11</v>
      </c>
      <c r="G183" s="100">
        <v>500000</v>
      </c>
      <c r="H183" s="101">
        <v>2E-3</v>
      </c>
      <c r="I183" s="93" t="s">
        <v>13</v>
      </c>
      <c r="J183" s="102">
        <v>45793</v>
      </c>
      <c r="K183" s="87" t="s">
        <v>1622</v>
      </c>
      <c r="L183" s="105" t="s">
        <v>1623</v>
      </c>
    </row>
    <row r="184" spans="1:12">
      <c r="A184" s="37">
        <v>1339</v>
      </c>
      <c r="B184" s="85" t="s">
        <v>35</v>
      </c>
      <c r="C184" s="85" t="s">
        <v>612</v>
      </c>
      <c r="D184" s="90">
        <v>45778</v>
      </c>
      <c r="E184" s="90">
        <v>45808</v>
      </c>
      <c r="F184" s="97" t="s">
        <v>11</v>
      </c>
      <c r="G184" s="86">
        <v>0.1</v>
      </c>
      <c r="H184" s="98">
        <v>0.01</v>
      </c>
      <c r="I184" s="93" t="s">
        <v>27</v>
      </c>
      <c r="J184" s="94">
        <v>45793</v>
      </c>
      <c r="K184" s="87" t="s">
        <v>721</v>
      </c>
      <c r="L184" s="105" t="s">
        <v>1624</v>
      </c>
    </row>
    <row r="185" spans="1:12">
      <c r="A185" s="37">
        <v>1340</v>
      </c>
      <c r="B185" s="85" t="s">
        <v>35</v>
      </c>
      <c r="C185" s="85" t="s">
        <v>612</v>
      </c>
      <c r="D185" s="90">
        <v>45778</v>
      </c>
      <c r="E185" s="90">
        <v>45808</v>
      </c>
      <c r="F185" s="97" t="s">
        <v>11</v>
      </c>
      <c r="G185" s="86">
        <v>0.01</v>
      </c>
      <c r="H185" s="98">
        <v>5.0000000000000001E-3</v>
      </c>
      <c r="I185" s="93" t="s">
        <v>27</v>
      </c>
      <c r="J185" s="94">
        <v>45793</v>
      </c>
      <c r="K185" s="87" t="s">
        <v>721</v>
      </c>
      <c r="L185" s="105" t="s">
        <v>1625</v>
      </c>
    </row>
    <row r="186" spans="1:12">
      <c r="A186" s="37">
        <v>1341</v>
      </c>
      <c r="B186" s="85" t="s">
        <v>35</v>
      </c>
      <c r="C186" s="85">
        <v>17010</v>
      </c>
      <c r="D186" s="90">
        <v>45778</v>
      </c>
      <c r="E186" s="90">
        <v>45808</v>
      </c>
      <c r="F186" s="97" t="s">
        <v>11</v>
      </c>
      <c r="G186" s="100">
        <v>150000</v>
      </c>
      <c r="H186" s="101">
        <v>3.0000000000000001E-3</v>
      </c>
      <c r="I186" s="93" t="s">
        <v>34</v>
      </c>
      <c r="J186" s="102">
        <v>45793</v>
      </c>
      <c r="K186" s="87" t="s">
        <v>1626</v>
      </c>
      <c r="L186" s="105" t="s">
        <v>107</v>
      </c>
    </row>
    <row r="187" spans="1:12">
      <c r="A187" s="37">
        <v>1342</v>
      </c>
      <c r="B187" s="85" t="s">
        <v>35</v>
      </c>
      <c r="C187" s="85">
        <v>3566</v>
      </c>
      <c r="D187" s="90">
        <v>45778</v>
      </c>
      <c r="E187" s="90">
        <v>45808</v>
      </c>
      <c r="F187" s="97" t="s">
        <v>11</v>
      </c>
      <c r="G187" s="86">
        <v>1</v>
      </c>
      <c r="H187" s="98">
        <v>5.0000000000000001E-3</v>
      </c>
      <c r="I187" s="93" t="s">
        <v>20</v>
      </c>
      <c r="J187" s="94">
        <v>45793</v>
      </c>
      <c r="K187" s="87" t="s">
        <v>1627</v>
      </c>
      <c r="L187" s="105" t="s">
        <v>222</v>
      </c>
    </row>
    <row r="188" spans="1:12">
      <c r="A188" s="37">
        <v>1343</v>
      </c>
      <c r="B188" s="85" t="s">
        <v>35</v>
      </c>
      <c r="C188" s="85">
        <v>14910</v>
      </c>
      <c r="D188" s="90">
        <v>45778</v>
      </c>
      <c r="E188" s="90">
        <v>45808</v>
      </c>
      <c r="F188" s="97" t="s">
        <v>11</v>
      </c>
      <c r="G188" s="100">
        <v>200000</v>
      </c>
      <c r="H188" s="101">
        <v>5.0000000000000001E-3</v>
      </c>
      <c r="I188" s="93" t="s">
        <v>20</v>
      </c>
      <c r="J188" s="102">
        <v>45793</v>
      </c>
      <c r="K188" s="87" t="s">
        <v>1628</v>
      </c>
      <c r="L188" s="105" t="s">
        <v>1629</v>
      </c>
    </row>
    <row r="189" spans="1:12">
      <c r="A189" s="37">
        <v>1344</v>
      </c>
      <c r="B189" s="85" t="s">
        <v>35</v>
      </c>
      <c r="C189" s="85">
        <v>14194</v>
      </c>
      <c r="D189" s="90">
        <v>45778</v>
      </c>
      <c r="E189" s="90">
        <v>45808</v>
      </c>
      <c r="F189" s="97" t="s">
        <v>11</v>
      </c>
      <c r="G189" s="100">
        <v>1</v>
      </c>
      <c r="H189" s="101">
        <v>5.0000000000000001E-3</v>
      </c>
      <c r="I189" s="93" t="s">
        <v>20</v>
      </c>
      <c r="J189" s="102">
        <v>45793</v>
      </c>
      <c r="K189" s="87" t="s">
        <v>1630</v>
      </c>
      <c r="L189" s="105" t="s">
        <v>1629</v>
      </c>
    </row>
    <row r="190" spans="1:12">
      <c r="A190" s="37">
        <v>1345</v>
      </c>
      <c r="B190" s="85" t="s">
        <v>35</v>
      </c>
      <c r="C190" s="85">
        <v>15503</v>
      </c>
      <c r="D190" s="90">
        <v>45778</v>
      </c>
      <c r="E190" s="90">
        <v>45808</v>
      </c>
      <c r="F190" s="97" t="s">
        <v>11</v>
      </c>
      <c r="G190" s="100">
        <v>0.01</v>
      </c>
      <c r="H190" s="101">
        <v>7.4999999999999997E-3</v>
      </c>
      <c r="I190" s="93" t="s">
        <v>32</v>
      </c>
      <c r="J190" s="102">
        <v>45793</v>
      </c>
      <c r="K190" s="87" t="s">
        <v>1631</v>
      </c>
      <c r="L190" s="105" t="s">
        <v>1646</v>
      </c>
    </row>
    <row r="191" spans="1:12" ht="51">
      <c r="A191" s="37">
        <v>1346</v>
      </c>
      <c r="B191" s="85" t="s">
        <v>35</v>
      </c>
      <c r="C191" s="85">
        <v>13113</v>
      </c>
      <c r="D191" s="90">
        <v>45778</v>
      </c>
      <c r="E191" s="90">
        <v>45808</v>
      </c>
      <c r="F191" s="97" t="s">
        <v>11</v>
      </c>
      <c r="G191" s="86">
        <v>0.01</v>
      </c>
      <c r="H191" s="98">
        <v>5.0000000000000001E-3</v>
      </c>
      <c r="I191" s="93" t="s">
        <v>34</v>
      </c>
      <c r="J191" s="94">
        <v>45793</v>
      </c>
      <c r="K191" s="87" t="s">
        <v>1632</v>
      </c>
      <c r="L191" s="105" t="s">
        <v>1808</v>
      </c>
    </row>
    <row r="192" spans="1:12">
      <c r="A192" s="37">
        <v>1347</v>
      </c>
      <c r="B192" s="85" t="s">
        <v>35</v>
      </c>
      <c r="C192" s="85">
        <v>13113</v>
      </c>
      <c r="D192" s="90">
        <v>45778</v>
      </c>
      <c r="E192" s="90">
        <v>45808</v>
      </c>
      <c r="F192" s="97" t="s">
        <v>11</v>
      </c>
      <c r="G192" s="86">
        <v>0.01</v>
      </c>
      <c r="H192" s="98">
        <v>0.01</v>
      </c>
      <c r="I192" s="93" t="s">
        <v>34</v>
      </c>
      <c r="J192" s="94">
        <v>45793</v>
      </c>
      <c r="K192" s="87" t="s">
        <v>1632</v>
      </c>
      <c r="L192" s="105" t="s">
        <v>1633</v>
      </c>
    </row>
    <row r="193" spans="1:12">
      <c r="A193" s="37">
        <v>1348</v>
      </c>
      <c r="B193" s="85" t="s">
        <v>35</v>
      </c>
      <c r="C193" s="85">
        <v>15908</v>
      </c>
      <c r="D193" s="90">
        <v>45778</v>
      </c>
      <c r="E193" s="90">
        <v>45808</v>
      </c>
      <c r="F193" s="97" t="s">
        <v>11</v>
      </c>
      <c r="G193" s="86">
        <v>1000</v>
      </c>
      <c r="H193" s="98">
        <v>8.0000000000000002E-3</v>
      </c>
      <c r="I193" s="93" t="s">
        <v>34</v>
      </c>
      <c r="J193" s="94">
        <v>45793</v>
      </c>
      <c r="K193" s="87" t="s">
        <v>1634</v>
      </c>
      <c r="L193" s="105" t="s">
        <v>1379</v>
      </c>
    </row>
    <row r="194" spans="1:12">
      <c r="A194" s="37">
        <v>1349</v>
      </c>
      <c r="B194" s="85" t="s">
        <v>35</v>
      </c>
      <c r="C194" s="85">
        <v>14105</v>
      </c>
      <c r="D194" s="90">
        <v>45778</v>
      </c>
      <c r="E194" s="90">
        <v>45808</v>
      </c>
      <c r="F194" s="97" t="s">
        <v>11</v>
      </c>
      <c r="G194" s="100">
        <v>0.01</v>
      </c>
      <c r="H194" s="101">
        <v>0.02</v>
      </c>
      <c r="I194" s="93" t="s">
        <v>32</v>
      </c>
      <c r="J194" s="102">
        <v>45796</v>
      </c>
      <c r="K194" s="87" t="s">
        <v>1552</v>
      </c>
      <c r="L194" s="105" t="s">
        <v>1635</v>
      </c>
    </row>
    <row r="195" spans="1:12">
      <c r="A195" s="37">
        <v>1350</v>
      </c>
      <c r="B195" s="85" t="s">
        <v>35</v>
      </c>
      <c r="C195" s="85" t="s">
        <v>1637</v>
      </c>
      <c r="D195" s="90">
        <v>45793</v>
      </c>
      <c r="E195" s="90">
        <v>45808</v>
      </c>
      <c r="F195" s="97" t="s">
        <v>11</v>
      </c>
      <c r="G195" s="100">
        <v>0.1</v>
      </c>
      <c r="H195" s="101">
        <v>7.4999999999999997E-3</v>
      </c>
      <c r="I195" s="93" t="s">
        <v>14</v>
      </c>
      <c r="J195" s="102">
        <v>45796</v>
      </c>
      <c r="K195" s="87" t="s">
        <v>1636</v>
      </c>
      <c r="L195" s="105" t="s">
        <v>1645</v>
      </c>
    </row>
    <row r="196" spans="1:12">
      <c r="A196" s="37">
        <v>1351</v>
      </c>
      <c r="B196" s="85" t="s">
        <v>35</v>
      </c>
      <c r="C196" s="85" t="s">
        <v>1719</v>
      </c>
      <c r="D196" s="90">
        <v>45778</v>
      </c>
      <c r="E196" s="90">
        <v>45808</v>
      </c>
      <c r="F196" s="97" t="s">
        <v>11</v>
      </c>
      <c r="G196" s="100">
        <v>80000</v>
      </c>
      <c r="H196" s="101">
        <v>2E-3</v>
      </c>
      <c r="I196" s="93" t="s">
        <v>18</v>
      </c>
      <c r="J196" s="102">
        <v>45796</v>
      </c>
      <c r="K196" s="87" t="s">
        <v>1638</v>
      </c>
      <c r="L196" s="105" t="s">
        <v>1639</v>
      </c>
    </row>
    <row r="197" spans="1:12">
      <c r="A197" s="37">
        <v>1352</v>
      </c>
      <c r="B197" s="85" t="s">
        <v>35</v>
      </c>
      <c r="C197" s="85">
        <v>13007</v>
      </c>
      <c r="D197" s="90">
        <v>45778</v>
      </c>
      <c r="E197" s="90">
        <v>45808</v>
      </c>
      <c r="F197" s="97" t="s">
        <v>11</v>
      </c>
      <c r="G197" s="100">
        <v>0.01</v>
      </c>
      <c r="H197" s="101">
        <v>2.5000000000000001E-3</v>
      </c>
      <c r="I197" s="93" t="s">
        <v>95</v>
      </c>
      <c r="J197" s="102">
        <v>45796</v>
      </c>
      <c r="K197" s="87" t="s">
        <v>1640</v>
      </c>
      <c r="L197" s="105" t="s">
        <v>232</v>
      </c>
    </row>
    <row r="198" spans="1:12">
      <c r="A198" s="37">
        <v>1353</v>
      </c>
      <c r="B198" s="85" t="s">
        <v>35</v>
      </c>
      <c r="C198" s="85">
        <v>16591</v>
      </c>
      <c r="D198" s="90">
        <v>45785</v>
      </c>
      <c r="E198" s="90">
        <v>45808</v>
      </c>
      <c r="F198" s="97" t="s">
        <v>11</v>
      </c>
      <c r="G198" s="100">
        <v>1000</v>
      </c>
      <c r="H198" s="101">
        <v>3.0000000000000001E-3</v>
      </c>
      <c r="I198" s="93" t="s">
        <v>18</v>
      </c>
      <c r="J198" s="102">
        <v>45796</v>
      </c>
      <c r="K198" s="87" t="s">
        <v>1641</v>
      </c>
      <c r="L198" s="105" t="s">
        <v>610</v>
      </c>
    </row>
    <row r="199" spans="1:12">
      <c r="A199" s="37">
        <v>1354</v>
      </c>
      <c r="B199" s="85" t="s">
        <v>35</v>
      </c>
      <c r="C199" s="85">
        <v>13929</v>
      </c>
      <c r="D199" s="90">
        <v>45778</v>
      </c>
      <c r="E199" s="90">
        <v>45808</v>
      </c>
      <c r="F199" s="97" t="s">
        <v>11</v>
      </c>
      <c r="G199" s="100">
        <v>150000</v>
      </c>
      <c r="H199" s="101">
        <v>3.5000000000000001E-3</v>
      </c>
      <c r="I199" s="93" t="s">
        <v>20</v>
      </c>
      <c r="J199" s="102">
        <v>45796</v>
      </c>
      <c r="K199" s="87" t="s">
        <v>1642</v>
      </c>
      <c r="L199" s="105" t="s">
        <v>1643</v>
      </c>
    </row>
    <row r="200" spans="1:12">
      <c r="A200" s="37">
        <v>1355</v>
      </c>
      <c r="B200" s="85" t="s">
        <v>35</v>
      </c>
      <c r="C200" s="85">
        <v>8835</v>
      </c>
      <c r="D200" s="90">
        <v>45778</v>
      </c>
      <c r="E200" s="90">
        <v>45808</v>
      </c>
      <c r="F200" s="97" t="s">
        <v>11</v>
      </c>
      <c r="G200" s="100">
        <v>150000</v>
      </c>
      <c r="H200" s="101">
        <v>3.5000000000000001E-3</v>
      </c>
      <c r="I200" s="93" t="s">
        <v>20</v>
      </c>
      <c r="J200" s="102">
        <v>45786</v>
      </c>
      <c r="K200" s="87" t="s">
        <v>1137</v>
      </c>
      <c r="L200" s="105" t="s">
        <v>1647</v>
      </c>
    </row>
    <row r="201" spans="1:12">
      <c r="A201" s="37">
        <v>1356</v>
      </c>
      <c r="B201" s="85" t="s">
        <v>35</v>
      </c>
      <c r="C201" s="85">
        <v>4723</v>
      </c>
      <c r="D201" s="90">
        <v>45778</v>
      </c>
      <c r="E201" s="90">
        <v>45808</v>
      </c>
      <c r="F201" s="97" t="s">
        <v>11</v>
      </c>
      <c r="G201" s="100">
        <v>80</v>
      </c>
      <c r="H201" s="101">
        <v>2E-3</v>
      </c>
      <c r="I201" s="93" t="s">
        <v>16</v>
      </c>
      <c r="J201" s="102">
        <v>45786</v>
      </c>
      <c r="K201" s="87" t="s">
        <v>1648</v>
      </c>
      <c r="L201" s="105" t="s">
        <v>232</v>
      </c>
    </row>
    <row r="202" spans="1:12">
      <c r="A202" s="37">
        <v>1357</v>
      </c>
      <c r="B202" s="85" t="s">
        <v>35</v>
      </c>
      <c r="C202" s="85">
        <v>16713</v>
      </c>
      <c r="D202" s="90">
        <v>45778</v>
      </c>
      <c r="E202" s="90">
        <v>45808</v>
      </c>
      <c r="F202" s="97" t="s">
        <v>11</v>
      </c>
      <c r="G202" s="100">
        <v>0.01</v>
      </c>
      <c r="H202" s="101">
        <v>0.03</v>
      </c>
      <c r="I202" s="93" t="s">
        <v>13</v>
      </c>
      <c r="J202" s="102">
        <v>45786</v>
      </c>
      <c r="K202" s="87" t="s">
        <v>1649</v>
      </c>
      <c r="L202" s="105" t="s">
        <v>1650</v>
      </c>
    </row>
    <row r="203" spans="1:12">
      <c r="A203" s="37">
        <v>1358</v>
      </c>
      <c r="B203" s="85" t="s">
        <v>35</v>
      </c>
      <c r="C203" s="85">
        <v>16713</v>
      </c>
      <c r="D203" s="90">
        <v>45778</v>
      </c>
      <c r="E203" s="90">
        <v>45808</v>
      </c>
      <c r="F203" s="97" t="s">
        <v>11</v>
      </c>
      <c r="G203" s="100">
        <v>0.01</v>
      </c>
      <c r="H203" s="101" t="s">
        <v>1652</v>
      </c>
      <c r="I203" s="93" t="s">
        <v>13</v>
      </c>
      <c r="J203" s="102">
        <v>45786</v>
      </c>
      <c r="K203" s="87" t="s">
        <v>1649</v>
      </c>
      <c r="L203" s="105" t="s">
        <v>1651</v>
      </c>
    </row>
    <row r="204" spans="1:12">
      <c r="A204" s="37">
        <v>1359</v>
      </c>
      <c r="B204" s="85" t="s">
        <v>35</v>
      </c>
      <c r="C204" s="85">
        <v>15663</v>
      </c>
      <c r="D204" s="90">
        <v>45778</v>
      </c>
      <c r="E204" s="90">
        <v>45808</v>
      </c>
      <c r="F204" s="97" t="s">
        <v>11</v>
      </c>
      <c r="G204" s="100">
        <v>1</v>
      </c>
      <c r="H204" s="101">
        <v>5.0000000000000001E-3</v>
      </c>
      <c r="I204" s="93" t="s">
        <v>19</v>
      </c>
      <c r="J204" s="102">
        <v>45786</v>
      </c>
      <c r="K204" s="87" t="s">
        <v>1653</v>
      </c>
      <c r="L204" s="105" t="s">
        <v>1654</v>
      </c>
    </row>
    <row r="205" spans="1:12" ht="25.5">
      <c r="A205" s="37">
        <v>1360</v>
      </c>
      <c r="B205" s="85" t="s">
        <v>35</v>
      </c>
      <c r="C205" s="85" t="s">
        <v>1702</v>
      </c>
      <c r="D205" s="90">
        <v>45778</v>
      </c>
      <c r="E205" s="90">
        <v>45808</v>
      </c>
      <c r="F205" s="97" t="s">
        <v>11</v>
      </c>
      <c r="G205" s="100">
        <v>100000</v>
      </c>
      <c r="H205" s="101">
        <v>3.0000000000000001E-3</v>
      </c>
      <c r="I205" s="93" t="s">
        <v>18</v>
      </c>
      <c r="J205" s="102">
        <v>45786</v>
      </c>
      <c r="K205" s="87" t="s">
        <v>1655</v>
      </c>
      <c r="L205" s="105" t="s">
        <v>1730</v>
      </c>
    </row>
    <row r="206" spans="1:12">
      <c r="A206" s="37">
        <v>1361</v>
      </c>
      <c r="B206" s="85" t="s">
        <v>35</v>
      </c>
      <c r="C206" s="85" t="s">
        <v>1657</v>
      </c>
      <c r="D206" s="90">
        <v>45778</v>
      </c>
      <c r="E206" s="90">
        <v>45808</v>
      </c>
      <c r="F206" s="97" t="s">
        <v>11</v>
      </c>
      <c r="G206" s="100">
        <v>500000</v>
      </c>
      <c r="H206" s="101">
        <v>5.0000000000000001E-3</v>
      </c>
      <c r="I206" s="93" t="s">
        <v>141</v>
      </c>
      <c r="J206" s="102">
        <v>45786</v>
      </c>
      <c r="K206" s="87" t="s">
        <v>1656</v>
      </c>
      <c r="L206" s="105" t="s">
        <v>1658</v>
      </c>
    </row>
    <row r="207" spans="1:12">
      <c r="A207" s="37">
        <v>1362</v>
      </c>
      <c r="B207" s="85" t="s">
        <v>35</v>
      </c>
      <c r="C207" s="85">
        <v>6869</v>
      </c>
      <c r="D207" s="90">
        <v>45778</v>
      </c>
      <c r="E207" s="90">
        <v>45808</v>
      </c>
      <c r="F207" s="97" t="s">
        <v>11</v>
      </c>
      <c r="G207" s="100">
        <v>500000</v>
      </c>
      <c r="H207" s="101">
        <v>3.0000000000000001E-3</v>
      </c>
      <c r="I207" s="93" t="s">
        <v>18</v>
      </c>
      <c r="J207" s="102">
        <v>45786</v>
      </c>
      <c r="K207" s="87" t="s">
        <v>1659</v>
      </c>
      <c r="L207" s="105" t="s">
        <v>1660</v>
      </c>
    </row>
    <row r="208" spans="1:12">
      <c r="A208" s="37">
        <v>1363</v>
      </c>
      <c r="B208" s="85" t="s">
        <v>35</v>
      </c>
      <c r="C208" s="85">
        <v>16358</v>
      </c>
      <c r="D208" s="90">
        <v>45778</v>
      </c>
      <c r="E208" s="90">
        <v>45808</v>
      </c>
      <c r="F208" s="97" t="s">
        <v>11</v>
      </c>
      <c r="G208" s="100">
        <v>0.01</v>
      </c>
      <c r="H208" s="101">
        <v>6.0000000000000001E-3</v>
      </c>
      <c r="I208" s="93" t="s">
        <v>168</v>
      </c>
      <c r="J208" s="102">
        <v>45793</v>
      </c>
      <c r="K208" s="87" t="s">
        <v>1661</v>
      </c>
      <c r="L208" s="105" t="s">
        <v>232</v>
      </c>
    </row>
    <row r="209" spans="1:12">
      <c r="A209" s="37">
        <v>1364</v>
      </c>
      <c r="B209" s="85" t="s">
        <v>35</v>
      </c>
      <c r="C209" s="85">
        <v>16977</v>
      </c>
      <c r="D209" s="90">
        <v>45791</v>
      </c>
      <c r="E209" s="90">
        <v>45807</v>
      </c>
      <c r="F209" s="97" t="s">
        <v>11</v>
      </c>
      <c r="G209" s="100">
        <v>0.01</v>
      </c>
      <c r="H209" s="101">
        <v>3.5000000000000003E-2</v>
      </c>
      <c r="I209" s="93" t="s">
        <v>168</v>
      </c>
      <c r="J209" s="102">
        <v>45793</v>
      </c>
      <c r="K209" s="87" t="s">
        <v>1662</v>
      </c>
      <c r="L209" s="105" t="s">
        <v>1663</v>
      </c>
    </row>
    <row r="210" spans="1:12">
      <c r="A210" s="37">
        <v>1365</v>
      </c>
      <c r="B210" s="85" t="s">
        <v>35</v>
      </c>
      <c r="C210" s="85">
        <v>15564</v>
      </c>
      <c r="D210" s="90">
        <v>45778</v>
      </c>
      <c r="E210" s="90">
        <v>45807</v>
      </c>
      <c r="F210" s="97" t="s">
        <v>11</v>
      </c>
      <c r="G210" s="100">
        <v>0.01</v>
      </c>
      <c r="H210" s="101">
        <v>3.0000000000000001E-3</v>
      </c>
      <c r="I210" s="93" t="s">
        <v>95</v>
      </c>
      <c r="J210" s="102">
        <v>45793</v>
      </c>
      <c r="K210" s="87" t="s">
        <v>1664</v>
      </c>
      <c r="L210" s="105" t="s">
        <v>1597</v>
      </c>
    </row>
    <row r="211" spans="1:12">
      <c r="A211" s="37">
        <v>1366</v>
      </c>
      <c r="B211" s="85" t="s">
        <v>35</v>
      </c>
      <c r="C211" s="85">
        <v>9286</v>
      </c>
      <c r="D211" s="90">
        <v>45778</v>
      </c>
      <c r="E211" s="90">
        <v>45807</v>
      </c>
      <c r="F211" s="97" t="s">
        <v>11</v>
      </c>
      <c r="G211" s="100">
        <v>1000</v>
      </c>
      <c r="H211" s="101">
        <v>5.0000000000000001E-4</v>
      </c>
      <c r="I211" s="93" t="s">
        <v>18</v>
      </c>
      <c r="J211" s="102">
        <v>45793</v>
      </c>
      <c r="K211" s="87" t="s">
        <v>1665</v>
      </c>
      <c r="L211" s="105" t="s">
        <v>156</v>
      </c>
    </row>
    <row r="212" spans="1:12">
      <c r="A212" s="37">
        <v>1367</v>
      </c>
      <c r="B212" s="85" t="s">
        <v>35</v>
      </c>
      <c r="C212" s="85">
        <v>7769</v>
      </c>
      <c r="D212" s="90">
        <v>45778</v>
      </c>
      <c r="E212" s="90">
        <v>45807</v>
      </c>
      <c r="F212" s="97" t="s">
        <v>11</v>
      </c>
      <c r="G212" s="100">
        <v>1000</v>
      </c>
      <c r="H212" s="101">
        <v>5.0000000000000001E-4</v>
      </c>
      <c r="I212" s="93" t="s">
        <v>18</v>
      </c>
      <c r="J212" s="102">
        <v>45793</v>
      </c>
      <c r="K212" s="87" t="s">
        <v>1665</v>
      </c>
      <c r="L212" s="105" t="s">
        <v>156</v>
      </c>
    </row>
    <row r="213" spans="1:12">
      <c r="A213" s="37">
        <v>1368</v>
      </c>
      <c r="B213" s="85" t="s">
        <v>35</v>
      </c>
      <c r="C213" s="85">
        <v>16588</v>
      </c>
      <c r="D213" s="90">
        <v>45778</v>
      </c>
      <c r="E213" s="90">
        <v>45807</v>
      </c>
      <c r="F213" s="97" t="s">
        <v>11</v>
      </c>
      <c r="G213" s="100">
        <v>1000</v>
      </c>
      <c r="H213" s="101">
        <v>5.0000000000000001E-4</v>
      </c>
      <c r="I213" s="93" t="s">
        <v>18</v>
      </c>
      <c r="J213" s="102">
        <v>45793</v>
      </c>
      <c r="K213" s="87" t="s">
        <v>1665</v>
      </c>
      <c r="L213" s="105" t="s">
        <v>1802</v>
      </c>
    </row>
    <row r="214" spans="1:12">
      <c r="A214" s="37">
        <v>1369</v>
      </c>
      <c r="B214" s="85" t="s">
        <v>35</v>
      </c>
      <c r="C214" s="85">
        <v>1929</v>
      </c>
      <c r="D214" s="90">
        <v>45778</v>
      </c>
      <c r="E214" s="90">
        <v>45807</v>
      </c>
      <c r="F214" s="97" t="s">
        <v>11</v>
      </c>
      <c r="G214" s="100">
        <v>150000</v>
      </c>
      <c r="H214" s="106">
        <v>180</v>
      </c>
      <c r="I214" s="93" t="s">
        <v>18</v>
      </c>
      <c r="J214" s="102">
        <v>45793</v>
      </c>
      <c r="K214" s="87" t="s">
        <v>1665</v>
      </c>
      <c r="L214" s="105" t="s">
        <v>156</v>
      </c>
    </row>
    <row r="215" spans="1:12">
      <c r="A215" s="37">
        <v>1370</v>
      </c>
      <c r="B215" s="85" t="s">
        <v>35</v>
      </c>
      <c r="C215" s="85">
        <v>5614</v>
      </c>
      <c r="D215" s="90">
        <v>45778</v>
      </c>
      <c r="E215" s="90">
        <v>45807</v>
      </c>
      <c r="F215" s="97" t="s">
        <v>11</v>
      </c>
      <c r="G215" s="100">
        <v>1000</v>
      </c>
      <c r="H215" s="101">
        <v>5.0000000000000001E-4</v>
      </c>
      <c r="I215" s="93" t="s">
        <v>18</v>
      </c>
      <c r="J215" s="102">
        <v>45793</v>
      </c>
      <c r="K215" s="87" t="s">
        <v>1665</v>
      </c>
      <c r="L215" s="105" t="s">
        <v>156</v>
      </c>
    </row>
    <row r="216" spans="1:12">
      <c r="A216" s="37">
        <v>1371</v>
      </c>
      <c r="B216" s="85" t="s">
        <v>35</v>
      </c>
      <c r="C216" s="85">
        <v>6312</v>
      </c>
      <c r="D216" s="90">
        <v>45778</v>
      </c>
      <c r="E216" s="90">
        <v>45807</v>
      </c>
      <c r="F216" s="97" t="s">
        <v>11</v>
      </c>
      <c r="G216" s="100">
        <v>200000</v>
      </c>
      <c r="H216" s="107">
        <v>200</v>
      </c>
      <c r="I216" s="93" t="s">
        <v>18</v>
      </c>
      <c r="J216" s="102">
        <v>45793</v>
      </c>
      <c r="K216" s="87" t="s">
        <v>1665</v>
      </c>
      <c r="L216" s="105" t="s">
        <v>156</v>
      </c>
    </row>
    <row r="217" spans="1:12">
      <c r="A217" s="37">
        <v>1372</v>
      </c>
      <c r="B217" s="85" t="s">
        <v>35</v>
      </c>
      <c r="C217" s="85">
        <v>7481</v>
      </c>
      <c r="D217" s="90">
        <v>45778</v>
      </c>
      <c r="E217" s="90">
        <v>45807</v>
      </c>
      <c r="F217" s="97" t="s">
        <v>11</v>
      </c>
      <c r="G217" s="100">
        <v>150000</v>
      </c>
      <c r="H217" s="107">
        <v>180</v>
      </c>
      <c r="I217" s="93" t="s">
        <v>18</v>
      </c>
      <c r="J217" s="102">
        <v>45793</v>
      </c>
      <c r="K217" s="87" t="s">
        <v>1665</v>
      </c>
      <c r="L217" s="105" t="s">
        <v>156</v>
      </c>
    </row>
    <row r="218" spans="1:12">
      <c r="A218" s="37">
        <v>1373</v>
      </c>
      <c r="B218" s="85" t="s">
        <v>35</v>
      </c>
      <c r="C218" s="85">
        <v>6305</v>
      </c>
      <c r="D218" s="90">
        <v>45778</v>
      </c>
      <c r="E218" s="90">
        <v>45807</v>
      </c>
      <c r="F218" s="97" t="s">
        <v>11</v>
      </c>
      <c r="G218" s="100">
        <v>150000</v>
      </c>
      <c r="H218" s="107">
        <v>180</v>
      </c>
      <c r="I218" s="93" t="s">
        <v>18</v>
      </c>
      <c r="J218" s="102">
        <v>45793</v>
      </c>
      <c r="K218" s="87" t="s">
        <v>1665</v>
      </c>
      <c r="L218" s="105" t="s">
        <v>156</v>
      </c>
    </row>
    <row r="219" spans="1:12">
      <c r="A219" s="37">
        <v>1374</v>
      </c>
      <c r="B219" s="85" t="s">
        <v>35</v>
      </c>
      <c r="C219" s="85">
        <v>12153</v>
      </c>
      <c r="D219" s="90">
        <v>45778</v>
      </c>
      <c r="E219" s="90">
        <v>45807</v>
      </c>
      <c r="F219" s="97" t="s">
        <v>11</v>
      </c>
      <c r="G219" s="100">
        <v>100000</v>
      </c>
      <c r="H219" s="107">
        <v>150</v>
      </c>
      <c r="I219" s="93" t="s">
        <v>18</v>
      </c>
      <c r="J219" s="102">
        <v>45793</v>
      </c>
      <c r="K219" s="87" t="s">
        <v>1665</v>
      </c>
      <c r="L219" s="105" t="s">
        <v>156</v>
      </c>
    </row>
    <row r="220" spans="1:12">
      <c r="A220" s="37">
        <v>1375</v>
      </c>
      <c r="B220" s="85" t="s">
        <v>35</v>
      </c>
      <c r="C220" s="85">
        <v>16793</v>
      </c>
      <c r="D220" s="90">
        <v>45778</v>
      </c>
      <c r="E220" s="90">
        <v>45807</v>
      </c>
      <c r="F220" s="97" t="s">
        <v>11</v>
      </c>
      <c r="G220" s="100">
        <v>100000</v>
      </c>
      <c r="H220" s="107">
        <v>150</v>
      </c>
      <c r="I220" s="93" t="s">
        <v>18</v>
      </c>
      <c r="J220" s="102">
        <v>45793</v>
      </c>
      <c r="K220" s="87" t="s">
        <v>1665</v>
      </c>
      <c r="L220" s="105" t="s">
        <v>156</v>
      </c>
    </row>
    <row r="221" spans="1:12">
      <c r="A221" s="37">
        <v>1376</v>
      </c>
      <c r="B221" s="85" t="s">
        <v>35</v>
      </c>
      <c r="C221" s="85">
        <v>6245</v>
      </c>
      <c r="D221" s="90">
        <v>45778</v>
      </c>
      <c r="E221" s="90">
        <v>45807</v>
      </c>
      <c r="F221" s="97" t="s">
        <v>11</v>
      </c>
      <c r="G221" s="100">
        <v>150000</v>
      </c>
      <c r="H221" s="107">
        <v>150</v>
      </c>
      <c r="I221" s="93" t="s">
        <v>18</v>
      </c>
      <c r="J221" s="102">
        <v>45793</v>
      </c>
      <c r="K221" s="87" t="s">
        <v>1665</v>
      </c>
      <c r="L221" s="105" t="s">
        <v>156</v>
      </c>
    </row>
    <row r="222" spans="1:12">
      <c r="A222" s="37">
        <v>1377</v>
      </c>
      <c r="B222" s="85" t="s">
        <v>35</v>
      </c>
      <c r="C222" s="85">
        <v>13676</v>
      </c>
      <c r="D222" s="90">
        <v>45778</v>
      </c>
      <c r="E222" s="90">
        <v>45807</v>
      </c>
      <c r="F222" s="97" t="s">
        <v>11</v>
      </c>
      <c r="G222" s="100">
        <v>150000</v>
      </c>
      <c r="H222" s="107">
        <v>150</v>
      </c>
      <c r="I222" s="93" t="s">
        <v>18</v>
      </c>
      <c r="J222" s="102">
        <v>45793</v>
      </c>
      <c r="K222" s="87" t="s">
        <v>1665</v>
      </c>
      <c r="L222" s="105" t="s">
        <v>156</v>
      </c>
    </row>
    <row r="223" spans="1:12">
      <c r="A223" s="37">
        <v>1378</v>
      </c>
      <c r="B223" s="85" t="s">
        <v>35</v>
      </c>
      <c r="C223" s="85">
        <v>6245</v>
      </c>
      <c r="D223" s="90">
        <v>45778</v>
      </c>
      <c r="E223" s="90">
        <v>45807</v>
      </c>
      <c r="F223" s="97" t="s">
        <v>11</v>
      </c>
      <c r="G223" s="100">
        <v>150000</v>
      </c>
      <c r="H223" s="107">
        <v>200</v>
      </c>
      <c r="I223" s="93" t="s">
        <v>18</v>
      </c>
      <c r="J223" s="102">
        <v>45793</v>
      </c>
      <c r="K223" s="87" t="s">
        <v>1666</v>
      </c>
      <c r="L223" s="105" t="s">
        <v>156</v>
      </c>
    </row>
    <row r="224" spans="1:12">
      <c r="A224" s="37">
        <v>1379</v>
      </c>
      <c r="B224" s="85" t="s">
        <v>35</v>
      </c>
      <c r="C224" s="85">
        <v>13676</v>
      </c>
      <c r="D224" s="90">
        <v>45778</v>
      </c>
      <c r="E224" s="90">
        <v>45807</v>
      </c>
      <c r="F224" s="97" t="s">
        <v>11</v>
      </c>
      <c r="G224" s="100">
        <v>150000</v>
      </c>
      <c r="H224" s="107">
        <v>200</v>
      </c>
      <c r="I224" s="93" t="s">
        <v>18</v>
      </c>
      <c r="J224" s="102">
        <v>45793</v>
      </c>
      <c r="K224" s="87" t="s">
        <v>1666</v>
      </c>
      <c r="L224" s="105" t="s">
        <v>156</v>
      </c>
    </row>
    <row r="225" spans="1:12">
      <c r="A225" s="37">
        <v>1380</v>
      </c>
      <c r="B225" s="85" t="s">
        <v>35</v>
      </c>
      <c r="C225" s="85">
        <v>16462</v>
      </c>
      <c r="D225" s="90">
        <v>45778</v>
      </c>
      <c r="E225" s="90">
        <v>45807</v>
      </c>
      <c r="F225" s="97" t="s">
        <v>11</v>
      </c>
      <c r="G225" s="100">
        <v>70000</v>
      </c>
      <c r="H225" s="107">
        <v>200</v>
      </c>
      <c r="I225" s="93" t="s">
        <v>18</v>
      </c>
      <c r="J225" s="102">
        <v>45793</v>
      </c>
      <c r="K225" s="87" t="s">
        <v>1666</v>
      </c>
      <c r="L225" s="105" t="s">
        <v>156</v>
      </c>
    </row>
    <row r="226" spans="1:12">
      <c r="A226" s="37">
        <v>1381</v>
      </c>
      <c r="B226" s="85" t="s">
        <v>35</v>
      </c>
      <c r="C226" s="85">
        <v>17324</v>
      </c>
      <c r="D226" s="90">
        <v>45778</v>
      </c>
      <c r="E226" s="90">
        <v>45807</v>
      </c>
      <c r="F226" s="97" t="s">
        <v>11</v>
      </c>
      <c r="G226" s="100">
        <v>60000</v>
      </c>
      <c r="H226" s="107">
        <v>200</v>
      </c>
      <c r="I226" s="93" t="s">
        <v>18</v>
      </c>
      <c r="J226" s="102">
        <v>45793</v>
      </c>
      <c r="K226" s="87" t="s">
        <v>1666</v>
      </c>
      <c r="L226" s="105" t="s">
        <v>156</v>
      </c>
    </row>
    <row r="227" spans="1:12">
      <c r="A227" s="37">
        <v>1382</v>
      </c>
      <c r="B227" s="85" t="s">
        <v>35</v>
      </c>
      <c r="C227" s="85">
        <v>8819</v>
      </c>
      <c r="D227" s="90">
        <v>45778</v>
      </c>
      <c r="E227" s="90">
        <v>45807</v>
      </c>
      <c r="F227" s="97" t="s">
        <v>11</v>
      </c>
      <c r="G227" s="100">
        <v>100000</v>
      </c>
      <c r="H227" s="107">
        <v>200</v>
      </c>
      <c r="I227" s="93" t="s">
        <v>18</v>
      </c>
      <c r="J227" s="102">
        <v>45793</v>
      </c>
      <c r="K227" s="87" t="s">
        <v>1666</v>
      </c>
      <c r="L227" s="105" t="s">
        <v>156</v>
      </c>
    </row>
    <row r="228" spans="1:12">
      <c r="A228" s="37">
        <v>1383</v>
      </c>
      <c r="B228" s="85" t="s">
        <v>35</v>
      </c>
      <c r="C228" s="85">
        <v>16671</v>
      </c>
      <c r="D228" s="90">
        <v>45778</v>
      </c>
      <c r="E228" s="90">
        <v>45807</v>
      </c>
      <c r="F228" s="97" t="s">
        <v>11</v>
      </c>
      <c r="G228" s="100">
        <v>50000</v>
      </c>
      <c r="H228" s="107">
        <v>200</v>
      </c>
      <c r="I228" s="93" t="s">
        <v>18</v>
      </c>
      <c r="J228" s="102">
        <v>45793</v>
      </c>
      <c r="K228" s="87" t="s">
        <v>1666</v>
      </c>
      <c r="L228" s="105" t="s">
        <v>156</v>
      </c>
    </row>
    <row r="229" spans="1:12">
      <c r="A229" s="37">
        <v>1384</v>
      </c>
      <c r="B229" s="85" t="s">
        <v>35</v>
      </c>
      <c r="C229" s="85">
        <v>12295</v>
      </c>
      <c r="D229" s="90">
        <v>45778</v>
      </c>
      <c r="E229" s="90">
        <v>45807</v>
      </c>
      <c r="F229" s="97" t="s">
        <v>11</v>
      </c>
      <c r="G229" s="100">
        <v>50000</v>
      </c>
      <c r="H229" s="107">
        <v>200</v>
      </c>
      <c r="I229" s="93" t="s">
        <v>18</v>
      </c>
      <c r="J229" s="102">
        <v>45793</v>
      </c>
      <c r="K229" s="87" t="s">
        <v>1666</v>
      </c>
      <c r="L229" s="105" t="s">
        <v>156</v>
      </c>
    </row>
    <row r="230" spans="1:12">
      <c r="A230" s="37">
        <v>1385</v>
      </c>
      <c r="B230" s="85" t="s">
        <v>35</v>
      </c>
      <c r="C230" s="85">
        <v>17321</v>
      </c>
      <c r="D230" s="90">
        <v>45778</v>
      </c>
      <c r="E230" s="90">
        <v>45807</v>
      </c>
      <c r="F230" s="97" t="s">
        <v>11</v>
      </c>
      <c r="G230" s="100">
        <v>50000</v>
      </c>
      <c r="H230" s="107">
        <v>200</v>
      </c>
      <c r="I230" s="93" t="s">
        <v>18</v>
      </c>
      <c r="J230" s="102">
        <v>45793</v>
      </c>
      <c r="K230" s="87" t="s">
        <v>1666</v>
      </c>
      <c r="L230" s="105" t="s">
        <v>156</v>
      </c>
    </row>
    <row r="231" spans="1:12">
      <c r="A231" s="37">
        <v>1386</v>
      </c>
      <c r="B231" s="85" t="s">
        <v>35</v>
      </c>
      <c r="C231" s="85">
        <v>8151</v>
      </c>
      <c r="D231" s="90">
        <v>45778</v>
      </c>
      <c r="E231" s="90">
        <v>45807</v>
      </c>
      <c r="F231" s="97" t="s">
        <v>11</v>
      </c>
      <c r="G231" s="100">
        <v>100000</v>
      </c>
      <c r="H231" s="107">
        <v>200</v>
      </c>
      <c r="I231" s="93" t="s">
        <v>18</v>
      </c>
      <c r="J231" s="102">
        <v>45793</v>
      </c>
      <c r="K231" s="87" t="s">
        <v>1666</v>
      </c>
      <c r="L231" s="105" t="s">
        <v>156</v>
      </c>
    </row>
    <row r="232" spans="1:12">
      <c r="A232" s="37">
        <v>1387</v>
      </c>
      <c r="B232" s="85" t="s">
        <v>35</v>
      </c>
      <c r="C232" s="85">
        <v>9580</v>
      </c>
      <c r="D232" s="90">
        <v>45778</v>
      </c>
      <c r="E232" s="90">
        <v>45808</v>
      </c>
      <c r="F232" s="97" t="s">
        <v>11</v>
      </c>
      <c r="G232" s="100">
        <v>0.01</v>
      </c>
      <c r="H232" s="101">
        <v>3.0000000000000001E-3</v>
      </c>
      <c r="I232" s="93" t="s">
        <v>95</v>
      </c>
      <c r="J232" s="102">
        <v>45793</v>
      </c>
      <c r="K232" s="87" t="s">
        <v>1669</v>
      </c>
      <c r="L232" s="105" t="s">
        <v>76</v>
      </c>
    </row>
    <row r="233" spans="1:12">
      <c r="A233" s="37">
        <v>1388</v>
      </c>
      <c r="B233" s="85" t="s">
        <v>35</v>
      </c>
      <c r="C233" s="85">
        <v>16783</v>
      </c>
      <c r="D233" s="90">
        <v>45778</v>
      </c>
      <c r="E233" s="90">
        <v>45807</v>
      </c>
      <c r="F233" s="97" t="s">
        <v>11</v>
      </c>
      <c r="G233" s="100">
        <v>0.01</v>
      </c>
      <c r="H233" s="101">
        <v>3.0000000000000001E-3</v>
      </c>
      <c r="I233" s="93" t="s">
        <v>95</v>
      </c>
      <c r="J233" s="102">
        <v>45793</v>
      </c>
      <c r="K233" s="87" t="s">
        <v>1669</v>
      </c>
      <c r="L233" s="105" t="s">
        <v>76</v>
      </c>
    </row>
    <row r="234" spans="1:12">
      <c r="A234" s="37">
        <v>1389</v>
      </c>
      <c r="B234" s="85" t="s">
        <v>35</v>
      </c>
      <c r="C234" s="85">
        <v>16953</v>
      </c>
      <c r="D234" s="90">
        <v>45778</v>
      </c>
      <c r="E234" s="90">
        <v>45807</v>
      </c>
      <c r="F234" s="97" t="s">
        <v>11</v>
      </c>
      <c r="G234" s="100">
        <v>0.01</v>
      </c>
      <c r="H234" s="101">
        <v>3.0000000000000001E-3</v>
      </c>
      <c r="I234" s="93" t="s">
        <v>95</v>
      </c>
      <c r="J234" s="102">
        <v>45793</v>
      </c>
      <c r="K234" s="87" t="s">
        <v>1669</v>
      </c>
      <c r="L234" s="105" t="s">
        <v>76</v>
      </c>
    </row>
    <row r="235" spans="1:12">
      <c r="A235" s="37">
        <v>1390</v>
      </c>
      <c r="B235" s="85" t="s">
        <v>35</v>
      </c>
      <c r="C235" s="85">
        <v>17636</v>
      </c>
      <c r="D235" s="90">
        <v>45778</v>
      </c>
      <c r="E235" s="90">
        <v>45808</v>
      </c>
      <c r="F235" s="97" t="s">
        <v>11</v>
      </c>
      <c r="G235" s="100">
        <v>0.01</v>
      </c>
      <c r="H235" s="101">
        <v>3.0000000000000001E-3</v>
      </c>
      <c r="I235" s="93" t="s">
        <v>95</v>
      </c>
      <c r="J235" s="102">
        <v>45793</v>
      </c>
      <c r="K235" s="87" t="s">
        <v>1669</v>
      </c>
      <c r="L235" s="105" t="s">
        <v>76</v>
      </c>
    </row>
    <row r="236" spans="1:12">
      <c r="A236" s="37">
        <v>1391</v>
      </c>
      <c r="B236" s="85" t="s">
        <v>35</v>
      </c>
      <c r="C236" s="85">
        <v>15516</v>
      </c>
      <c r="D236" s="90">
        <v>45778</v>
      </c>
      <c r="E236" s="90">
        <v>45808</v>
      </c>
      <c r="F236" s="97" t="s">
        <v>11</v>
      </c>
      <c r="G236" s="100">
        <v>0.01</v>
      </c>
      <c r="H236" s="101">
        <v>4.0000000000000001E-3</v>
      </c>
      <c r="I236" s="93" t="s">
        <v>19</v>
      </c>
      <c r="J236" s="102">
        <v>45793</v>
      </c>
      <c r="K236" s="87" t="s">
        <v>1669</v>
      </c>
      <c r="L236" s="105" t="s">
        <v>76</v>
      </c>
    </row>
    <row r="237" spans="1:12">
      <c r="A237" s="37">
        <v>1392</v>
      </c>
      <c r="B237" s="85" t="s">
        <v>35</v>
      </c>
      <c r="C237" s="85">
        <v>15632</v>
      </c>
      <c r="D237" s="90">
        <v>45778</v>
      </c>
      <c r="E237" s="90">
        <v>45808</v>
      </c>
      <c r="F237" s="97" t="s">
        <v>11</v>
      </c>
      <c r="G237" s="100">
        <v>0.01</v>
      </c>
      <c r="H237" s="101">
        <v>3.0000000000000001E-3</v>
      </c>
      <c r="I237" s="93" t="s">
        <v>19</v>
      </c>
      <c r="J237" s="102">
        <v>45793</v>
      </c>
      <c r="K237" s="87" t="s">
        <v>1669</v>
      </c>
      <c r="L237" s="105" t="s">
        <v>76</v>
      </c>
    </row>
    <row r="238" spans="1:12">
      <c r="A238" s="37">
        <v>1393</v>
      </c>
      <c r="B238" s="85" t="s">
        <v>35</v>
      </c>
      <c r="C238" s="85">
        <v>12732</v>
      </c>
      <c r="D238" s="90">
        <v>45778</v>
      </c>
      <c r="E238" s="90">
        <v>45808</v>
      </c>
      <c r="F238" s="97" t="s">
        <v>11</v>
      </c>
      <c r="G238" s="100">
        <v>0.01</v>
      </c>
      <c r="H238" s="101">
        <v>5.0000000000000001E-3</v>
      </c>
      <c r="I238" s="93" t="s">
        <v>29</v>
      </c>
      <c r="J238" s="102">
        <v>45793</v>
      </c>
      <c r="K238" s="87" t="s">
        <v>1669</v>
      </c>
      <c r="L238" s="105" t="s">
        <v>76</v>
      </c>
    </row>
    <row r="239" spans="1:12">
      <c r="A239" s="37">
        <v>1394</v>
      </c>
      <c r="B239" s="85" t="s">
        <v>35</v>
      </c>
      <c r="C239" s="85">
        <v>16892</v>
      </c>
      <c r="D239" s="90">
        <v>45778</v>
      </c>
      <c r="E239" s="90">
        <v>45808</v>
      </c>
      <c r="F239" s="97" t="s">
        <v>11</v>
      </c>
      <c r="G239" s="100">
        <v>0.01</v>
      </c>
      <c r="H239" s="101">
        <v>3.0000000000000001E-3</v>
      </c>
      <c r="I239" s="93" t="s">
        <v>19</v>
      </c>
      <c r="J239" s="102">
        <v>45793</v>
      </c>
      <c r="K239" s="87" t="s">
        <v>1669</v>
      </c>
      <c r="L239" s="105" t="s">
        <v>76</v>
      </c>
    </row>
    <row r="240" spans="1:12">
      <c r="A240" s="37">
        <v>1395</v>
      </c>
      <c r="B240" s="85" t="s">
        <v>35</v>
      </c>
      <c r="C240" s="85">
        <v>11820</v>
      </c>
      <c r="D240" s="90">
        <v>45778</v>
      </c>
      <c r="E240" s="90">
        <v>45808</v>
      </c>
      <c r="F240" s="97" t="s">
        <v>11</v>
      </c>
      <c r="G240" s="100">
        <v>0.01</v>
      </c>
      <c r="H240" s="101">
        <v>5.0000000000000001E-3</v>
      </c>
      <c r="I240" s="93" t="s">
        <v>19</v>
      </c>
      <c r="J240" s="102">
        <v>45793</v>
      </c>
      <c r="K240" s="87" t="s">
        <v>1669</v>
      </c>
      <c r="L240" s="105" t="s">
        <v>76</v>
      </c>
    </row>
    <row r="241" spans="1:12">
      <c r="A241" s="37">
        <v>1396</v>
      </c>
      <c r="B241" s="85" t="s">
        <v>35</v>
      </c>
      <c r="C241" s="85">
        <v>17143</v>
      </c>
      <c r="D241" s="90">
        <v>45778</v>
      </c>
      <c r="E241" s="90">
        <v>45808</v>
      </c>
      <c r="F241" s="97" t="s">
        <v>11</v>
      </c>
      <c r="G241" s="100">
        <v>0.01</v>
      </c>
      <c r="H241" s="101">
        <v>2.5000000000000001E-3</v>
      </c>
      <c r="I241" s="93" t="s">
        <v>19</v>
      </c>
      <c r="J241" s="102">
        <v>45793</v>
      </c>
      <c r="K241" s="87" t="s">
        <v>1669</v>
      </c>
      <c r="L241" s="105" t="s">
        <v>76</v>
      </c>
    </row>
    <row r="242" spans="1:12">
      <c r="A242" s="37">
        <v>1397</v>
      </c>
      <c r="B242" s="85" t="s">
        <v>35</v>
      </c>
      <c r="C242" s="85">
        <v>17051</v>
      </c>
      <c r="D242" s="90">
        <v>45778</v>
      </c>
      <c r="E242" s="90">
        <v>45808</v>
      </c>
      <c r="F242" s="97" t="s">
        <v>11</v>
      </c>
      <c r="G242" s="100">
        <v>0.01</v>
      </c>
      <c r="H242" s="101">
        <v>1.5E-3</v>
      </c>
      <c r="I242" s="93" t="s">
        <v>19</v>
      </c>
      <c r="J242" s="102">
        <v>45793</v>
      </c>
      <c r="K242" s="87" t="s">
        <v>1669</v>
      </c>
      <c r="L242" s="105" t="s">
        <v>1672</v>
      </c>
    </row>
    <row r="243" spans="1:12">
      <c r="A243" s="37">
        <v>1398</v>
      </c>
      <c r="B243" s="85" t="s">
        <v>35</v>
      </c>
      <c r="C243" s="85">
        <v>9248</v>
      </c>
      <c r="D243" s="90">
        <v>45778</v>
      </c>
      <c r="E243" s="90">
        <v>45808</v>
      </c>
      <c r="F243" s="97" t="s">
        <v>11</v>
      </c>
      <c r="G243" s="100">
        <v>0.01</v>
      </c>
      <c r="H243" s="101">
        <v>6.4999999999999997E-3</v>
      </c>
      <c r="I243" s="93" t="s">
        <v>20</v>
      </c>
      <c r="J243" s="102">
        <v>45793</v>
      </c>
      <c r="K243" s="87" t="s">
        <v>1669</v>
      </c>
      <c r="L243" s="105" t="s">
        <v>1673</v>
      </c>
    </row>
    <row r="244" spans="1:12">
      <c r="A244" s="37">
        <v>1399</v>
      </c>
      <c r="B244" s="85" t="s">
        <v>35</v>
      </c>
      <c r="C244" s="85">
        <v>3566</v>
      </c>
      <c r="D244" s="90">
        <v>45778</v>
      </c>
      <c r="E244" s="90">
        <v>45808</v>
      </c>
      <c r="F244" s="97" t="s">
        <v>11</v>
      </c>
      <c r="G244" s="100">
        <v>0.01</v>
      </c>
      <c r="H244" s="101">
        <v>7.0000000000000001E-3</v>
      </c>
      <c r="I244" s="93" t="s">
        <v>20</v>
      </c>
      <c r="J244" s="102">
        <v>45793</v>
      </c>
      <c r="K244" s="87" t="s">
        <v>1669</v>
      </c>
      <c r="L244" s="105" t="s">
        <v>1674</v>
      </c>
    </row>
    <row r="245" spans="1:12">
      <c r="A245" s="37">
        <v>1400</v>
      </c>
      <c r="B245" s="85" t="s">
        <v>35</v>
      </c>
      <c r="C245" s="85">
        <v>9248</v>
      </c>
      <c r="D245" s="90">
        <v>45778</v>
      </c>
      <c r="E245" s="90">
        <v>45808</v>
      </c>
      <c r="F245" s="97" t="s">
        <v>11</v>
      </c>
      <c r="G245" s="100">
        <v>0.01</v>
      </c>
      <c r="H245" s="101">
        <v>5.0000000000000001E-3</v>
      </c>
      <c r="I245" s="93" t="s">
        <v>20</v>
      </c>
      <c r="J245" s="102">
        <v>45793</v>
      </c>
      <c r="K245" s="87" t="s">
        <v>1669</v>
      </c>
      <c r="L245" s="105" t="s">
        <v>1675</v>
      </c>
    </row>
    <row r="246" spans="1:12">
      <c r="A246" s="37">
        <v>1401</v>
      </c>
      <c r="B246" s="85" t="s">
        <v>35</v>
      </c>
      <c r="C246" s="85" t="s">
        <v>1670</v>
      </c>
      <c r="D246" s="90">
        <v>45778</v>
      </c>
      <c r="E246" s="90">
        <v>45808</v>
      </c>
      <c r="F246" s="97" t="s">
        <v>11</v>
      </c>
      <c r="G246" s="100">
        <v>0.01</v>
      </c>
      <c r="H246" s="101">
        <v>2.5000000000000001E-3</v>
      </c>
      <c r="I246" s="93" t="s">
        <v>20</v>
      </c>
      <c r="J246" s="102">
        <v>45793</v>
      </c>
      <c r="K246" s="87" t="s">
        <v>1669</v>
      </c>
      <c r="L246" s="105" t="s">
        <v>1676</v>
      </c>
    </row>
    <row r="247" spans="1:12">
      <c r="A247" s="37">
        <v>1402</v>
      </c>
      <c r="B247" s="85" t="s">
        <v>35</v>
      </c>
      <c r="C247" s="85" t="s">
        <v>1671</v>
      </c>
      <c r="D247" s="90">
        <v>45778</v>
      </c>
      <c r="E247" s="90">
        <v>45808</v>
      </c>
      <c r="F247" s="97" t="s">
        <v>11</v>
      </c>
      <c r="G247" s="100">
        <v>0.01</v>
      </c>
      <c r="H247" s="101">
        <v>7.4999999999999997E-3</v>
      </c>
      <c r="I247" s="93" t="s">
        <v>20</v>
      </c>
      <c r="J247" s="102">
        <v>45793</v>
      </c>
      <c r="K247" s="87" t="s">
        <v>1669</v>
      </c>
      <c r="L247" s="105" t="s">
        <v>1677</v>
      </c>
    </row>
    <row r="248" spans="1:12">
      <c r="A248" s="37">
        <v>1403</v>
      </c>
      <c r="B248" s="85" t="s">
        <v>35</v>
      </c>
      <c r="C248" s="85">
        <v>13669</v>
      </c>
      <c r="D248" s="90">
        <v>45778</v>
      </c>
      <c r="E248" s="90">
        <v>45808</v>
      </c>
      <c r="F248" s="97" t="s">
        <v>11</v>
      </c>
      <c r="G248" s="100">
        <v>0.01</v>
      </c>
      <c r="H248" s="101">
        <v>3.0000000000000001E-3</v>
      </c>
      <c r="I248" s="93" t="s">
        <v>95</v>
      </c>
      <c r="J248" s="102">
        <v>45793</v>
      </c>
      <c r="K248" s="87" t="s">
        <v>1669</v>
      </c>
      <c r="L248" s="105" t="s">
        <v>1672</v>
      </c>
    </row>
    <row r="249" spans="1:12">
      <c r="A249" s="37">
        <v>1404</v>
      </c>
      <c r="B249" s="85" t="s">
        <v>35</v>
      </c>
      <c r="C249" s="85">
        <v>6905</v>
      </c>
      <c r="D249" s="90">
        <v>45778</v>
      </c>
      <c r="E249" s="90">
        <v>45808</v>
      </c>
      <c r="F249" s="97" t="s">
        <v>11</v>
      </c>
      <c r="G249" s="100">
        <v>0.01</v>
      </c>
      <c r="H249" s="101">
        <v>1.23E-2</v>
      </c>
      <c r="I249" s="93" t="s">
        <v>17</v>
      </c>
      <c r="J249" s="102">
        <v>45793</v>
      </c>
      <c r="K249" s="87" t="s">
        <v>1669</v>
      </c>
      <c r="L249" s="105" t="s">
        <v>1678</v>
      </c>
    </row>
    <row r="250" spans="1:12">
      <c r="A250" s="37">
        <v>1405</v>
      </c>
      <c r="B250" s="85" t="s">
        <v>35</v>
      </c>
      <c r="C250" s="85">
        <v>14003</v>
      </c>
      <c r="D250" s="90">
        <v>45778</v>
      </c>
      <c r="E250" s="90">
        <v>45808</v>
      </c>
      <c r="F250" s="97" t="s">
        <v>11</v>
      </c>
      <c r="G250" s="100">
        <v>0.01</v>
      </c>
      <c r="H250" s="101">
        <v>5.0000000000000001E-3</v>
      </c>
      <c r="I250" s="93" t="s">
        <v>20</v>
      </c>
      <c r="J250" s="102">
        <v>45793</v>
      </c>
      <c r="K250" s="87" t="s">
        <v>1669</v>
      </c>
      <c r="L250" s="105" t="s">
        <v>76</v>
      </c>
    </row>
    <row r="251" spans="1:12">
      <c r="A251" s="37">
        <v>1406</v>
      </c>
      <c r="B251" s="85" t="s">
        <v>35</v>
      </c>
      <c r="C251" s="85">
        <v>13368</v>
      </c>
      <c r="D251" s="90">
        <v>45778</v>
      </c>
      <c r="E251" s="90">
        <v>45808</v>
      </c>
      <c r="F251" s="97" t="s">
        <v>11</v>
      </c>
      <c r="G251" s="100">
        <v>0.01</v>
      </c>
      <c r="H251" s="101">
        <v>5.0000000000000001E-3</v>
      </c>
      <c r="I251" s="93" t="s">
        <v>32</v>
      </c>
      <c r="J251" s="102">
        <v>45796</v>
      </c>
      <c r="K251" s="87" t="s">
        <v>1682</v>
      </c>
      <c r="L251" s="105" t="s">
        <v>685</v>
      </c>
    </row>
    <row r="252" spans="1:12">
      <c r="A252" s="37">
        <v>1407</v>
      </c>
      <c r="B252" s="85" t="s">
        <v>35</v>
      </c>
      <c r="C252" s="85">
        <v>13368</v>
      </c>
      <c r="D252" s="90">
        <v>45778</v>
      </c>
      <c r="E252" s="90">
        <v>45808</v>
      </c>
      <c r="F252" s="97" t="s">
        <v>11</v>
      </c>
      <c r="G252" s="100">
        <v>0.01</v>
      </c>
      <c r="H252" s="101">
        <v>1.4999999999999999E-2</v>
      </c>
      <c r="I252" s="93" t="s">
        <v>32</v>
      </c>
      <c r="J252" s="102">
        <v>45796</v>
      </c>
      <c r="K252" s="87" t="s">
        <v>1682</v>
      </c>
      <c r="L252" s="105" t="s">
        <v>1813</v>
      </c>
    </row>
    <row r="253" spans="1:12" ht="38.25">
      <c r="A253" s="37">
        <v>1408</v>
      </c>
      <c r="B253" s="85" t="s">
        <v>35</v>
      </c>
      <c r="C253" s="85">
        <v>13368</v>
      </c>
      <c r="D253" s="90">
        <v>45778</v>
      </c>
      <c r="E253" s="90">
        <v>45808</v>
      </c>
      <c r="F253" s="97" t="s">
        <v>11</v>
      </c>
      <c r="G253" s="100">
        <v>0.01</v>
      </c>
      <c r="H253" s="101">
        <v>5.0000000000000001E-3</v>
      </c>
      <c r="I253" s="93" t="s">
        <v>32</v>
      </c>
      <c r="J253" s="102">
        <v>45796</v>
      </c>
      <c r="K253" s="87" t="s">
        <v>1682</v>
      </c>
      <c r="L253" s="105" t="s">
        <v>1814</v>
      </c>
    </row>
    <row r="254" spans="1:12">
      <c r="A254" s="37">
        <v>1409</v>
      </c>
      <c r="B254" s="85" t="s">
        <v>35</v>
      </c>
      <c r="C254" s="85">
        <v>13368</v>
      </c>
      <c r="D254" s="90">
        <v>45778</v>
      </c>
      <c r="E254" s="90">
        <v>45808</v>
      </c>
      <c r="F254" s="97" t="s">
        <v>11</v>
      </c>
      <c r="G254" s="100">
        <v>0.01</v>
      </c>
      <c r="H254" s="101">
        <v>1.4999999999999999E-2</v>
      </c>
      <c r="I254" s="93" t="s">
        <v>32</v>
      </c>
      <c r="J254" s="102">
        <v>45796</v>
      </c>
      <c r="K254" s="87" t="s">
        <v>1682</v>
      </c>
      <c r="L254" s="105" t="s">
        <v>1680</v>
      </c>
    </row>
    <row r="255" spans="1:12">
      <c r="A255" s="37">
        <v>1410</v>
      </c>
      <c r="B255" s="85" t="s">
        <v>35</v>
      </c>
      <c r="C255" s="85" t="s">
        <v>1815</v>
      </c>
      <c r="D255" s="90">
        <v>45778</v>
      </c>
      <c r="E255" s="90">
        <v>45808</v>
      </c>
      <c r="F255" s="97" t="s">
        <v>11</v>
      </c>
      <c r="G255" s="100">
        <v>0.01</v>
      </c>
      <c r="H255" s="101">
        <v>5.0000000000000001E-3</v>
      </c>
      <c r="I255" s="93" t="s">
        <v>32</v>
      </c>
      <c r="J255" s="102">
        <v>45740</v>
      </c>
      <c r="K255" s="87" t="s">
        <v>1067</v>
      </c>
      <c r="L255" s="105" t="s">
        <v>1068</v>
      </c>
    </row>
    <row r="256" spans="1:12">
      <c r="A256" s="37">
        <v>1411</v>
      </c>
      <c r="B256" s="85" t="s">
        <v>35</v>
      </c>
      <c r="C256" s="85">
        <v>16474</v>
      </c>
      <c r="D256" s="90">
        <v>45778</v>
      </c>
      <c r="E256" s="90">
        <v>45808</v>
      </c>
      <c r="F256" s="97" t="s">
        <v>11</v>
      </c>
      <c r="G256" s="100">
        <v>400000</v>
      </c>
      <c r="H256" s="101">
        <v>5.0000000000000001E-3</v>
      </c>
      <c r="I256" s="93" t="s">
        <v>168</v>
      </c>
      <c r="J256" s="102">
        <v>45796</v>
      </c>
      <c r="K256" s="87" t="s">
        <v>1681</v>
      </c>
      <c r="L256" s="105" t="s">
        <v>1683</v>
      </c>
    </row>
    <row r="257" spans="1:12">
      <c r="A257" s="37">
        <v>1412</v>
      </c>
      <c r="B257" s="85" t="s">
        <v>35</v>
      </c>
      <c r="C257" s="85" t="s">
        <v>526</v>
      </c>
      <c r="D257" s="90">
        <v>45778</v>
      </c>
      <c r="E257" s="90">
        <v>45808</v>
      </c>
      <c r="F257" s="97" t="s">
        <v>11</v>
      </c>
      <c r="G257" s="100">
        <v>1000</v>
      </c>
      <c r="H257" s="101">
        <v>1.0500000000000001E-2</v>
      </c>
      <c r="I257" s="93" t="s">
        <v>30</v>
      </c>
      <c r="J257" s="102">
        <v>45796</v>
      </c>
      <c r="K257" s="87" t="s">
        <v>1684</v>
      </c>
      <c r="L257" s="105" t="s">
        <v>1692</v>
      </c>
    </row>
    <row r="258" spans="1:12">
      <c r="A258" s="37">
        <v>1413</v>
      </c>
      <c r="B258" s="85" t="s">
        <v>35</v>
      </c>
      <c r="C258" s="85" t="s">
        <v>526</v>
      </c>
      <c r="D258" s="90">
        <v>45778</v>
      </c>
      <c r="E258" s="90">
        <v>45808</v>
      </c>
      <c r="F258" s="97" t="s">
        <v>11</v>
      </c>
      <c r="G258" s="100">
        <v>1000</v>
      </c>
      <c r="H258" s="101">
        <v>1.4999999999999999E-2</v>
      </c>
      <c r="I258" s="93" t="s">
        <v>30</v>
      </c>
      <c r="J258" s="102">
        <v>45796</v>
      </c>
      <c r="K258" s="87" t="s">
        <v>1684</v>
      </c>
      <c r="L258" s="105" t="s">
        <v>1685</v>
      </c>
    </row>
    <row r="259" spans="1:12">
      <c r="A259" s="37">
        <v>1414</v>
      </c>
      <c r="B259" s="85" t="s">
        <v>35</v>
      </c>
      <c r="C259" s="85" t="s">
        <v>526</v>
      </c>
      <c r="D259" s="90">
        <v>45778</v>
      </c>
      <c r="E259" s="90">
        <v>45808</v>
      </c>
      <c r="F259" s="97" t="s">
        <v>11</v>
      </c>
      <c r="G259" s="100">
        <v>1000</v>
      </c>
      <c r="H259" s="101">
        <v>5.0000000000000001E-3</v>
      </c>
      <c r="I259" s="93" t="s">
        <v>30</v>
      </c>
      <c r="J259" s="102">
        <v>45796</v>
      </c>
      <c r="K259" s="87" t="s">
        <v>1780</v>
      </c>
      <c r="L259" s="105" t="s">
        <v>1686</v>
      </c>
    </row>
    <row r="260" spans="1:12">
      <c r="A260" s="37">
        <v>1415</v>
      </c>
      <c r="B260" s="85" t="s">
        <v>35</v>
      </c>
      <c r="C260" s="85" t="s">
        <v>526</v>
      </c>
      <c r="D260" s="90">
        <v>45778</v>
      </c>
      <c r="E260" s="90">
        <v>45808</v>
      </c>
      <c r="F260" s="97" t="s">
        <v>11</v>
      </c>
      <c r="G260" s="100">
        <v>1000</v>
      </c>
      <c r="H260" s="101">
        <v>2E-3</v>
      </c>
      <c r="I260" s="93" t="s">
        <v>30</v>
      </c>
      <c r="J260" s="102">
        <v>45796</v>
      </c>
      <c r="K260" s="87" t="s">
        <v>1684</v>
      </c>
      <c r="L260" s="105" t="s">
        <v>1687</v>
      </c>
    </row>
    <row r="261" spans="1:12">
      <c r="A261" s="37">
        <v>1416</v>
      </c>
      <c r="B261" s="85" t="s">
        <v>35</v>
      </c>
      <c r="C261" s="85">
        <v>17553</v>
      </c>
      <c r="D261" s="90">
        <v>45792</v>
      </c>
      <c r="E261" s="90">
        <v>45808</v>
      </c>
      <c r="F261" s="97" t="s">
        <v>11</v>
      </c>
      <c r="G261" s="100">
        <v>1000</v>
      </c>
      <c r="H261" s="101">
        <v>5.0000000000000001E-3</v>
      </c>
      <c r="I261" s="93" t="s">
        <v>15</v>
      </c>
      <c r="J261" s="102">
        <v>45796</v>
      </c>
      <c r="K261" s="87" t="s">
        <v>1688</v>
      </c>
      <c r="L261" s="105" t="s">
        <v>1689</v>
      </c>
    </row>
    <row r="262" spans="1:12">
      <c r="A262" s="37">
        <v>1417</v>
      </c>
      <c r="B262" s="85" t="s">
        <v>35</v>
      </c>
      <c r="C262" s="85" t="s">
        <v>1691</v>
      </c>
      <c r="D262" s="90">
        <v>45778</v>
      </c>
      <c r="E262" s="90">
        <v>45808</v>
      </c>
      <c r="F262" s="97" t="s">
        <v>11</v>
      </c>
      <c r="G262" s="100">
        <v>0.01</v>
      </c>
      <c r="H262" s="101">
        <v>5.0000000000000001E-3</v>
      </c>
      <c r="I262" s="93" t="s">
        <v>32</v>
      </c>
      <c r="J262" s="102">
        <v>45796</v>
      </c>
      <c r="K262" s="87" t="s">
        <v>1690</v>
      </c>
      <c r="L262" s="105" t="s">
        <v>1693</v>
      </c>
    </row>
    <row r="263" spans="1:12">
      <c r="A263" s="37">
        <v>1418</v>
      </c>
      <c r="B263" s="85" t="s">
        <v>35</v>
      </c>
      <c r="C263" s="85">
        <v>14938</v>
      </c>
      <c r="D263" s="90">
        <v>45778</v>
      </c>
      <c r="E263" s="90">
        <v>45808</v>
      </c>
      <c r="F263" s="97" t="s">
        <v>11</v>
      </c>
      <c r="G263" s="100">
        <v>200000</v>
      </c>
      <c r="H263" s="101">
        <v>2E-3</v>
      </c>
      <c r="I263" s="93" t="s">
        <v>18</v>
      </c>
      <c r="J263" s="102">
        <v>45797</v>
      </c>
      <c r="K263" s="87" t="s">
        <v>1708</v>
      </c>
      <c r="L263" s="105" t="s">
        <v>826</v>
      </c>
    </row>
    <row r="264" spans="1:12" ht="25.5">
      <c r="A264" s="37">
        <v>1419</v>
      </c>
      <c r="B264" s="85" t="s">
        <v>35</v>
      </c>
      <c r="C264" s="85">
        <v>10473</v>
      </c>
      <c r="D264" s="90">
        <v>45793</v>
      </c>
      <c r="E264" s="90">
        <v>45808</v>
      </c>
      <c r="F264" s="97" t="s">
        <v>11</v>
      </c>
      <c r="G264" s="100">
        <v>300000</v>
      </c>
      <c r="H264" s="101">
        <v>4.0000000000000001E-3</v>
      </c>
      <c r="I264" s="93" t="s">
        <v>16</v>
      </c>
      <c r="J264" s="102">
        <v>45797</v>
      </c>
      <c r="K264" s="87" t="s">
        <v>1709</v>
      </c>
      <c r="L264" s="105" t="s">
        <v>1711</v>
      </c>
    </row>
    <row r="265" spans="1:12">
      <c r="A265" s="37">
        <v>1420</v>
      </c>
      <c r="B265" s="85" t="s">
        <v>35</v>
      </c>
      <c r="C265" s="85">
        <v>16667</v>
      </c>
      <c r="D265" s="90">
        <v>45778</v>
      </c>
      <c r="E265" s="90">
        <v>45808</v>
      </c>
      <c r="F265" s="97" t="s">
        <v>11</v>
      </c>
      <c r="G265" s="100">
        <v>0.01</v>
      </c>
      <c r="H265" s="101">
        <v>1.7999999999999999E-2</v>
      </c>
      <c r="I265" s="93" t="s">
        <v>15</v>
      </c>
      <c r="J265" s="102">
        <v>45798</v>
      </c>
      <c r="K265" s="87" t="s">
        <v>1710</v>
      </c>
      <c r="L265" s="105" t="s">
        <v>1737</v>
      </c>
    </row>
    <row r="266" spans="1:12">
      <c r="A266" s="37">
        <v>1421</v>
      </c>
      <c r="B266" s="85" t="s">
        <v>35</v>
      </c>
      <c r="C266" s="85">
        <v>16667</v>
      </c>
      <c r="D266" s="90">
        <v>45778</v>
      </c>
      <c r="E266" s="90">
        <v>45808</v>
      </c>
      <c r="F266" s="97" t="s">
        <v>11</v>
      </c>
      <c r="G266" s="100">
        <v>0.01</v>
      </c>
      <c r="H266" s="101">
        <v>5.0000000000000001E-3</v>
      </c>
      <c r="I266" s="93" t="s">
        <v>15</v>
      </c>
      <c r="J266" s="102">
        <v>45798</v>
      </c>
      <c r="K266" s="87" t="s">
        <v>1710</v>
      </c>
      <c r="L266" s="105" t="s">
        <v>1817</v>
      </c>
    </row>
    <row r="267" spans="1:12" ht="25.5">
      <c r="A267" s="37">
        <v>1422</v>
      </c>
      <c r="B267" s="85" t="s">
        <v>35</v>
      </c>
      <c r="C267" s="85">
        <v>16667</v>
      </c>
      <c r="D267" s="90">
        <v>45778</v>
      </c>
      <c r="E267" s="90">
        <v>45808</v>
      </c>
      <c r="F267" s="97" t="s">
        <v>11</v>
      </c>
      <c r="G267" s="100">
        <v>0.01</v>
      </c>
      <c r="H267" s="101">
        <v>5.0000000000000001E-3</v>
      </c>
      <c r="I267" s="93" t="s">
        <v>15</v>
      </c>
      <c r="J267" s="102">
        <v>45798</v>
      </c>
      <c r="K267" s="87" t="s">
        <v>1710</v>
      </c>
      <c r="L267" s="105" t="s">
        <v>1738</v>
      </c>
    </row>
    <row r="268" spans="1:12">
      <c r="A268" s="37">
        <v>1423</v>
      </c>
      <c r="B268" s="85" t="s">
        <v>35</v>
      </c>
      <c r="C268" s="85">
        <v>16667</v>
      </c>
      <c r="D268" s="90">
        <v>45778</v>
      </c>
      <c r="E268" s="90">
        <v>45808</v>
      </c>
      <c r="F268" s="97" t="s">
        <v>11</v>
      </c>
      <c r="G268" s="100">
        <v>0.01</v>
      </c>
      <c r="H268" s="101">
        <v>2.75E-2</v>
      </c>
      <c r="I268" s="93" t="s">
        <v>15</v>
      </c>
      <c r="J268" s="102">
        <v>45798</v>
      </c>
      <c r="K268" s="87" t="s">
        <v>1710</v>
      </c>
      <c r="L268" s="105" t="s">
        <v>1048</v>
      </c>
    </row>
    <row r="269" spans="1:12">
      <c r="A269" s="37">
        <v>1424</v>
      </c>
      <c r="B269" s="85" t="s">
        <v>35</v>
      </c>
      <c r="C269" s="85" t="s">
        <v>1713</v>
      </c>
      <c r="D269" s="90">
        <v>45778</v>
      </c>
      <c r="E269" s="90">
        <v>45808</v>
      </c>
      <c r="F269" s="97" t="s">
        <v>11</v>
      </c>
      <c r="G269" s="100">
        <v>100</v>
      </c>
      <c r="H269" s="101">
        <v>2E-3</v>
      </c>
      <c r="I269" s="93" t="s">
        <v>13</v>
      </c>
      <c r="J269" s="102">
        <v>45798</v>
      </c>
      <c r="K269" s="87" t="s">
        <v>1712</v>
      </c>
      <c r="L269" s="105" t="s">
        <v>1715</v>
      </c>
    </row>
    <row r="270" spans="1:12">
      <c r="A270" s="37">
        <v>1425</v>
      </c>
      <c r="B270" s="85" t="s">
        <v>35</v>
      </c>
      <c r="C270" s="85">
        <v>7545</v>
      </c>
      <c r="D270" s="90">
        <v>45778</v>
      </c>
      <c r="E270" s="90">
        <v>45808</v>
      </c>
      <c r="F270" s="97" t="s">
        <v>11</v>
      </c>
      <c r="G270" s="100">
        <v>10</v>
      </c>
      <c r="H270" s="101" t="s">
        <v>1714</v>
      </c>
      <c r="I270" s="93" t="s">
        <v>13</v>
      </c>
      <c r="J270" s="102">
        <v>45798</v>
      </c>
      <c r="K270" s="87" t="s">
        <v>1712</v>
      </c>
      <c r="L270" s="105" t="s">
        <v>1358</v>
      </c>
    </row>
    <row r="271" spans="1:12">
      <c r="A271" s="37">
        <v>1426</v>
      </c>
      <c r="B271" s="85" t="s">
        <v>35</v>
      </c>
      <c r="C271" s="85">
        <v>16024</v>
      </c>
      <c r="D271" s="90">
        <v>45778</v>
      </c>
      <c r="E271" s="90">
        <v>45808</v>
      </c>
      <c r="F271" s="97" t="s">
        <v>11</v>
      </c>
      <c r="G271" s="100">
        <v>100</v>
      </c>
      <c r="H271" s="101">
        <v>4.0000000000000001E-3</v>
      </c>
      <c r="I271" s="93" t="s">
        <v>13</v>
      </c>
      <c r="J271" s="102">
        <v>45798</v>
      </c>
      <c r="K271" s="87" t="s">
        <v>1712</v>
      </c>
      <c r="L271" s="105" t="s">
        <v>203</v>
      </c>
    </row>
    <row r="272" spans="1:12">
      <c r="A272" s="37">
        <v>1427</v>
      </c>
      <c r="B272" s="85" t="s">
        <v>35</v>
      </c>
      <c r="C272" s="85">
        <v>17396</v>
      </c>
      <c r="D272" s="90">
        <v>45778</v>
      </c>
      <c r="E272" s="90">
        <v>45808</v>
      </c>
      <c r="F272" s="97" t="s">
        <v>11</v>
      </c>
      <c r="G272" s="100">
        <v>10</v>
      </c>
      <c r="H272" s="101" t="s">
        <v>1714</v>
      </c>
      <c r="I272" s="93" t="s">
        <v>13</v>
      </c>
      <c r="J272" s="102">
        <v>45798</v>
      </c>
      <c r="K272" s="87" t="s">
        <v>1712</v>
      </c>
      <c r="L272" s="105" t="s">
        <v>1358</v>
      </c>
    </row>
    <row r="273" spans="1:12">
      <c r="A273" s="37">
        <v>1428</v>
      </c>
      <c r="B273" s="85" t="s">
        <v>35</v>
      </c>
      <c r="C273" s="85">
        <v>7677</v>
      </c>
      <c r="D273" s="90">
        <v>45778</v>
      </c>
      <c r="E273" s="90">
        <v>45808</v>
      </c>
      <c r="F273" s="97" t="s">
        <v>11</v>
      </c>
      <c r="G273" s="100">
        <v>100</v>
      </c>
      <c r="H273" s="101">
        <v>2E-3</v>
      </c>
      <c r="I273" s="93" t="s">
        <v>13</v>
      </c>
      <c r="J273" s="102">
        <v>45798</v>
      </c>
      <c r="K273" s="87" t="s">
        <v>1712</v>
      </c>
      <c r="L273" s="105" t="s">
        <v>1715</v>
      </c>
    </row>
    <row r="274" spans="1:12">
      <c r="A274" s="37">
        <v>1429</v>
      </c>
      <c r="B274" s="85" t="s">
        <v>35</v>
      </c>
      <c r="C274" s="85">
        <v>16628</v>
      </c>
      <c r="D274" s="90">
        <v>45778</v>
      </c>
      <c r="E274" s="90">
        <v>45808</v>
      </c>
      <c r="F274" s="97" t="s">
        <v>11</v>
      </c>
      <c r="G274" s="100">
        <v>10</v>
      </c>
      <c r="H274" s="101" t="s">
        <v>1714</v>
      </c>
      <c r="I274" s="93" t="s">
        <v>13</v>
      </c>
      <c r="J274" s="102">
        <v>45798</v>
      </c>
      <c r="K274" s="87" t="s">
        <v>1712</v>
      </c>
      <c r="L274" s="105" t="s">
        <v>1358</v>
      </c>
    </row>
    <row r="275" spans="1:12">
      <c r="A275" s="37">
        <v>1430</v>
      </c>
      <c r="B275" s="85" t="s">
        <v>35</v>
      </c>
      <c r="C275" s="85">
        <v>16031</v>
      </c>
      <c r="D275" s="90">
        <v>45778</v>
      </c>
      <c r="E275" s="90">
        <v>45808</v>
      </c>
      <c r="F275" s="97" t="s">
        <v>11</v>
      </c>
      <c r="G275" s="100">
        <v>100</v>
      </c>
      <c r="H275" s="101">
        <v>2E-3</v>
      </c>
      <c r="I275" s="93" t="s">
        <v>13</v>
      </c>
      <c r="J275" s="102">
        <v>45798</v>
      </c>
      <c r="K275" s="87" t="s">
        <v>1712</v>
      </c>
      <c r="L275" s="105" t="s">
        <v>1715</v>
      </c>
    </row>
    <row r="276" spans="1:12">
      <c r="A276" s="37">
        <v>1431</v>
      </c>
      <c r="B276" s="85" t="s">
        <v>35</v>
      </c>
      <c r="C276" s="85" t="s">
        <v>1718</v>
      </c>
      <c r="D276" s="90">
        <v>45778</v>
      </c>
      <c r="E276" s="90">
        <v>45808</v>
      </c>
      <c r="F276" s="97" t="s">
        <v>11</v>
      </c>
      <c r="G276" s="100">
        <v>0.01</v>
      </c>
      <c r="H276" s="101">
        <v>5.0000000000000001E-3</v>
      </c>
      <c r="I276" s="93" t="s">
        <v>19</v>
      </c>
      <c r="J276" s="102">
        <v>45798</v>
      </c>
      <c r="K276" s="87" t="s">
        <v>1716</v>
      </c>
      <c r="L276" s="105" t="s">
        <v>1717</v>
      </c>
    </row>
    <row r="277" spans="1:12">
      <c r="A277" s="37">
        <v>1432</v>
      </c>
      <c r="B277" s="85" t="s">
        <v>35</v>
      </c>
      <c r="C277" s="85">
        <v>2059</v>
      </c>
      <c r="D277" s="90">
        <v>45778</v>
      </c>
      <c r="E277" s="90">
        <v>45808</v>
      </c>
      <c r="F277" s="97" t="s">
        <v>11</v>
      </c>
      <c r="G277" s="100">
        <v>50000</v>
      </c>
      <c r="H277" s="101" t="s">
        <v>1721</v>
      </c>
      <c r="I277" s="93" t="s">
        <v>18</v>
      </c>
      <c r="J277" s="102">
        <v>45798</v>
      </c>
      <c r="K277" s="87" t="s">
        <v>1720</v>
      </c>
      <c r="L277" s="105" t="s">
        <v>1722</v>
      </c>
    </row>
    <row r="278" spans="1:12">
      <c r="A278" s="37">
        <v>1433</v>
      </c>
      <c r="B278" s="85" t="s">
        <v>35</v>
      </c>
      <c r="C278" s="85">
        <v>15980</v>
      </c>
      <c r="D278" s="90">
        <v>45778</v>
      </c>
      <c r="E278" s="90">
        <v>45808</v>
      </c>
      <c r="F278" s="97" t="s">
        <v>11</v>
      </c>
      <c r="G278" s="100">
        <v>1</v>
      </c>
      <c r="H278" s="101">
        <v>7.4999999999999997E-3</v>
      </c>
      <c r="I278" s="93" t="s">
        <v>20</v>
      </c>
      <c r="J278" s="102">
        <v>45798</v>
      </c>
      <c r="K278" s="87" t="s">
        <v>1723</v>
      </c>
      <c r="L278" s="105" t="s">
        <v>143</v>
      </c>
    </row>
    <row r="279" spans="1:12">
      <c r="A279" s="37">
        <v>1434</v>
      </c>
      <c r="B279" s="85" t="s">
        <v>35</v>
      </c>
      <c r="C279" s="85">
        <v>14993</v>
      </c>
      <c r="D279" s="90">
        <v>45778</v>
      </c>
      <c r="E279" s="90">
        <v>45808</v>
      </c>
      <c r="F279" s="97" t="s">
        <v>11</v>
      </c>
      <c r="G279" s="100">
        <v>1</v>
      </c>
      <c r="H279" s="101">
        <v>7.4999999999999997E-3</v>
      </c>
      <c r="I279" s="93" t="s">
        <v>20</v>
      </c>
      <c r="J279" s="102">
        <v>45798</v>
      </c>
      <c r="K279" s="87" t="s">
        <v>1724</v>
      </c>
      <c r="L279" s="105" t="s">
        <v>143</v>
      </c>
    </row>
    <row r="280" spans="1:12">
      <c r="A280" s="37">
        <v>1435</v>
      </c>
      <c r="B280" s="85" t="s">
        <v>35</v>
      </c>
      <c r="C280" s="85">
        <v>15980</v>
      </c>
      <c r="D280" s="90">
        <v>45778</v>
      </c>
      <c r="E280" s="90">
        <v>45808</v>
      </c>
      <c r="F280" s="97" t="s">
        <v>11</v>
      </c>
      <c r="G280" s="100">
        <v>1</v>
      </c>
      <c r="H280" s="101">
        <v>7.0000000000000001E-3</v>
      </c>
      <c r="I280" s="93" t="s">
        <v>20</v>
      </c>
      <c r="J280" s="102">
        <v>45798</v>
      </c>
      <c r="K280" s="87" t="s">
        <v>1725</v>
      </c>
      <c r="L280" s="105" t="s">
        <v>1739</v>
      </c>
    </row>
    <row r="281" spans="1:12">
      <c r="A281" s="37">
        <v>1436</v>
      </c>
      <c r="B281" s="85" t="s">
        <v>35</v>
      </c>
      <c r="C281" s="85">
        <v>14482</v>
      </c>
      <c r="D281" s="90">
        <v>45778</v>
      </c>
      <c r="E281" s="90">
        <v>45808</v>
      </c>
      <c r="F281" s="97" t="s">
        <v>11</v>
      </c>
      <c r="G281" s="100">
        <v>1</v>
      </c>
      <c r="H281" s="101">
        <v>7.4999999999999997E-3</v>
      </c>
      <c r="I281" s="93" t="s">
        <v>20</v>
      </c>
      <c r="J281" s="102"/>
      <c r="K281" s="87" t="s">
        <v>1726</v>
      </c>
      <c r="L281" s="105" t="s">
        <v>143</v>
      </c>
    </row>
    <row r="282" spans="1:12">
      <c r="A282" s="37">
        <v>1437</v>
      </c>
      <c r="B282" s="85" t="s">
        <v>35</v>
      </c>
      <c r="C282" s="85">
        <v>14730</v>
      </c>
      <c r="D282" s="90">
        <v>45778</v>
      </c>
      <c r="E282" s="90">
        <v>45808</v>
      </c>
      <c r="F282" s="97" t="s">
        <v>11</v>
      </c>
      <c r="G282" s="100">
        <v>1</v>
      </c>
      <c r="H282" s="101">
        <v>7.4999999999999997E-3</v>
      </c>
      <c r="I282" s="93" t="s">
        <v>20</v>
      </c>
      <c r="J282" s="102">
        <v>45798</v>
      </c>
      <c r="K282" s="87" t="s">
        <v>1727</v>
      </c>
      <c r="L282" s="105" t="s">
        <v>143</v>
      </c>
    </row>
    <row r="283" spans="1:12">
      <c r="A283" s="37">
        <v>1438</v>
      </c>
      <c r="B283" s="85" t="s">
        <v>35</v>
      </c>
      <c r="C283" s="85">
        <v>14729</v>
      </c>
      <c r="D283" s="90">
        <v>45778</v>
      </c>
      <c r="E283" s="90">
        <v>45808</v>
      </c>
      <c r="F283" s="97" t="s">
        <v>11</v>
      </c>
      <c r="G283" s="100">
        <v>1</v>
      </c>
      <c r="H283" s="101">
        <v>7.4999999999999997E-3</v>
      </c>
      <c r="I283" s="93" t="s">
        <v>20</v>
      </c>
      <c r="J283" s="102">
        <v>45798</v>
      </c>
      <c r="K283" s="87" t="s">
        <v>1727</v>
      </c>
      <c r="L283" s="105" t="s">
        <v>143</v>
      </c>
    </row>
    <row r="284" spans="1:12">
      <c r="A284" s="37">
        <v>1439</v>
      </c>
      <c r="B284" s="85" t="s">
        <v>35</v>
      </c>
      <c r="C284" s="85">
        <v>14703</v>
      </c>
      <c r="D284" s="90">
        <v>45778</v>
      </c>
      <c r="E284" s="90">
        <v>45808</v>
      </c>
      <c r="F284" s="97" t="s">
        <v>11</v>
      </c>
      <c r="G284" s="100">
        <v>1</v>
      </c>
      <c r="H284" s="101">
        <v>7.4999999999999997E-3</v>
      </c>
      <c r="I284" s="93" t="s">
        <v>20</v>
      </c>
      <c r="J284" s="102">
        <v>45798</v>
      </c>
      <c r="K284" s="87" t="s">
        <v>1727</v>
      </c>
      <c r="L284" s="105" t="s">
        <v>143</v>
      </c>
    </row>
    <row r="285" spans="1:12">
      <c r="A285" s="37">
        <v>1440</v>
      </c>
      <c r="B285" s="85" t="s">
        <v>35</v>
      </c>
      <c r="C285" s="85">
        <v>14702</v>
      </c>
      <c r="D285" s="90">
        <v>45778</v>
      </c>
      <c r="E285" s="90">
        <v>45808</v>
      </c>
      <c r="F285" s="97" t="s">
        <v>11</v>
      </c>
      <c r="G285" s="100">
        <v>1</v>
      </c>
      <c r="H285" s="101">
        <v>7.4999999999999997E-3</v>
      </c>
      <c r="I285" s="93" t="s">
        <v>20</v>
      </c>
      <c r="J285" s="102">
        <v>45798</v>
      </c>
      <c r="K285" s="87" t="s">
        <v>1727</v>
      </c>
      <c r="L285" s="105" t="s">
        <v>143</v>
      </c>
    </row>
    <row r="286" spans="1:12">
      <c r="A286" s="37">
        <v>1441</v>
      </c>
      <c r="B286" s="85" t="s">
        <v>35</v>
      </c>
      <c r="C286" s="85">
        <v>14706</v>
      </c>
      <c r="D286" s="90">
        <v>45778</v>
      </c>
      <c r="E286" s="90">
        <v>45808</v>
      </c>
      <c r="F286" s="97" t="s">
        <v>11</v>
      </c>
      <c r="G286" s="100">
        <v>1</v>
      </c>
      <c r="H286" s="101">
        <v>7.4999999999999997E-3</v>
      </c>
      <c r="I286" s="93" t="s">
        <v>20</v>
      </c>
      <c r="J286" s="102">
        <v>45798</v>
      </c>
      <c r="K286" s="87" t="s">
        <v>1727</v>
      </c>
      <c r="L286" s="105" t="s">
        <v>143</v>
      </c>
    </row>
    <row r="287" spans="1:12">
      <c r="A287" s="37">
        <v>1442</v>
      </c>
      <c r="B287" s="85" t="s">
        <v>35</v>
      </c>
      <c r="C287" s="85">
        <v>14704</v>
      </c>
      <c r="D287" s="90">
        <v>45778</v>
      </c>
      <c r="E287" s="90">
        <v>45808</v>
      </c>
      <c r="F287" s="97" t="s">
        <v>11</v>
      </c>
      <c r="G287" s="100">
        <v>1</v>
      </c>
      <c r="H287" s="101">
        <v>7.4999999999999997E-3</v>
      </c>
      <c r="I287" s="93" t="s">
        <v>20</v>
      </c>
      <c r="J287" s="102">
        <v>45798</v>
      </c>
      <c r="K287" s="87" t="s">
        <v>1727</v>
      </c>
      <c r="L287" s="105" t="s">
        <v>143</v>
      </c>
    </row>
    <row r="288" spans="1:12">
      <c r="A288" s="37">
        <v>1443</v>
      </c>
      <c r="B288" s="85" t="s">
        <v>35</v>
      </c>
      <c r="C288" s="85">
        <v>15282</v>
      </c>
      <c r="D288" s="90">
        <v>45778</v>
      </c>
      <c r="E288" s="90">
        <v>45808</v>
      </c>
      <c r="F288" s="97" t="s">
        <v>11</v>
      </c>
      <c r="G288" s="100">
        <v>1</v>
      </c>
      <c r="H288" s="101">
        <v>7.4999999999999997E-3</v>
      </c>
      <c r="I288" s="93" t="s">
        <v>20</v>
      </c>
      <c r="J288" s="102">
        <v>45798</v>
      </c>
      <c r="K288" s="87" t="s">
        <v>1727</v>
      </c>
      <c r="L288" s="105" t="s">
        <v>143</v>
      </c>
    </row>
    <row r="289" spans="1:12">
      <c r="A289" s="37">
        <v>1444</v>
      </c>
      <c r="B289" s="85" t="s">
        <v>35</v>
      </c>
      <c r="C289" s="85">
        <v>695</v>
      </c>
      <c r="D289" s="90">
        <v>45778</v>
      </c>
      <c r="E289" s="90">
        <v>45808</v>
      </c>
      <c r="F289" s="97" t="s">
        <v>11</v>
      </c>
      <c r="G289" s="100">
        <v>0.01</v>
      </c>
      <c r="H289" s="101">
        <v>2E-3</v>
      </c>
      <c r="I289" s="93" t="s">
        <v>19</v>
      </c>
      <c r="J289" s="102">
        <v>45798</v>
      </c>
      <c r="K289" s="87" t="s">
        <v>1728</v>
      </c>
      <c r="L289" s="105" t="s">
        <v>1729</v>
      </c>
    </row>
    <row r="290" spans="1:12">
      <c r="A290" s="37">
        <v>1445</v>
      </c>
      <c r="B290" s="85" t="s">
        <v>35</v>
      </c>
      <c r="C290" s="85">
        <v>7274</v>
      </c>
      <c r="D290" s="90">
        <v>45797</v>
      </c>
      <c r="E290" s="90">
        <v>45807</v>
      </c>
      <c r="F290" s="97" t="s">
        <v>11</v>
      </c>
      <c r="G290" s="100">
        <v>0.01</v>
      </c>
      <c r="H290" s="101">
        <v>2.5000000000000001E-3</v>
      </c>
      <c r="I290" s="93" t="s">
        <v>30</v>
      </c>
      <c r="J290" s="102">
        <v>45799</v>
      </c>
      <c r="K290" s="87" t="s">
        <v>1731</v>
      </c>
      <c r="L290" s="105" t="s">
        <v>1732</v>
      </c>
    </row>
    <row r="291" spans="1:12">
      <c r="A291" s="37">
        <v>1446</v>
      </c>
      <c r="B291" s="85" t="s">
        <v>35</v>
      </c>
      <c r="C291" s="85">
        <v>7274</v>
      </c>
      <c r="D291" s="90">
        <v>45797</v>
      </c>
      <c r="E291" s="90">
        <v>45807</v>
      </c>
      <c r="F291" s="97" t="s">
        <v>11</v>
      </c>
      <c r="G291" s="100">
        <v>0.01</v>
      </c>
      <c r="H291" s="101">
        <v>5.0000000000000001E-3</v>
      </c>
      <c r="I291" s="93" t="s">
        <v>30</v>
      </c>
      <c r="J291" s="102">
        <v>45799</v>
      </c>
      <c r="K291" s="87" t="s">
        <v>1731</v>
      </c>
      <c r="L291" s="105" t="s">
        <v>1799</v>
      </c>
    </row>
    <row r="292" spans="1:12">
      <c r="A292" s="37">
        <v>1447</v>
      </c>
      <c r="B292" s="85" t="s">
        <v>35</v>
      </c>
      <c r="C292" s="85">
        <v>10293</v>
      </c>
      <c r="D292" s="90">
        <v>45793</v>
      </c>
      <c r="E292" s="90">
        <v>45808</v>
      </c>
      <c r="F292" s="97" t="s">
        <v>11</v>
      </c>
      <c r="G292" s="100">
        <v>1000</v>
      </c>
      <c r="H292" s="101">
        <v>0.01</v>
      </c>
      <c r="I292" s="93" t="s">
        <v>27</v>
      </c>
      <c r="J292" s="102">
        <v>45799</v>
      </c>
      <c r="K292" s="87" t="s">
        <v>1733</v>
      </c>
      <c r="L292" s="105" t="s">
        <v>1734</v>
      </c>
    </row>
    <row r="293" spans="1:12">
      <c r="A293" s="37">
        <v>1448</v>
      </c>
      <c r="B293" s="85" t="s">
        <v>35</v>
      </c>
      <c r="C293" s="85" t="s">
        <v>1736</v>
      </c>
      <c r="D293" s="90">
        <v>45797</v>
      </c>
      <c r="E293" s="90">
        <v>45808</v>
      </c>
      <c r="F293" s="97" t="s">
        <v>11</v>
      </c>
      <c r="G293" s="100">
        <v>0.01</v>
      </c>
      <c r="H293" s="101">
        <v>5.0000000000000001E-3</v>
      </c>
      <c r="I293" s="93" t="s">
        <v>32</v>
      </c>
      <c r="J293" s="102">
        <v>45797</v>
      </c>
      <c r="K293" s="87" t="s">
        <v>1735</v>
      </c>
      <c r="L293" s="105" t="s">
        <v>1812</v>
      </c>
    </row>
    <row r="294" spans="1:12">
      <c r="A294" s="37">
        <v>1449</v>
      </c>
      <c r="B294" s="85" t="s">
        <v>35</v>
      </c>
      <c r="C294" s="85">
        <v>16238</v>
      </c>
      <c r="D294" s="90">
        <v>45778</v>
      </c>
      <c r="E294" s="90">
        <v>45808</v>
      </c>
      <c r="F294" s="97" t="s">
        <v>11</v>
      </c>
      <c r="G294" s="100">
        <v>0.01</v>
      </c>
      <c r="H294" s="101">
        <v>1.4999999999999999E-2</v>
      </c>
      <c r="I294" s="93" t="s">
        <v>19</v>
      </c>
      <c r="J294" s="102">
        <v>45799</v>
      </c>
      <c r="K294" s="87" t="s">
        <v>1740</v>
      </c>
      <c r="L294" s="105" t="s">
        <v>1741</v>
      </c>
    </row>
    <row r="295" spans="1:12">
      <c r="A295" s="37">
        <v>1450</v>
      </c>
      <c r="B295" s="85" t="s">
        <v>35</v>
      </c>
      <c r="C295" s="85" t="s">
        <v>1744</v>
      </c>
      <c r="D295" s="90">
        <v>45778</v>
      </c>
      <c r="E295" s="90">
        <v>45808</v>
      </c>
      <c r="F295" s="97" t="s">
        <v>11</v>
      </c>
      <c r="G295" s="100">
        <v>1</v>
      </c>
      <c r="H295" s="101">
        <v>6.4999999999999997E-3</v>
      </c>
      <c r="I295" s="93" t="s">
        <v>20</v>
      </c>
      <c r="J295" s="102">
        <v>45799</v>
      </c>
      <c r="K295" s="87" t="s">
        <v>1743</v>
      </c>
      <c r="L295" s="105" t="s">
        <v>1745</v>
      </c>
    </row>
    <row r="296" spans="1:12">
      <c r="A296" s="37">
        <v>1451</v>
      </c>
      <c r="B296" s="85" t="s">
        <v>35</v>
      </c>
      <c r="C296" s="85">
        <v>15008</v>
      </c>
      <c r="D296" s="90">
        <v>45778</v>
      </c>
      <c r="E296" s="90">
        <v>45808</v>
      </c>
      <c r="F296" s="97" t="s">
        <v>11</v>
      </c>
      <c r="G296" s="100" t="s">
        <v>187</v>
      </c>
      <c r="H296" s="101">
        <v>7.4999999999999997E-3</v>
      </c>
      <c r="I296" s="93" t="s">
        <v>20</v>
      </c>
      <c r="J296" s="102">
        <v>45799</v>
      </c>
      <c r="K296" s="87" t="s">
        <v>1746</v>
      </c>
      <c r="L296" s="105" t="s">
        <v>1747</v>
      </c>
    </row>
    <row r="297" spans="1:12">
      <c r="A297" s="37">
        <v>1452</v>
      </c>
      <c r="B297" s="85" t="s">
        <v>35</v>
      </c>
      <c r="C297" s="85">
        <v>8300</v>
      </c>
      <c r="D297" s="90">
        <v>45797</v>
      </c>
      <c r="E297" s="90">
        <v>45808</v>
      </c>
      <c r="F297" s="97" t="s">
        <v>11</v>
      </c>
      <c r="G297" s="100">
        <v>1000</v>
      </c>
      <c r="H297" s="101">
        <v>0.02</v>
      </c>
      <c r="I297" s="93" t="s">
        <v>20</v>
      </c>
      <c r="J297" s="102">
        <v>45799</v>
      </c>
      <c r="K297" s="87" t="s">
        <v>1748</v>
      </c>
      <c r="L297" s="105" t="s">
        <v>1140</v>
      </c>
    </row>
    <row r="298" spans="1:12">
      <c r="A298" s="37">
        <v>1453</v>
      </c>
      <c r="B298" s="85" t="s">
        <v>35</v>
      </c>
      <c r="C298" s="85" t="s">
        <v>91</v>
      </c>
      <c r="D298" s="90">
        <v>45778</v>
      </c>
      <c r="E298" s="90">
        <v>45808</v>
      </c>
      <c r="F298" s="97" t="s">
        <v>11</v>
      </c>
      <c r="G298" s="100">
        <v>0.01</v>
      </c>
      <c r="H298" s="101">
        <v>3.0000000000000001E-3</v>
      </c>
      <c r="I298" s="93" t="s">
        <v>14</v>
      </c>
      <c r="J298" s="102">
        <v>45799</v>
      </c>
      <c r="K298" s="87" t="s">
        <v>1749</v>
      </c>
      <c r="L298" s="105" t="s">
        <v>944</v>
      </c>
    </row>
    <row r="299" spans="1:12">
      <c r="A299" s="37">
        <v>1454</v>
      </c>
      <c r="B299" s="85" t="s">
        <v>35</v>
      </c>
      <c r="C299" s="85">
        <v>12800</v>
      </c>
      <c r="D299" s="90">
        <v>45778</v>
      </c>
      <c r="E299" s="90">
        <v>45808</v>
      </c>
      <c r="F299" s="97" t="s">
        <v>11</v>
      </c>
      <c r="G299" s="100">
        <v>0.01</v>
      </c>
      <c r="H299" s="101">
        <v>7.4999999999999997E-3</v>
      </c>
      <c r="I299" s="93" t="s">
        <v>14</v>
      </c>
      <c r="J299" s="102">
        <v>45799</v>
      </c>
      <c r="K299" s="87" t="s">
        <v>1750</v>
      </c>
      <c r="L299" s="105" t="s">
        <v>1751</v>
      </c>
    </row>
    <row r="300" spans="1:12">
      <c r="A300" s="37">
        <v>1455</v>
      </c>
      <c r="B300" s="85" t="s">
        <v>35</v>
      </c>
      <c r="C300" s="85" t="s">
        <v>1753</v>
      </c>
      <c r="D300" s="90">
        <v>45778</v>
      </c>
      <c r="E300" s="90">
        <v>45808</v>
      </c>
      <c r="F300" s="97" t="s">
        <v>11</v>
      </c>
      <c r="G300" s="100">
        <v>0.01</v>
      </c>
      <c r="H300" s="101">
        <v>7.4999999999999997E-3</v>
      </c>
      <c r="I300" s="93" t="s">
        <v>27</v>
      </c>
      <c r="J300" s="102">
        <v>45799</v>
      </c>
      <c r="K300" s="87" t="s">
        <v>1752</v>
      </c>
      <c r="L300" s="105" t="s">
        <v>1754</v>
      </c>
    </row>
    <row r="301" spans="1:12">
      <c r="A301" s="37">
        <v>1456</v>
      </c>
      <c r="B301" s="85" t="s">
        <v>35</v>
      </c>
      <c r="C301" s="85" t="s">
        <v>1756</v>
      </c>
      <c r="D301" s="90">
        <v>45778</v>
      </c>
      <c r="E301" s="90">
        <v>45808</v>
      </c>
      <c r="F301" s="97" t="s">
        <v>11</v>
      </c>
      <c r="G301" s="100">
        <v>1000</v>
      </c>
      <c r="H301" s="101">
        <v>0.01</v>
      </c>
      <c r="I301" s="93" t="s">
        <v>19</v>
      </c>
      <c r="J301" s="102">
        <v>45798</v>
      </c>
      <c r="K301" s="87" t="s">
        <v>1755</v>
      </c>
      <c r="L301" s="105" t="s">
        <v>1757</v>
      </c>
    </row>
    <row r="302" spans="1:12">
      <c r="A302" s="37">
        <v>1457</v>
      </c>
      <c r="B302" s="85" t="s">
        <v>35</v>
      </c>
      <c r="C302" s="85">
        <v>17303</v>
      </c>
      <c r="D302" s="90">
        <v>45778</v>
      </c>
      <c r="E302" s="90">
        <v>45808</v>
      </c>
      <c r="F302" s="97" t="s">
        <v>11</v>
      </c>
      <c r="G302" s="100">
        <v>1000</v>
      </c>
      <c r="H302" s="101">
        <v>2.5999999999999999E-3</v>
      </c>
      <c r="I302" s="93" t="s">
        <v>27</v>
      </c>
      <c r="J302" s="102">
        <v>45800</v>
      </c>
      <c r="K302" s="87" t="s">
        <v>1758</v>
      </c>
      <c r="L302" s="108" t="s">
        <v>1823</v>
      </c>
    </row>
    <row r="303" spans="1:12">
      <c r="A303" s="37">
        <v>1458</v>
      </c>
      <c r="B303" s="85" t="s">
        <v>35</v>
      </c>
      <c r="C303" s="85">
        <v>17303</v>
      </c>
      <c r="D303" s="90">
        <v>45778</v>
      </c>
      <c r="E303" s="90">
        <v>45808</v>
      </c>
      <c r="F303" s="97" t="s">
        <v>11</v>
      </c>
      <c r="G303" s="100">
        <v>1000</v>
      </c>
      <c r="H303" s="101">
        <v>2.0999999999999999E-3</v>
      </c>
      <c r="I303" s="93" t="s">
        <v>27</v>
      </c>
      <c r="J303" s="102"/>
      <c r="K303" s="87" t="s">
        <v>1758</v>
      </c>
      <c r="L303" s="108" t="s">
        <v>1822</v>
      </c>
    </row>
    <row r="304" spans="1:12">
      <c r="A304" s="37">
        <v>1459</v>
      </c>
      <c r="B304" s="85" t="s">
        <v>35</v>
      </c>
      <c r="C304" s="85">
        <v>17303</v>
      </c>
      <c r="D304" s="90">
        <v>45791</v>
      </c>
      <c r="E304" s="90">
        <v>45808</v>
      </c>
      <c r="F304" s="97" t="s">
        <v>11</v>
      </c>
      <c r="G304" s="86">
        <v>1000</v>
      </c>
      <c r="H304" s="98">
        <v>2.5000000000000001E-3</v>
      </c>
      <c r="I304" s="93" t="s">
        <v>27</v>
      </c>
      <c r="J304" s="94">
        <v>45800</v>
      </c>
      <c r="K304" s="87" t="s">
        <v>1758</v>
      </c>
      <c r="L304" s="105" t="s">
        <v>1800</v>
      </c>
    </row>
    <row r="305" spans="1:12">
      <c r="A305" s="37">
        <v>1460</v>
      </c>
      <c r="B305" s="85" t="s">
        <v>35</v>
      </c>
      <c r="C305" s="85">
        <v>17303</v>
      </c>
      <c r="D305" s="90">
        <v>45778</v>
      </c>
      <c r="E305" s="90">
        <v>45808</v>
      </c>
      <c r="F305" s="97" t="s">
        <v>11</v>
      </c>
      <c r="G305" s="86">
        <v>1000</v>
      </c>
      <c r="H305" s="98">
        <v>5.0000000000000001E-3</v>
      </c>
      <c r="I305" s="93" t="s">
        <v>27</v>
      </c>
      <c r="J305" s="94">
        <v>45800</v>
      </c>
      <c r="K305" s="87" t="s">
        <v>1758</v>
      </c>
      <c r="L305" s="105" t="s">
        <v>1760</v>
      </c>
    </row>
    <row r="306" spans="1:12">
      <c r="A306" s="37">
        <v>1461</v>
      </c>
      <c r="B306" s="85" t="s">
        <v>35</v>
      </c>
      <c r="C306" s="85">
        <v>17303</v>
      </c>
      <c r="D306" s="90">
        <v>45778</v>
      </c>
      <c r="E306" s="90">
        <v>45808</v>
      </c>
      <c r="F306" s="97" t="s">
        <v>11</v>
      </c>
      <c r="G306" s="86">
        <v>1000</v>
      </c>
      <c r="H306" s="98">
        <v>1.4999999999999999E-2</v>
      </c>
      <c r="I306" s="93" t="s">
        <v>27</v>
      </c>
      <c r="J306" s="94">
        <v>45800</v>
      </c>
      <c r="K306" s="87" t="s">
        <v>1758</v>
      </c>
      <c r="L306" s="105" t="s">
        <v>1801</v>
      </c>
    </row>
    <row r="307" spans="1:12">
      <c r="A307" s="37">
        <v>1462</v>
      </c>
      <c r="B307" s="85" t="s">
        <v>35</v>
      </c>
      <c r="C307" s="85">
        <v>17303</v>
      </c>
      <c r="D307" s="90">
        <v>45778</v>
      </c>
      <c r="E307" s="90">
        <v>45808</v>
      </c>
      <c r="F307" s="97" t="s">
        <v>11</v>
      </c>
      <c r="G307" s="100">
        <v>1000</v>
      </c>
      <c r="H307" s="101">
        <v>7.4999999999999997E-3</v>
      </c>
      <c r="I307" s="93" t="s">
        <v>27</v>
      </c>
      <c r="J307" s="102">
        <v>45800</v>
      </c>
      <c r="K307" s="87" t="s">
        <v>1758</v>
      </c>
      <c r="L307" s="105" t="s">
        <v>1761</v>
      </c>
    </row>
    <row r="308" spans="1:12">
      <c r="A308" s="37">
        <v>1463</v>
      </c>
      <c r="B308" s="85" t="s">
        <v>35</v>
      </c>
      <c r="C308" s="85">
        <v>17303</v>
      </c>
      <c r="D308" s="90">
        <v>45778</v>
      </c>
      <c r="E308" s="90">
        <v>45808</v>
      </c>
      <c r="F308" s="97" t="s">
        <v>11</v>
      </c>
      <c r="G308" s="86">
        <v>1000</v>
      </c>
      <c r="H308" s="98" t="s">
        <v>1759</v>
      </c>
      <c r="I308" s="93" t="s">
        <v>27</v>
      </c>
      <c r="J308" s="94">
        <v>45800</v>
      </c>
      <c r="K308" s="87" t="s">
        <v>1758</v>
      </c>
      <c r="L308" s="105" t="s">
        <v>1890</v>
      </c>
    </row>
    <row r="309" spans="1:12">
      <c r="A309" s="37">
        <v>1464</v>
      </c>
      <c r="B309" s="85" t="s">
        <v>35</v>
      </c>
      <c r="C309" s="85">
        <v>17303</v>
      </c>
      <c r="D309" s="90">
        <v>45778</v>
      </c>
      <c r="E309" s="90">
        <v>45808</v>
      </c>
      <c r="F309" s="97" t="s">
        <v>11</v>
      </c>
      <c r="G309" s="86">
        <v>1000</v>
      </c>
      <c r="H309" s="98">
        <v>9.4999999999999998E-3</v>
      </c>
      <c r="I309" s="93" t="s">
        <v>27</v>
      </c>
      <c r="J309" s="94">
        <v>45800</v>
      </c>
      <c r="K309" s="87" t="s">
        <v>1758</v>
      </c>
      <c r="L309" s="105" t="s">
        <v>1778</v>
      </c>
    </row>
    <row r="310" spans="1:12">
      <c r="A310" s="37">
        <v>1465</v>
      </c>
      <c r="B310" s="85" t="s">
        <v>35</v>
      </c>
      <c r="C310" s="85">
        <v>17303</v>
      </c>
      <c r="D310" s="90">
        <v>45778</v>
      </c>
      <c r="E310" s="90">
        <v>45808</v>
      </c>
      <c r="F310" s="97" t="s">
        <v>11</v>
      </c>
      <c r="G310" s="86">
        <v>1000</v>
      </c>
      <c r="H310" s="98">
        <v>1.4999999999999999E-2</v>
      </c>
      <c r="I310" s="93" t="s">
        <v>27</v>
      </c>
      <c r="J310" s="94">
        <v>45800</v>
      </c>
      <c r="K310" s="87" t="s">
        <v>1758</v>
      </c>
      <c r="L310" s="105" t="s">
        <v>1762</v>
      </c>
    </row>
    <row r="311" spans="1:12">
      <c r="A311" s="37">
        <v>1466</v>
      </c>
      <c r="B311" s="85" t="s">
        <v>35</v>
      </c>
      <c r="C311" s="85">
        <v>11545</v>
      </c>
      <c r="D311" s="90">
        <v>45778</v>
      </c>
      <c r="E311" s="90">
        <v>45808</v>
      </c>
      <c r="F311" s="97" t="s">
        <v>11</v>
      </c>
      <c r="G311" s="100">
        <v>1000</v>
      </c>
      <c r="H311" s="101">
        <v>7.4999999999999997E-3</v>
      </c>
      <c r="I311" s="93" t="s">
        <v>27</v>
      </c>
      <c r="J311" s="102">
        <v>45800</v>
      </c>
      <c r="K311" s="87" t="s">
        <v>1758</v>
      </c>
      <c r="L311" s="105" t="s">
        <v>1016</v>
      </c>
    </row>
    <row r="312" spans="1:12">
      <c r="A312" s="37">
        <v>1467</v>
      </c>
      <c r="B312" s="85" t="s">
        <v>35</v>
      </c>
      <c r="C312" s="85">
        <v>11545</v>
      </c>
      <c r="D312" s="90">
        <v>45778</v>
      </c>
      <c r="E312" s="90">
        <v>45808</v>
      </c>
      <c r="F312" s="97" t="s">
        <v>11</v>
      </c>
      <c r="G312" s="100">
        <v>1000</v>
      </c>
      <c r="H312" s="101">
        <v>5.0000000000000001E-3</v>
      </c>
      <c r="I312" s="93" t="s">
        <v>27</v>
      </c>
      <c r="J312" s="102">
        <v>45800</v>
      </c>
      <c r="K312" s="87" t="s">
        <v>1758</v>
      </c>
      <c r="L312" s="105" t="s">
        <v>1779</v>
      </c>
    </row>
    <row r="313" spans="1:12">
      <c r="A313" s="37">
        <v>1468</v>
      </c>
      <c r="B313" s="85" t="s">
        <v>35</v>
      </c>
      <c r="C313" s="85">
        <v>11859</v>
      </c>
      <c r="D313" s="90">
        <v>45778</v>
      </c>
      <c r="E313" s="90">
        <v>45808</v>
      </c>
      <c r="F313" s="97" t="s">
        <v>11</v>
      </c>
      <c r="G313" s="100">
        <v>1000</v>
      </c>
      <c r="H313" s="101">
        <v>5.0000000000000001E-3</v>
      </c>
      <c r="I313" s="93" t="s">
        <v>27</v>
      </c>
      <c r="J313" s="102">
        <v>45800</v>
      </c>
      <c r="K313" s="87" t="s">
        <v>1758</v>
      </c>
      <c r="L313" s="105" t="s">
        <v>1779</v>
      </c>
    </row>
    <row r="314" spans="1:12">
      <c r="A314" s="37">
        <v>1469</v>
      </c>
      <c r="B314" s="85" t="s">
        <v>35</v>
      </c>
      <c r="C314" s="85">
        <v>10293</v>
      </c>
      <c r="D314" s="90">
        <v>45778</v>
      </c>
      <c r="E314" s="90">
        <v>45808</v>
      </c>
      <c r="F314" s="97" t="s">
        <v>11</v>
      </c>
      <c r="G314" s="100">
        <v>1000</v>
      </c>
      <c r="H314" s="101">
        <v>5.0000000000000001E-3</v>
      </c>
      <c r="I314" s="93" t="s">
        <v>27</v>
      </c>
      <c r="J314" s="102">
        <v>45800</v>
      </c>
      <c r="K314" s="87" t="s">
        <v>1758</v>
      </c>
      <c r="L314" s="105" t="s">
        <v>1779</v>
      </c>
    </row>
    <row r="315" spans="1:12">
      <c r="A315" s="37">
        <v>1470</v>
      </c>
      <c r="B315" s="85" t="s">
        <v>35</v>
      </c>
      <c r="C315" s="85">
        <v>3489</v>
      </c>
      <c r="D315" s="90">
        <v>45778</v>
      </c>
      <c r="E315" s="90">
        <v>45808</v>
      </c>
      <c r="F315" s="97" t="s">
        <v>11</v>
      </c>
      <c r="G315" s="100">
        <v>1000</v>
      </c>
      <c r="H315" s="101">
        <v>9.4999999999999998E-3</v>
      </c>
      <c r="I315" s="93" t="s">
        <v>25</v>
      </c>
      <c r="J315" s="102">
        <v>45800</v>
      </c>
      <c r="K315" s="87" t="s">
        <v>1758</v>
      </c>
      <c r="L315" s="105" t="s">
        <v>1763</v>
      </c>
    </row>
    <row r="316" spans="1:12">
      <c r="A316" s="37">
        <v>1471</v>
      </c>
      <c r="B316" s="85" t="s">
        <v>35</v>
      </c>
      <c r="C316" s="85">
        <v>3489</v>
      </c>
      <c r="D316" s="90">
        <v>45778</v>
      </c>
      <c r="E316" s="90">
        <v>45808</v>
      </c>
      <c r="F316" s="97" t="s">
        <v>11</v>
      </c>
      <c r="G316" s="100">
        <v>0.01</v>
      </c>
      <c r="H316" s="101">
        <v>5.0000000000000001E-3</v>
      </c>
      <c r="I316" s="93" t="s">
        <v>25</v>
      </c>
      <c r="J316" s="102">
        <v>45800</v>
      </c>
      <c r="K316" s="87" t="s">
        <v>1758</v>
      </c>
      <c r="L316" s="105" t="s">
        <v>1764</v>
      </c>
    </row>
    <row r="317" spans="1:12" ht="63.75">
      <c r="A317" s="37">
        <v>1472</v>
      </c>
      <c r="B317" s="85" t="s">
        <v>35</v>
      </c>
      <c r="C317" s="85">
        <v>3280</v>
      </c>
      <c r="D317" s="90">
        <v>45778</v>
      </c>
      <c r="E317" s="90">
        <v>45808</v>
      </c>
      <c r="F317" s="97" t="s">
        <v>11</v>
      </c>
      <c r="G317" s="100">
        <v>150000</v>
      </c>
      <c r="H317" s="101">
        <v>2E-3</v>
      </c>
      <c r="I317" s="93" t="s">
        <v>25</v>
      </c>
      <c r="J317" s="102">
        <v>45800</v>
      </c>
      <c r="K317" s="87" t="s">
        <v>1758</v>
      </c>
      <c r="L317" s="105" t="s">
        <v>1765</v>
      </c>
    </row>
    <row r="318" spans="1:12">
      <c r="A318" s="37">
        <v>1473</v>
      </c>
      <c r="B318" s="85" t="s">
        <v>35</v>
      </c>
      <c r="C318" s="85">
        <v>7274</v>
      </c>
      <c r="D318" s="90">
        <v>45778</v>
      </c>
      <c r="E318" s="90">
        <v>45808</v>
      </c>
      <c r="F318" s="97" t="s">
        <v>11</v>
      </c>
      <c r="G318" s="100">
        <v>0.01</v>
      </c>
      <c r="H318" s="101">
        <v>7.4999999999999997E-3</v>
      </c>
      <c r="I318" s="93" t="s">
        <v>30</v>
      </c>
      <c r="J318" s="102">
        <v>45800</v>
      </c>
      <c r="K318" s="87" t="s">
        <v>1758</v>
      </c>
      <c r="L318" s="105" t="s">
        <v>1768</v>
      </c>
    </row>
    <row r="319" spans="1:12">
      <c r="A319" s="37">
        <v>1474</v>
      </c>
      <c r="B319" s="85" t="s">
        <v>35</v>
      </c>
      <c r="C319" s="85">
        <v>7274</v>
      </c>
      <c r="D319" s="90">
        <v>45778</v>
      </c>
      <c r="E319" s="90">
        <v>45808</v>
      </c>
      <c r="F319" s="97" t="s">
        <v>11</v>
      </c>
      <c r="G319" s="100">
        <v>0.01</v>
      </c>
      <c r="H319" s="101">
        <v>5.0000000000000001E-3</v>
      </c>
      <c r="I319" s="93" t="s">
        <v>30</v>
      </c>
      <c r="J319" s="102">
        <v>45800</v>
      </c>
      <c r="K319" s="87" t="s">
        <v>1758</v>
      </c>
      <c r="L319" s="105" t="s">
        <v>1769</v>
      </c>
    </row>
    <row r="320" spans="1:12">
      <c r="A320" s="37">
        <v>1475</v>
      </c>
      <c r="B320" s="85" t="s">
        <v>35</v>
      </c>
      <c r="C320" s="85">
        <v>5986</v>
      </c>
      <c r="D320" s="90">
        <v>45778</v>
      </c>
      <c r="E320" s="90">
        <v>45808</v>
      </c>
      <c r="F320" s="97" t="s">
        <v>11</v>
      </c>
      <c r="G320" s="100">
        <v>0.01</v>
      </c>
      <c r="H320" s="101">
        <v>2E-3</v>
      </c>
      <c r="I320" s="93" t="s">
        <v>30</v>
      </c>
      <c r="J320" s="102">
        <v>45800</v>
      </c>
      <c r="K320" s="87" t="s">
        <v>1758</v>
      </c>
      <c r="L320" s="105" t="s">
        <v>1766</v>
      </c>
    </row>
    <row r="321" spans="1:12">
      <c r="A321" s="37">
        <v>1476</v>
      </c>
      <c r="B321" s="85" t="s">
        <v>35</v>
      </c>
      <c r="C321" s="85">
        <v>5986</v>
      </c>
      <c r="D321" s="90">
        <v>45778</v>
      </c>
      <c r="E321" s="90">
        <v>45808</v>
      </c>
      <c r="F321" s="97" t="s">
        <v>11</v>
      </c>
      <c r="G321" s="100">
        <v>0.01</v>
      </c>
      <c r="H321" s="101">
        <v>5.0000000000000001E-3</v>
      </c>
      <c r="I321" s="93" t="s">
        <v>30</v>
      </c>
      <c r="J321" s="102">
        <v>45800</v>
      </c>
      <c r="K321" s="87" t="s">
        <v>1758</v>
      </c>
      <c r="L321" s="105" t="s">
        <v>1770</v>
      </c>
    </row>
    <row r="322" spans="1:12">
      <c r="A322" s="37">
        <v>1477</v>
      </c>
      <c r="B322" s="85" t="s">
        <v>35</v>
      </c>
      <c r="C322" s="85">
        <v>15317</v>
      </c>
      <c r="D322" s="90">
        <v>45778</v>
      </c>
      <c r="E322" s="90">
        <v>45808</v>
      </c>
      <c r="F322" s="97" t="s">
        <v>11</v>
      </c>
      <c r="G322" s="100">
        <v>0.01</v>
      </c>
      <c r="H322" s="101">
        <v>5.0000000000000001E-3</v>
      </c>
      <c r="I322" s="93" t="s">
        <v>53</v>
      </c>
      <c r="J322" s="102">
        <v>45800</v>
      </c>
      <c r="K322" s="87" t="s">
        <v>1758</v>
      </c>
      <c r="L322" s="105" t="s">
        <v>1767</v>
      </c>
    </row>
    <row r="323" spans="1:12">
      <c r="A323" s="37">
        <v>1478</v>
      </c>
      <c r="B323" s="85" t="s">
        <v>35</v>
      </c>
      <c r="C323" s="85">
        <v>4353</v>
      </c>
      <c r="D323" s="90">
        <v>45778</v>
      </c>
      <c r="E323" s="90">
        <v>45808</v>
      </c>
      <c r="F323" s="97" t="s">
        <v>11</v>
      </c>
      <c r="G323" s="100">
        <v>0.01</v>
      </c>
      <c r="H323" s="101">
        <v>5.0000000000000001E-3</v>
      </c>
      <c r="I323" s="93" t="s">
        <v>25</v>
      </c>
      <c r="J323" s="102">
        <v>45800</v>
      </c>
      <c r="K323" s="87" t="s">
        <v>1758</v>
      </c>
      <c r="L323" s="105" t="s">
        <v>1771</v>
      </c>
    </row>
    <row r="324" spans="1:12">
      <c r="A324" s="37">
        <v>1479</v>
      </c>
      <c r="B324" s="85" t="s">
        <v>35</v>
      </c>
      <c r="C324" s="85" t="s">
        <v>1774</v>
      </c>
      <c r="D324" s="90">
        <v>45778</v>
      </c>
      <c r="E324" s="90">
        <v>45808</v>
      </c>
      <c r="F324" s="97" t="s">
        <v>11</v>
      </c>
      <c r="G324" s="100">
        <v>1</v>
      </c>
      <c r="H324" s="101">
        <v>1.4999999999999999E-2</v>
      </c>
      <c r="I324" s="93" t="s">
        <v>19</v>
      </c>
      <c r="J324" s="102">
        <v>45800</v>
      </c>
      <c r="K324" s="87" t="s">
        <v>1773</v>
      </c>
      <c r="L324" s="105" t="s">
        <v>1775</v>
      </c>
    </row>
    <row r="325" spans="1:12">
      <c r="A325" s="37">
        <v>1480</v>
      </c>
      <c r="B325" s="85" t="s">
        <v>35</v>
      </c>
      <c r="C325" s="85" t="s">
        <v>1774</v>
      </c>
      <c r="D325" s="90">
        <v>45778</v>
      </c>
      <c r="E325" s="90">
        <v>45808</v>
      </c>
      <c r="F325" s="97" t="s">
        <v>11</v>
      </c>
      <c r="G325" s="100">
        <v>1</v>
      </c>
      <c r="H325" s="101">
        <v>5.0000000000000001E-3</v>
      </c>
      <c r="I325" s="93" t="s">
        <v>19</v>
      </c>
      <c r="J325" s="102">
        <v>45800</v>
      </c>
      <c r="K325" s="87" t="s">
        <v>1773</v>
      </c>
      <c r="L325" s="105" t="s">
        <v>1776</v>
      </c>
    </row>
    <row r="326" spans="1:12">
      <c r="A326" s="37">
        <v>1481</v>
      </c>
      <c r="B326" s="85" t="s">
        <v>35</v>
      </c>
      <c r="C326" s="85" t="s">
        <v>1774</v>
      </c>
      <c r="D326" s="90">
        <v>45778</v>
      </c>
      <c r="E326" s="90">
        <v>45808</v>
      </c>
      <c r="F326" s="97" t="s">
        <v>11</v>
      </c>
      <c r="G326" s="100">
        <v>1</v>
      </c>
      <c r="H326" s="101">
        <v>2E-3</v>
      </c>
      <c r="I326" s="93" t="s">
        <v>19</v>
      </c>
      <c r="J326" s="102">
        <v>45800</v>
      </c>
      <c r="K326" s="87" t="s">
        <v>1773</v>
      </c>
      <c r="L326" s="105" t="s">
        <v>1777</v>
      </c>
    </row>
    <row r="327" spans="1:12">
      <c r="A327" s="37">
        <v>1482</v>
      </c>
      <c r="B327" s="85" t="s">
        <v>35</v>
      </c>
      <c r="C327" s="85" t="s">
        <v>1796</v>
      </c>
      <c r="D327" s="90">
        <v>45778</v>
      </c>
      <c r="E327" s="90">
        <v>45808</v>
      </c>
      <c r="F327" s="97" t="s">
        <v>11</v>
      </c>
      <c r="G327" s="100">
        <v>0.01</v>
      </c>
      <c r="H327" s="101">
        <v>7.4999999999999997E-3</v>
      </c>
      <c r="I327" s="93" t="s">
        <v>14</v>
      </c>
      <c r="J327" s="102">
        <v>45804</v>
      </c>
      <c r="K327" s="87" t="s">
        <v>1795</v>
      </c>
      <c r="L327" s="105" t="s">
        <v>232</v>
      </c>
    </row>
    <row r="328" spans="1:12">
      <c r="A328" s="37">
        <v>1483</v>
      </c>
      <c r="B328" s="85" t="s">
        <v>35</v>
      </c>
      <c r="C328" s="85">
        <v>6843</v>
      </c>
      <c r="D328" s="90">
        <v>45778</v>
      </c>
      <c r="E328" s="90">
        <v>45808</v>
      </c>
      <c r="F328" s="97" t="s">
        <v>11</v>
      </c>
      <c r="G328" s="100">
        <v>0.01</v>
      </c>
      <c r="H328" s="101">
        <v>7.0000000000000001E-3</v>
      </c>
      <c r="I328" s="93" t="s">
        <v>17</v>
      </c>
      <c r="J328" s="102">
        <v>45805</v>
      </c>
      <c r="K328" s="87" t="s">
        <v>1797</v>
      </c>
      <c r="L328" s="105" t="s">
        <v>1851</v>
      </c>
    </row>
    <row r="329" spans="1:12">
      <c r="A329" s="37">
        <v>1485</v>
      </c>
      <c r="B329" s="109" t="s">
        <v>35</v>
      </c>
      <c r="C329" s="109">
        <v>17204</v>
      </c>
      <c r="D329" s="110">
        <v>45805</v>
      </c>
      <c r="E329" s="110">
        <v>45808</v>
      </c>
      <c r="F329" s="111" t="s">
        <v>11</v>
      </c>
      <c r="G329" s="112">
        <v>0.01</v>
      </c>
      <c r="H329" s="113">
        <v>1.7500000000000002E-2</v>
      </c>
      <c r="I329" s="114" t="s">
        <v>27</v>
      </c>
      <c r="J329" s="115">
        <v>45805</v>
      </c>
      <c r="K329" s="95" t="s">
        <v>1803</v>
      </c>
      <c r="L329" s="116" t="s">
        <v>154</v>
      </c>
    </row>
    <row r="330" spans="1:12" ht="25.5">
      <c r="A330" s="37">
        <v>1486</v>
      </c>
      <c r="B330" s="85" t="s">
        <v>35</v>
      </c>
      <c r="C330" s="85">
        <v>16754</v>
      </c>
      <c r="D330" s="90">
        <v>45805</v>
      </c>
      <c r="E330" s="90">
        <v>45808</v>
      </c>
      <c r="F330" s="97" t="s">
        <v>11</v>
      </c>
      <c r="G330" s="100">
        <v>0.01</v>
      </c>
      <c r="H330" s="101">
        <v>0.01</v>
      </c>
      <c r="I330" s="93" t="s">
        <v>21</v>
      </c>
      <c r="J330" s="102">
        <v>45807</v>
      </c>
      <c r="K330" s="87" t="s">
        <v>1810</v>
      </c>
      <c r="L330" s="105" t="s">
        <v>1811</v>
      </c>
    </row>
    <row r="331" spans="1:12">
      <c r="A331" s="37">
        <v>1487</v>
      </c>
      <c r="B331" s="85" t="s">
        <v>35</v>
      </c>
      <c r="C331" s="85" t="s">
        <v>1821</v>
      </c>
      <c r="D331" s="90">
        <v>45803</v>
      </c>
      <c r="E331" s="90">
        <v>45808</v>
      </c>
      <c r="F331" s="97" t="s">
        <v>11</v>
      </c>
      <c r="G331" s="100">
        <v>0.01</v>
      </c>
      <c r="H331" s="101">
        <v>7.4999999999999997E-3</v>
      </c>
      <c r="I331" s="93" t="s">
        <v>168</v>
      </c>
      <c r="J331" s="102">
        <v>45803</v>
      </c>
      <c r="K331" s="87" t="s">
        <v>1818</v>
      </c>
      <c r="L331" s="105" t="s">
        <v>232</v>
      </c>
    </row>
    <row r="332" spans="1:12">
      <c r="A332" s="37">
        <v>1488</v>
      </c>
      <c r="B332" s="85" t="s">
        <v>35</v>
      </c>
      <c r="C332" s="85">
        <v>17683</v>
      </c>
      <c r="D332" s="90">
        <v>45805</v>
      </c>
      <c r="E332" s="90">
        <v>45808</v>
      </c>
      <c r="F332" s="97" t="s">
        <v>11</v>
      </c>
      <c r="G332" s="100">
        <v>1</v>
      </c>
      <c r="H332" s="101">
        <v>6.4999999999999997E-3</v>
      </c>
      <c r="I332" s="93" t="s">
        <v>20</v>
      </c>
      <c r="J332" s="102">
        <v>45810</v>
      </c>
      <c r="K332" s="87" t="s">
        <v>1819</v>
      </c>
      <c r="L332" s="105" t="s">
        <v>1820</v>
      </c>
    </row>
    <row r="333" spans="1:12">
      <c r="A333" s="37">
        <v>1489</v>
      </c>
      <c r="B333" s="85" t="s">
        <v>35</v>
      </c>
      <c r="C333" s="85">
        <v>16988</v>
      </c>
      <c r="D333" s="90">
        <v>45778</v>
      </c>
      <c r="E333" s="90">
        <v>45808</v>
      </c>
      <c r="F333" s="97" t="s">
        <v>11</v>
      </c>
      <c r="G333" s="100">
        <v>0.01</v>
      </c>
      <c r="H333" s="101">
        <v>7.4999999999999997E-3</v>
      </c>
      <c r="I333" s="93" t="s">
        <v>168</v>
      </c>
      <c r="J333" s="102">
        <v>45754</v>
      </c>
      <c r="K333" s="87" t="s">
        <v>1207</v>
      </c>
      <c r="L333" s="105" t="s">
        <v>1192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BBA2-E139-4323-BCCC-585981559DA8}">
  <dimension ref="A1:U350"/>
  <sheetViews>
    <sheetView workbookViewId="0">
      <selection activeCell="F21" sqref="F21"/>
    </sheetView>
  </sheetViews>
  <sheetFormatPr defaultRowHeight="15"/>
  <cols>
    <col min="1" max="1" width="5" bestFit="1" customWidth="1"/>
    <col min="2" max="2" width="13.42578125" bestFit="1" customWidth="1"/>
    <col min="3" max="3" width="25.7109375" bestFit="1" customWidth="1"/>
    <col min="4" max="5" width="10.7109375" bestFit="1" customWidth="1"/>
    <col min="6" max="6" width="22.5703125" bestFit="1" customWidth="1"/>
    <col min="7" max="7" width="21.42578125" bestFit="1" customWidth="1"/>
    <col min="8" max="8" width="19.7109375" bestFit="1" customWidth="1"/>
    <col min="9" max="9" width="30" bestFit="1" customWidth="1"/>
    <col min="10" max="10" width="21" bestFit="1" customWidth="1"/>
    <col min="11" max="11" width="100.5703125" bestFit="1" customWidth="1"/>
    <col min="12" max="12" width="183.710937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793</v>
      </c>
      <c r="B2" s="21" t="s">
        <v>31</v>
      </c>
      <c r="C2" s="1" t="s">
        <v>985</v>
      </c>
      <c r="D2" s="26">
        <v>45748</v>
      </c>
      <c r="E2" s="26">
        <v>45777</v>
      </c>
      <c r="F2" s="40" t="s">
        <v>11</v>
      </c>
      <c r="G2" s="19">
        <v>0.01</v>
      </c>
      <c r="H2" s="77">
        <v>1E-3</v>
      </c>
      <c r="I2" s="81" t="s">
        <v>1492</v>
      </c>
      <c r="J2" s="3">
        <v>45580</v>
      </c>
      <c r="K2" s="18" t="s">
        <v>191</v>
      </c>
      <c r="L2" s="73" t="s">
        <v>193</v>
      </c>
    </row>
    <row r="3" spans="1:21">
      <c r="A3" s="37">
        <v>794</v>
      </c>
      <c r="B3" s="21" t="s">
        <v>31</v>
      </c>
      <c r="C3" s="9" t="s">
        <v>188</v>
      </c>
      <c r="D3" s="26">
        <v>45748</v>
      </c>
      <c r="E3" s="26">
        <v>45777</v>
      </c>
      <c r="F3" s="40" t="s">
        <v>11</v>
      </c>
      <c r="G3" s="19">
        <v>900000</v>
      </c>
      <c r="H3" s="77">
        <v>1.5E-3</v>
      </c>
      <c r="I3" s="81" t="s">
        <v>29</v>
      </c>
      <c r="J3" s="3">
        <v>45705</v>
      </c>
      <c r="K3" s="18" t="s">
        <v>643</v>
      </c>
      <c r="L3" s="22" t="s">
        <v>644</v>
      </c>
    </row>
    <row r="4" spans="1:21">
      <c r="A4" s="37">
        <v>795</v>
      </c>
      <c r="B4" s="21" t="s">
        <v>31</v>
      </c>
      <c r="C4" s="9">
        <v>12340</v>
      </c>
      <c r="D4" s="26">
        <v>45748</v>
      </c>
      <c r="E4" s="26">
        <v>45777</v>
      </c>
      <c r="F4" s="40" t="s">
        <v>11</v>
      </c>
      <c r="G4" s="19" t="s">
        <v>1486</v>
      </c>
      <c r="H4" s="77" t="s">
        <v>1487</v>
      </c>
      <c r="I4" s="81" t="s">
        <v>17</v>
      </c>
      <c r="J4" s="3">
        <v>45705</v>
      </c>
      <c r="K4" s="18" t="s">
        <v>204</v>
      </c>
      <c r="L4" s="22" t="s">
        <v>63</v>
      </c>
    </row>
    <row r="5" spans="1:21">
      <c r="A5" s="37">
        <v>796</v>
      </c>
      <c r="B5" s="21" t="s">
        <v>31</v>
      </c>
      <c r="C5" s="9">
        <v>8835</v>
      </c>
      <c r="D5" s="26">
        <v>45748</v>
      </c>
      <c r="E5" s="26">
        <v>45777</v>
      </c>
      <c r="F5" s="40" t="s">
        <v>11</v>
      </c>
      <c r="G5" s="19">
        <v>0.01</v>
      </c>
      <c r="H5" s="78">
        <v>32</v>
      </c>
      <c r="I5" s="81" t="s">
        <v>17</v>
      </c>
      <c r="J5" s="3">
        <v>45716</v>
      </c>
      <c r="K5" s="18" t="s">
        <v>772</v>
      </c>
      <c r="L5" s="22" t="s">
        <v>773</v>
      </c>
    </row>
    <row r="6" spans="1:21" ht="30">
      <c r="A6" s="37">
        <v>797</v>
      </c>
      <c r="B6" s="21" t="s">
        <v>31</v>
      </c>
      <c r="C6" s="9">
        <v>1427</v>
      </c>
      <c r="D6" s="26">
        <v>45748</v>
      </c>
      <c r="E6" s="26">
        <v>45777</v>
      </c>
      <c r="F6" s="40" t="s">
        <v>11</v>
      </c>
      <c r="G6" s="19">
        <v>0.01</v>
      </c>
      <c r="H6" s="77">
        <v>4.4999999999999997E-3</v>
      </c>
      <c r="I6" s="81" t="s">
        <v>20</v>
      </c>
      <c r="J6" s="3">
        <v>45721</v>
      </c>
      <c r="K6" s="18" t="s">
        <v>797</v>
      </c>
      <c r="L6" s="22" t="s">
        <v>1471</v>
      </c>
    </row>
    <row r="7" spans="1:21">
      <c r="A7" s="37">
        <v>798</v>
      </c>
      <c r="B7" s="21" t="s">
        <v>31</v>
      </c>
      <c r="C7" s="9" t="s">
        <v>148</v>
      </c>
      <c r="D7" s="26">
        <v>45748</v>
      </c>
      <c r="E7" s="26">
        <v>45777</v>
      </c>
      <c r="F7" s="40" t="s">
        <v>11</v>
      </c>
      <c r="G7" s="19">
        <v>800000</v>
      </c>
      <c r="H7" s="77">
        <v>1E-3</v>
      </c>
      <c r="I7" s="81" t="s">
        <v>19</v>
      </c>
      <c r="J7" s="3">
        <v>45730</v>
      </c>
      <c r="K7" s="18" t="s">
        <v>939</v>
      </c>
      <c r="L7" s="22" t="s">
        <v>1011</v>
      </c>
    </row>
    <row r="8" spans="1:21">
      <c r="A8" s="37">
        <v>799</v>
      </c>
      <c r="B8" s="21" t="s">
        <v>31</v>
      </c>
      <c r="C8" s="9" t="s">
        <v>987</v>
      </c>
      <c r="D8" s="26">
        <v>45748</v>
      </c>
      <c r="E8" s="26">
        <v>45777</v>
      </c>
      <c r="F8" s="40" t="s">
        <v>11</v>
      </c>
      <c r="G8" s="19">
        <v>300000</v>
      </c>
      <c r="H8" s="77">
        <v>2E-3</v>
      </c>
      <c r="I8" s="81" t="s">
        <v>17</v>
      </c>
      <c r="J8" s="3">
        <v>45721</v>
      </c>
      <c r="K8" s="18" t="s">
        <v>961</v>
      </c>
      <c r="L8" s="22" t="s">
        <v>963</v>
      </c>
    </row>
    <row r="9" spans="1:21">
      <c r="A9" s="37">
        <v>800</v>
      </c>
      <c r="B9" s="21" t="s">
        <v>31</v>
      </c>
      <c r="C9" s="9" t="s">
        <v>678</v>
      </c>
      <c r="D9" s="26">
        <v>45748</v>
      </c>
      <c r="E9" s="26">
        <v>45777</v>
      </c>
      <c r="F9" s="40" t="s">
        <v>11</v>
      </c>
      <c r="G9" s="19">
        <v>300000</v>
      </c>
      <c r="H9" s="77">
        <v>4.0000000000000001E-3</v>
      </c>
      <c r="I9" s="81" t="s">
        <v>19</v>
      </c>
      <c r="J9" s="3">
        <v>45728</v>
      </c>
      <c r="K9" s="18" t="s">
        <v>974</v>
      </c>
      <c r="L9" s="22" t="s">
        <v>975</v>
      </c>
    </row>
    <row r="10" spans="1:21">
      <c r="A10" s="37">
        <v>801</v>
      </c>
      <c r="B10" s="21" t="s">
        <v>31</v>
      </c>
      <c r="C10" s="9">
        <v>7934</v>
      </c>
      <c r="D10" s="26">
        <v>45748</v>
      </c>
      <c r="E10" s="26">
        <v>45777</v>
      </c>
      <c r="F10" s="40" t="s">
        <v>11</v>
      </c>
      <c r="G10" s="19">
        <v>1000</v>
      </c>
      <c r="H10" s="77">
        <v>2E-3</v>
      </c>
      <c r="I10" s="81" t="s">
        <v>19</v>
      </c>
      <c r="J10" s="3">
        <v>45734</v>
      </c>
      <c r="K10" s="18" t="s">
        <v>999</v>
      </c>
      <c r="L10" s="22" t="s">
        <v>1001</v>
      </c>
    </row>
    <row r="11" spans="1:21">
      <c r="A11" s="37">
        <v>802</v>
      </c>
      <c r="B11" s="21" t="s">
        <v>31</v>
      </c>
      <c r="C11" s="9">
        <v>10649</v>
      </c>
      <c r="D11" s="26">
        <v>45736</v>
      </c>
      <c r="E11" s="26">
        <v>45768</v>
      </c>
      <c r="F11" s="40" t="s">
        <v>11</v>
      </c>
      <c r="G11" s="19">
        <v>170000</v>
      </c>
      <c r="H11" s="77">
        <v>2E-3</v>
      </c>
      <c r="I11" s="81" t="s">
        <v>27</v>
      </c>
      <c r="J11" s="3">
        <v>45736</v>
      </c>
      <c r="K11" s="18" t="s">
        <v>1030</v>
      </c>
      <c r="L11" s="22" t="s">
        <v>1031</v>
      </c>
    </row>
    <row r="12" spans="1:21">
      <c r="A12" s="37">
        <v>803</v>
      </c>
      <c r="B12" s="21" t="s">
        <v>31</v>
      </c>
      <c r="C12" s="9">
        <v>10649</v>
      </c>
      <c r="D12" s="26">
        <v>45736</v>
      </c>
      <c r="E12" s="26">
        <v>45768</v>
      </c>
      <c r="F12" s="40" t="s">
        <v>11</v>
      </c>
      <c r="G12" s="19">
        <v>200000</v>
      </c>
      <c r="H12" s="77">
        <v>3.0000000000000001E-3</v>
      </c>
      <c r="I12" s="81" t="s">
        <v>39</v>
      </c>
      <c r="J12" s="3">
        <v>45736</v>
      </c>
      <c r="K12" s="18" t="s">
        <v>1030</v>
      </c>
      <c r="L12" s="22" t="s">
        <v>1031</v>
      </c>
    </row>
    <row r="13" spans="1:21">
      <c r="A13" s="37">
        <v>804</v>
      </c>
      <c r="B13" s="21" t="s">
        <v>31</v>
      </c>
      <c r="C13" s="9" t="s">
        <v>1080</v>
      </c>
      <c r="D13" s="26">
        <v>45748</v>
      </c>
      <c r="E13" s="26">
        <v>45777</v>
      </c>
      <c r="F13" s="40" t="s">
        <v>11</v>
      </c>
      <c r="G13" s="19">
        <v>600000</v>
      </c>
      <c r="H13" s="77">
        <v>5.0000000000000001E-3</v>
      </c>
      <c r="I13" s="81" t="s">
        <v>39</v>
      </c>
      <c r="J13" s="3">
        <v>45737</v>
      </c>
      <c r="K13" s="18" t="s">
        <v>1039</v>
      </c>
      <c r="L13" s="22" t="s">
        <v>1041</v>
      </c>
    </row>
    <row r="14" spans="1:21">
      <c r="A14" s="37">
        <v>805</v>
      </c>
      <c r="B14" s="21" t="s">
        <v>31</v>
      </c>
      <c r="C14" s="9">
        <v>12765</v>
      </c>
      <c r="D14" s="26">
        <v>45748</v>
      </c>
      <c r="E14" s="26">
        <v>45777</v>
      </c>
      <c r="F14" s="40" t="s">
        <v>11</v>
      </c>
      <c r="G14" s="19">
        <v>1000000</v>
      </c>
      <c r="H14" s="77">
        <v>0</v>
      </c>
      <c r="I14" s="81" t="s">
        <v>19</v>
      </c>
      <c r="J14" s="3">
        <v>45740</v>
      </c>
      <c r="K14" s="18" t="s">
        <v>1071</v>
      </c>
      <c r="L14" s="22" t="s">
        <v>1450</v>
      </c>
    </row>
    <row r="15" spans="1:21">
      <c r="A15" s="37">
        <v>806</v>
      </c>
      <c r="B15" s="21" t="s">
        <v>31</v>
      </c>
      <c r="C15" s="9">
        <v>17270</v>
      </c>
      <c r="D15" s="26">
        <v>45748</v>
      </c>
      <c r="E15" s="26">
        <v>45777</v>
      </c>
      <c r="F15" s="40" t="s">
        <v>11</v>
      </c>
      <c r="G15" s="19">
        <v>100000</v>
      </c>
      <c r="H15" s="77">
        <v>4.0000000000000001E-3</v>
      </c>
      <c r="I15" s="81" t="s">
        <v>39</v>
      </c>
      <c r="J15" s="3">
        <v>45748</v>
      </c>
      <c r="K15" s="18" t="s">
        <v>1126</v>
      </c>
      <c r="L15" s="22" t="s">
        <v>1127</v>
      </c>
    </row>
    <row r="16" spans="1:21">
      <c r="A16" s="37">
        <v>807</v>
      </c>
      <c r="B16" s="21" t="s">
        <v>31</v>
      </c>
      <c r="C16" s="9">
        <v>8336</v>
      </c>
      <c r="D16" s="26">
        <v>45748</v>
      </c>
      <c r="E16" s="26">
        <v>45777</v>
      </c>
      <c r="F16" s="40" t="s">
        <v>11</v>
      </c>
      <c r="G16" s="19">
        <v>0.01</v>
      </c>
      <c r="H16" s="77">
        <v>0.02</v>
      </c>
      <c r="I16" s="81" t="s">
        <v>47</v>
      </c>
      <c r="J16" s="3">
        <v>45748</v>
      </c>
      <c r="K16" s="18" t="s">
        <v>1128</v>
      </c>
      <c r="L16" s="22" t="s">
        <v>1149</v>
      </c>
    </row>
    <row r="17" spans="1:12">
      <c r="A17" s="37">
        <v>808</v>
      </c>
      <c r="B17" s="21" t="s">
        <v>31</v>
      </c>
      <c r="C17" s="9">
        <v>13016</v>
      </c>
      <c r="D17" s="26">
        <v>45748</v>
      </c>
      <c r="E17" s="26">
        <v>45777</v>
      </c>
      <c r="F17" s="40" t="s">
        <v>11</v>
      </c>
      <c r="G17" s="19">
        <v>100000</v>
      </c>
      <c r="H17" s="77">
        <v>2E-3</v>
      </c>
      <c r="I17" s="81" t="s">
        <v>168</v>
      </c>
      <c r="J17" s="3">
        <v>45748</v>
      </c>
      <c r="K17" s="18" t="s">
        <v>804</v>
      </c>
      <c r="L17" s="22" t="s">
        <v>1129</v>
      </c>
    </row>
    <row r="18" spans="1:12">
      <c r="A18" s="37">
        <v>809</v>
      </c>
      <c r="B18" s="21" t="s">
        <v>31</v>
      </c>
      <c r="C18" s="9">
        <v>13016</v>
      </c>
      <c r="D18" s="26">
        <v>45748</v>
      </c>
      <c r="E18" s="26">
        <v>45777</v>
      </c>
      <c r="F18" s="40" t="s">
        <v>11</v>
      </c>
      <c r="G18" s="19">
        <v>87500</v>
      </c>
      <c r="H18" s="77">
        <v>1.5E-3</v>
      </c>
      <c r="I18" s="81" t="s">
        <v>29</v>
      </c>
      <c r="J18" s="3">
        <v>45748</v>
      </c>
      <c r="K18" s="18" t="s">
        <v>804</v>
      </c>
      <c r="L18" s="22" t="s">
        <v>1129</v>
      </c>
    </row>
    <row r="19" spans="1:12">
      <c r="A19" s="37">
        <v>810</v>
      </c>
      <c r="B19" s="21" t="s">
        <v>31</v>
      </c>
      <c r="C19" s="9">
        <v>13016</v>
      </c>
      <c r="D19" s="26">
        <v>45748</v>
      </c>
      <c r="E19" s="26">
        <v>45777</v>
      </c>
      <c r="F19" s="40" t="s">
        <v>11</v>
      </c>
      <c r="G19" s="19">
        <v>75000</v>
      </c>
      <c r="H19" s="77">
        <v>1E-3</v>
      </c>
      <c r="I19" s="81" t="s">
        <v>29</v>
      </c>
      <c r="J19" s="3">
        <v>45748</v>
      </c>
      <c r="K19" s="18" t="s">
        <v>804</v>
      </c>
      <c r="L19" s="22" t="s">
        <v>1129</v>
      </c>
    </row>
    <row r="20" spans="1:12">
      <c r="A20" s="37">
        <v>811</v>
      </c>
      <c r="B20" s="21" t="s">
        <v>31</v>
      </c>
      <c r="C20" s="9">
        <v>11652</v>
      </c>
      <c r="D20" s="26">
        <v>45748</v>
      </c>
      <c r="E20" s="26">
        <v>45754</v>
      </c>
      <c r="F20" s="40" t="s">
        <v>11</v>
      </c>
      <c r="G20" s="19">
        <v>0.01</v>
      </c>
      <c r="H20" s="77">
        <v>0.01</v>
      </c>
      <c r="I20" s="81" t="s">
        <v>29</v>
      </c>
      <c r="J20" s="3">
        <v>45748</v>
      </c>
      <c r="K20" s="18" t="s">
        <v>1130</v>
      </c>
      <c r="L20" s="22" t="s">
        <v>445</v>
      </c>
    </row>
    <row r="21" spans="1:12">
      <c r="A21" s="37">
        <v>812</v>
      </c>
      <c r="B21" s="21" t="s">
        <v>31</v>
      </c>
      <c r="C21" s="9">
        <v>11652</v>
      </c>
      <c r="D21" s="26">
        <v>45748</v>
      </c>
      <c r="E21" s="26">
        <v>45777</v>
      </c>
      <c r="F21" s="40" t="s">
        <v>11</v>
      </c>
      <c r="G21" s="19">
        <v>0.01</v>
      </c>
      <c r="H21" s="77">
        <v>2.5000000000000001E-3</v>
      </c>
      <c r="I21" s="81" t="s">
        <v>46</v>
      </c>
      <c r="J21" s="3">
        <v>45748</v>
      </c>
      <c r="K21" s="18" t="s">
        <v>1130</v>
      </c>
      <c r="L21" s="22" t="s">
        <v>1131</v>
      </c>
    </row>
    <row r="22" spans="1:12">
      <c r="A22" s="37">
        <v>813</v>
      </c>
      <c r="B22" s="21" t="s">
        <v>31</v>
      </c>
      <c r="C22" s="9">
        <v>10090</v>
      </c>
      <c r="D22" s="26">
        <v>45748</v>
      </c>
      <c r="E22" s="26">
        <v>45777</v>
      </c>
      <c r="F22" s="40" t="s">
        <v>11</v>
      </c>
      <c r="G22" s="19">
        <v>0.01</v>
      </c>
      <c r="H22" s="77">
        <v>0.01</v>
      </c>
      <c r="I22" s="81" t="s">
        <v>46</v>
      </c>
      <c r="J22" s="3">
        <v>45748</v>
      </c>
      <c r="K22" s="18" t="s">
        <v>1130</v>
      </c>
      <c r="L22" s="22" t="s">
        <v>1443</v>
      </c>
    </row>
    <row r="23" spans="1:12">
      <c r="A23" s="37">
        <v>814</v>
      </c>
      <c r="B23" s="21" t="s">
        <v>31</v>
      </c>
      <c r="C23" s="9">
        <v>14533</v>
      </c>
      <c r="D23" s="26">
        <v>45748</v>
      </c>
      <c r="E23" s="26">
        <v>45777</v>
      </c>
      <c r="F23" s="40" t="s">
        <v>11</v>
      </c>
      <c r="G23" s="19">
        <v>0.01</v>
      </c>
      <c r="H23" s="77">
        <v>0.01</v>
      </c>
      <c r="I23" s="81" t="s">
        <v>46</v>
      </c>
      <c r="J23" s="3">
        <v>45748</v>
      </c>
      <c r="K23" s="18" t="s">
        <v>1130</v>
      </c>
      <c r="L23" s="22" t="s">
        <v>1443</v>
      </c>
    </row>
    <row r="24" spans="1:12">
      <c r="A24" s="37">
        <v>815</v>
      </c>
      <c r="B24" s="21" t="s">
        <v>31</v>
      </c>
      <c r="C24" s="9">
        <v>14533</v>
      </c>
      <c r="D24" s="26">
        <v>45748</v>
      </c>
      <c r="E24" s="26">
        <v>45777</v>
      </c>
      <c r="F24" s="40" t="s">
        <v>11</v>
      </c>
      <c r="G24" s="19">
        <v>0.01</v>
      </c>
      <c r="H24" s="77">
        <v>2.5000000000000001E-3</v>
      </c>
      <c r="I24" s="81" t="s">
        <v>46</v>
      </c>
      <c r="J24" s="3">
        <v>45748</v>
      </c>
      <c r="K24" s="18" t="s">
        <v>1130</v>
      </c>
      <c r="L24" s="22" t="s">
        <v>1131</v>
      </c>
    </row>
    <row r="25" spans="1:12">
      <c r="A25" s="37">
        <v>816</v>
      </c>
      <c r="B25" s="21" t="s">
        <v>31</v>
      </c>
      <c r="C25" s="9">
        <v>16839</v>
      </c>
      <c r="D25" s="26">
        <v>45748</v>
      </c>
      <c r="E25" s="26">
        <v>45777</v>
      </c>
      <c r="F25" s="40" t="s">
        <v>11</v>
      </c>
      <c r="G25" s="19">
        <v>0.01</v>
      </c>
      <c r="H25" s="77">
        <v>0.01</v>
      </c>
      <c r="I25" s="81" t="s">
        <v>46</v>
      </c>
      <c r="J25" s="3">
        <v>45748</v>
      </c>
      <c r="K25" s="18" t="s">
        <v>1130</v>
      </c>
      <c r="L25" s="22" t="s">
        <v>1443</v>
      </c>
    </row>
    <row r="26" spans="1:12">
      <c r="A26" s="37">
        <v>817</v>
      </c>
      <c r="B26" s="21" t="s">
        <v>31</v>
      </c>
      <c r="C26" s="9">
        <v>4629</v>
      </c>
      <c r="D26" s="26">
        <v>45748</v>
      </c>
      <c r="E26" s="26">
        <v>45777</v>
      </c>
      <c r="F26" s="40" t="s">
        <v>11</v>
      </c>
      <c r="G26" s="19">
        <v>0.01</v>
      </c>
      <c r="H26" s="77">
        <v>0.01</v>
      </c>
      <c r="I26" s="81" t="s">
        <v>46</v>
      </c>
      <c r="J26" s="3">
        <v>45748</v>
      </c>
      <c r="K26" s="18" t="s">
        <v>1130</v>
      </c>
      <c r="L26" s="22" t="s">
        <v>1444</v>
      </c>
    </row>
    <row r="27" spans="1:12">
      <c r="A27" s="37">
        <v>818</v>
      </c>
      <c r="B27" s="21" t="s">
        <v>31</v>
      </c>
      <c r="C27" s="9">
        <v>4629</v>
      </c>
      <c r="D27" s="26">
        <v>45748</v>
      </c>
      <c r="E27" s="26">
        <v>45754</v>
      </c>
      <c r="F27" s="40" t="s">
        <v>11</v>
      </c>
      <c r="G27" s="19">
        <v>0.01</v>
      </c>
      <c r="H27" s="77">
        <v>5.0000000000000001E-3</v>
      </c>
      <c r="I27" s="81" t="s">
        <v>46</v>
      </c>
      <c r="J27" s="3">
        <v>45748</v>
      </c>
      <c r="K27" s="18" t="s">
        <v>1130</v>
      </c>
      <c r="L27" s="22" t="s">
        <v>1132</v>
      </c>
    </row>
    <row r="28" spans="1:12">
      <c r="A28" s="37">
        <v>819</v>
      </c>
      <c r="B28" s="21" t="s">
        <v>31</v>
      </c>
      <c r="C28" s="9">
        <v>16775</v>
      </c>
      <c r="D28" s="26">
        <v>45748</v>
      </c>
      <c r="E28" s="26">
        <v>45777</v>
      </c>
      <c r="F28" s="40" t="s">
        <v>11</v>
      </c>
      <c r="G28" s="19">
        <v>0.01</v>
      </c>
      <c r="H28" s="77">
        <v>0.01</v>
      </c>
      <c r="I28" s="81" t="s">
        <v>46</v>
      </c>
      <c r="J28" s="3">
        <v>45748</v>
      </c>
      <c r="K28" s="18" t="s">
        <v>1130</v>
      </c>
      <c r="L28" s="22" t="s">
        <v>1443</v>
      </c>
    </row>
    <row r="29" spans="1:12">
      <c r="A29" s="37">
        <v>820</v>
      </c>
      <c r="B29" s="21" t="s">
        <v>31</v>
      </c>
      <c r="C29" s="9">
        <v>3489</v>
      </c>
      <c r="D29" s="26">
        <v>45748</v>
      </c>
      <c r="E29" s="26">
        <v>45777</v>
      </c>
      <c r="F29" s="40" t="s">
        <v>11</v>
      </c>
      <c r="G29" s="19">
        <v>1000</v>
      </c>
      <c r="H29" s="77">
        <v>9.4999999999999998E-3</v>
      </c>
      <c r="I29" s="81" t="s">
        <v>46</v>
      </c>
      <c r="J29" s="3">
        <v>45748</v>
      </c>
      <c r="K29" s="18" t="s">
        <v>976</v>
      </c>
      <c r="L29" s="22" t="s">
        <v>1133</v>
      </c>
    </row>
    <row r="30" spans="1:12">
      <c r="A30" s="37">
        <v>821</v>
      </c>
      <c r="B30" s="21" t="s">
        <v>31</v>
      </c>
      <c r="C30" s="9">
        <v>14363</v>
      </c>
      <c r="D30" s="26">
        <v>45748</v>
      </c>
      <c r="E30" s="26">
        <v>45777</v>
      </c>
      <c r="F30" s="40" t="s">
        <v>11</v>
      </c>
      <c r="G30" s="19">
        <v>1000</v>
      </c>
      <c r="H30" s="77">
        <v>1.4999999999999999E-2</v>
      </c>
      <c r="I30" s="81" t="s">
        <v>25</v>
      </c>
      <c r="J30" s="3">
        <v>45748</v>
      </c>
      <c r="K30" s="18" t="s">
        <v>1134</v>
      </c>
      <c r="L30" s="22" t="s">
        <v>1135</v>
      </c>
    </row>
    <row r="31" spans="1:12">
      <c r="A31" s="37">
        <v>822</v>
      </c>
      <c r="B31" s="21" t="s">
        <v>31</v>
      </c>
      <c r="C31" s="9">
        <v>14452</v>
      </c>
      <c r="D31" s="26">
        <v>45748</v>
      </c>
      <c r="E31" s="26">
        <v>45777</v>
      </c>
      <c r="F31" s="40" t="s">
        <v>11</v>
      </c>
      <c r="G31" s="19">
        <v>50000</v>
      </c>
      <c r="H31" s="77">
        <v>7.0000000000000001E-3</v>
      </c>
      <c r="I31" s="81" t="s">
        <v>15</v>
      </c>
      <c r="J31" s="3">
        <v>45748</v>
      </c>
      <c r="K31" s="18" t="s">
        <v>994</v>
      </c>
      <c r="L31" s="22" t="s">
        <v>1136</v>
      </c>
    </row>
    <row r="32" spans="1:12">
      <c r="A32" s="37">
        <v>823</v>
      </c>
      <c r="B32" s="21" t="s">
        <v>31</v>
      </c>
      <c r="C32" s="9">
        <v>8835</v>
      </c>
      <c r="D32" s="26">
        <v>45748</v>
      </c>
      <c r="E32" s="26">
        <v>45777</v>
      </c>
      <c r="F32" s="40" t="s">
        <v>11</v>
      </c>
      <c r="G32" s="19">
        <v>150000</v>
      </c>
      <c r="H32" s="77">
        <v>3.5000000000000001E-3</v>
      </c>
      <c r="I32" s="81" t="s">
        <v>20</v>
      </c>
      <c r="J32" s="3">
        <v>45748</v>
      </c>
      <c r="K32" s="18" t="s">
        <v>1137</v>
      </c>
      <c r="L32" s="22" t="s">
        <v>990</v>
      </c>
    </row>
    <row r="33" spans="1:12">
      <c r="A33" s="37">
        <v>824</v>
      </c>
      <c r="B33" s="21" t="s">
        <v>31</v>
      </c>
      <c r="C33" s="9">
        <v>8300</v>
      </c>
      <c r="D33" s="26">
        <v>45748</v>
      </c>
      <c r="E33" s="26">
        <v>45754</v>
      </c>
      <c r="F33" s="40" t="s">
        <v>11</v>
      </c>
      <c r="G33" s="19">
        <v>1000</v>
      </c>
      <c r="H33" s="77">
        <v>0.02</v>
      </c>
      <c r="I33" s="81" t="s">
        <v>20</v>
      </c>
      <c r="J33" s="3">
        <v>45748</v>
      </c>
      <c r="K33" s="18" t="s">
        <v>1108</v>
      </c>
      <c r="L33" s="22" t="s">
        <v>1140</v>
      </c>
    </row>
    <row r="34" spans="1:12">
      <c r="A34" s="37">
        <v>825</v>
      </c>
      <c r="B34" s="21" t="s">
        <v>31</v>
      </c>
      <c r="C34" s="9">
        <v>10109</v>
      </c>
      <c r="D34" s="26">
        <v>45748</v>
      </c>
      <c r="E34" s="26">
        <v>45777</v>
      </c>
      <c r="F34" s="40" t="s">
        <v>11</v>
      </c>
      <c r="G34" s="19">
        <v>300</v>
      </c>
      <c r="H34" s="77">
        <v>2E-3</v>
      </c>
      <c r="I34" s="81" t="s">
        <v>20</v>
      </c>
      <c r="J34" s="3">
        <v>45749</v>
      </c>
      <c r="K34" s="18" t="s">
        <v>1092</v>
      </c>
      <c r="L34" s="22" t="s">
        <v>1449</v>
      </c>
    </row>
    <row r="35" spans="1:12">
      <c r="A35" s="37">
        <v>826</v>
      </c>
      <c r="B35" s="21" t="s">
        <v>31</v>
      </c>
      <c r="C35" s="9">
        <v>16474</v>
      </c>
      <c r="D35" s="26">
        <v>45748</v>
      </c>
      <c r="E35" s="26">
        <v>45777</v>
      </c>
      <c r="F35" s="40" t="s">
        <v>11</v>
      </c>
      <c r="G35" s="19">
        <v>400000</v>
      </c>
      <c r="H35" s="77">
        <v>5.0000000000000001E-3</v>
      </c>
      <c r="I35" s="81" t="s">
        <v>41</v>
      </c>
      <c r="J35" s="3">
        <v>45749</v>
      </c>
      <c r="K35" s="18" t="s">
        <v>1141</v>
      </c>
      <c r="L35" s="22" t="s">
        <v>127</v>
      </c>
    </row>
    <row r="36" spans="1:12">
      <c r="A36" s="37">
        <v>827</v>
      </c>
      <c r="B36" s="21" t="s">
        <v>31</v>
      </c>
      <c r="C36" s="9">
        <v>14876</v>
      </c>
      <c r="D36" s="26">
        <v>45748</v>
      </c>
      <c r="E36" s="26">
        <v>45777</v>
      </c>
      <c r="F36" s="40" t="s">
        <v>11</v>
      </c>
      <c r="G36" s="19">
        <v>0.01</v>
      </c>
      <c r="H36" s="77">
        <v>5.0000000000000001E-3</v>
      </c>
      <c r="I36" s="81" t="s">
        <v>168</v>
      </c>
      <c r="J36" s="3">
        <v>45749</v>
      </c>
      <c r="K36" s="18" t="s">
        <v>1142</v>
      </c>
      <c r="L36" s="22" t="s">
        <v>1143</v>
      </c>
    </row>
    <row r="37" spans="1:12">
      <c r="A37" s="37">
        <v>828</v>
      </c>
      <c r="B37" s="21" t="s">
        <v>31</v>
      </c>
      <c r="C37" s="9">
        <v>15730</v>
      </c>
      <c r="D37" s="26">
        <v>45748</v>
      </c>
      <c r="E37" s="26">
        <v>45777</v>
      </c>
      <c r="F37" s="40" t="s">
        <v>11</v>
      </c>
      <c r="G37" s="19">
        <v>100000</v>
      </c>
      <c r="H37" s="77">
        <v>1E-3</v>
      </c>
      <c r="I37" s="81" t="s">
        <v>30</v>
      </c>
      <c r="J37" s="3">
        <v>45749</v>
      </c>
      <c r="K37" s="18" t="s">
        <v>1144</v>
      </c>
      <c r="L37" s="22" t="s">
        <v>107</v>
      </c>
    </row>
    <row r="38" spans="1:12">
      <c r="A38" s="37">
        <v>829</v>
      </c>
      <c r="B38" s="21" t="s">
        <v>31</v>
      </c>
      <c r="C38" s="9">
        <v>15730</v>
      </c>
      <c r="D38" s="26">
        <v>45748</v>
      </c>
      <c r="E38" s="26">
        <v>45777</v>
      </c>
      <c r="F38" s="40" t="s">
        <v>11</v>
      </c>
      <c r="G38" s="19">
        <v>200000</v>
      </c>
      <c r="H38" s="77">
        <v>2E-3</v>
      </c>
      <c r="I38" s="81" t="s">
        <v>13</v>
      </c>
      <c r="J38" s="3">
        <v>45749</v>
      </c>
      <c r="K38" s="18" t="s">
        <v>1144</v>
      </c>
      <c r="L38" s="22" t="s">
        <v>107</v>
      </c>
    </row>
    <row r="39" spans="1:12">
      <c r="A39" s="37">
        <v>830</v>
      </c>
      <c r="B39" s="21" t="s">
        <v>31</v>
      </c>
      <c r="C39" s="9">
        <v>15730</v>
      </c>
      <c r="D39" s="26">
        <v>45748</v>
      </c>
      <c r="E39" s="26">
        <v>45777</v>
      </c>
      <c r="F39" s="40" t="s">
        <v>11</v>
      </c>
      <c r="G39" s="19">
        <v>300000</v>
      </c>
      <c r="H39" s="77">
        <v>3.0000000000000001E-3</v>
      </c>
      <c r="I39" s="81" t="s">
        <v>13</v>
      </c>
      <c r="J39" s="3">
        <v>45749</v>
      </c>
      <c r="K39" s="18" t="s">
        <v>1144</v>
      </c>
      <c r="L39" s="22" t="s">
        <v>107</v>
      </c>
    </row>
    <row r="40" spans="1:12">
      <c r="A40" s="37">
        <v>831</v>
      </c>
      <c r="B40" s="21" t="s">
        <v>31</v>
      </c>
      <c r="C40" s="9">
        <v>15730</v>
      </c>
      <c r="D40" s="26">
        <v>45748</v>
      </c>
      <c r="E40" s="26">
        <v>45777</v>
      </c>
      <c r="F40" s="40" t="s">
        <v>11</v>
      </c>
      <c r="G40" s="19">
        <v>400000</v>
      </c>
      <c r="H40" s="77">
        <v>4.0000000000000001E-3</v>
      </c>
      <c r="I40" s="81" t="s">
        <v>13</v>
      </c>
      <c r="J40" s="3">
        <v>45749</v>
      </c>
      <c r="K40" s="18" t="s">
        <v>1144</v>
      </c>
      <c r="L40" s="22" t="s">
        <v>107</v>
      </c>
    </row>
    <row r="41" spans="1:12">
      <c r="A41" s="37">
        <v>832</v>
      </c>
      <c r="B41" s="21" t="s">
        <v>31</v>
      </c>
      <c r="C41" s="9">
        <v>15730</v>
      </c>
      <c r="D41" s="26">
        <v>45748</v>
      </c>
      <c r="E41" s="26">
        <v>45777</v>
      </c>
      <c r="F41" s="40" t="s">
        <v>11</v>
      </c>
      <c r="G41" s="19">
        <v>500000</v>
      </c>
      <c r="H41" s="77">
        <v>5.0000000000000001E-3</v>
      </c>
      <c r="I41" s="81" t="s">
        <v>13</v>
      </c>
      <c r="J41" s="3">
        <v>45749</v>
      </c>
      <c r="K41" s="18" t="s">
        <v>1144</v>
      </c>
      <c r="L41" s="22" t="s">
        <v>107</v>
      </c>
    </row>
    <row r="42" spans="1:12">
      <c r="A42" s="37">
        <v>833</v>
      </c>
      <c r="B42" s="21" t="s">
        <v>31</v>
      </c>
      <c r="C42" s="9">
        <v>11730</v>
      </c>
      <c r="D42" s="26">
        <v>45748</v>
      </c>
      <c r="E42" s="26">
        <v>45754</v>
      </c>
      <c r="F42" s="40" t="s">
        <v>11</v>
      </c>
      <c r="G42" s="19">
        <v>0.01</v>
      </c>
      <c r="H42" s="77">
        <v>0.01</v>
      </c>
      <c r="I42" s="81" t="s">
        <v>13</v>
      </c>
      <c r="J42" s="3">
        <v>45749</v>
      </c>
      <c r="K42" s="18" t="s">
        <v>1145</v>
      </c>
      <c r="L42" s="22" t="s">
        <v>1445</v>
      </c>
    </row>
    <row r="43" spans="1:12">
      <c r="A43" s="37">
        <v>834</v>
      </c>
      <c r="B43" s="21" t="s">
        <v>31</v>
      </c>
      <c r="C43" s="9">
        <v>8447</v>
      </c>
      <c r="D43" s="26">
        <v>45748</v>
      </c>
      <c r="E43" s="26">
        <v>45754</v>
      </c>
      <c r="F43" s="40" t="s">
        <v>11</v>
      </c>
      <c r="G43" s="19">
        <v>0.01</v>
      </c>
      <c r="H43" s="77">
        <v>0.01</v>
      </c>
      <c r="I43" s="81" t="s">
        <v>14</v>
      </c>
      <c r="J43" s="3">
        <v>45749</v>
      </c>
      <c r="K43" s="18" t="s">
        <v>1145</v>
      </c>
      <c r="L43" s="22" t="s">
        <v>1446</v>
      </c>
    </row>
    <row r="44" spans="1:12">
      <c r="A44" s="37">
        <v>835</v>
      </c>
      <c r="B44" s="21" t="s">
        <v>31</v>
      </c>
      <c r="C44" s="9">
        <v>15366</v>
      </c>
      <c r="D44" s="26">
        <v>45748</v>
      </c>
      <c r="E44" s="26">
        <v>45754</v>
      </c>
      <c r="F44" s="40" t="s">
        <v>11</v>
      </c>
      <c r="G44" s="19">
        <v>0.01</v>
      </c>
      <c r="H44" s="77">
        <v>0.01</v>
      </c>
      <c r="I44" s="81" t="s">
        <v>14</v>
      </c>
      <c r="J44" s="3">
        <v>45749</v>
      </c>
      <c r="K44" s="18" t="s">
        <v>1145</v>
      </c>
      <c r="L44" s="22" t="s">
        <v>1445</v>
      </c>
    </row>
    <row r="45" spans="1:12">
      <c r="A45" s="37">
        <v>836</v>
      </c>
      <c r="B45" s="21" t="s">
        <v>31</v>
      </c>
      <c r="C45" s="9">
        <v>15602</v>
      </c>
      <c r="D45" s="26">
        <v>45748</v>
      </c>
      <c r="E45" s="26">
        <v>45754</v>
      </c>
      <c r="F45" s="40" t="s">
        <v>11</v>
      </c>
      <c r="G45" s="19">
        <v>0.01</v>
      </c>
      <c r="H45" s="77">
        <v>0.01</v>
      </c>
      <c r="I45" s="81" t="s">
        <v>14</v>
      </c>
      <c r="J45" s="3">
        <v>45749</v>
      </c>
      <c r="K45" s="18" t="s">
        <v>1145</v>
      </c>
      <c r="L45" s="22" t="s">
        <v>1445</v>
      </c>
    </row>
    <row r="46" spans="1:12">
      <c r="A46" s="37">
        <v>837</v>
      </c>
      <c r="B46" s="21" t="s">
        <v>31</v>
      </c>
      <c r="C46" s="9">
        <v>9212</v>
      </c>
      <c r="D46" s="26">
        <v>45748</v>
      </c>
      <c r="E46" s="26">
        <v>45754</v>
      </c>
      <c r="F46" s="40" t="s">
        <v>11</v>
      </c>
      <c r="G46" s="19">
        <v>0.01</v>
      </c>
      <c r="H46" s="77">
        <v>0.01</v>
      </c>
      <c r="I46" s="81" t="s">
        <v>14</v>
      </c>
      <c r="J46" s="3">
        <v>45749</v>
      </c>
      <c r="K46" s="18" t="s">
        <v>1145</v>
      </c>
      <c r="L46" s="22" t="s">
        <v>1446</v>
      </c>
    </row>
    <row r="47" spans="1:12">
      <c r="A47" s="37">
        <v>838</v>
      </c>
      <c r="B47" s="21" t="s">
        <v>31</v>
      </c>
      <c r="C47" s="9">
        <v>9212</v>
      </c>
      <c r="D47" s="26">
        <v>45748</v>
      </c>
      <c r="E47" s="26">
        <v>45777</v>
      </c>
      <c r="F47" s="40" t="s">
        <v>11</v>
      </c>
      <c r="G47" s="19">
        <v>0.01</v>
      </c>
      <c r="H47" s="77">
        <v>7.4999999999999997E-3</v>
      </c>
      <c r="I47" s="81" t="s">
        <v>14</v>
      </c>
      <c r="J47" s="3">
        <v>45749</v>
      </c>
      <c r="K47" s="18" t="s">
        <v>1145</v>
      </c>
      <c r="L47" s="22" t="s">
        <v>107</v>
      </c>
    </row>
    <row r="48" spans="1:12">
      <c r="A48" s="37">
        <v>839</v>
      </c>
      <c r="B48" s="21" t="s">
        <v>31</v>
      </c>
      <c r="C48" s="9">
        <v>16572</v>
      </c>
      <c r="D48" s="26">
        <v>45748</v>
      </c>
      <c r="E48" s="26">
        <v>45777</v>
      </c>
      <c r="F48" s="40" t="s">
        <v>11</v>
      </c>
      <c r="G48" s="19">
        <v>0.01</v>
      </c>
      <c r="H48" s="77">
        <v>3.0000000000000001E-3</v>
      </c>
      <c r="I48" s="81" t="s">
        <v>14</v>
      </c>
      <c r="J48" s="3">
        <v>45749</v>
      </c>
      <c r="K48" s="18" t="s">
        <v>715</v>
      </c>
      <c r="L48" s="22" t="s">
        <v>1146</v>
      </c>
    </row>
    <row r="49" spans="1:12" ht="30">
      <c r="A49" s="37">
        <v>840</v>
      </c>
      <c r="B49" s="21" t="s">
        <v>31</v>
      </c>
      <c r="C49" s="9" t="s">
        <v>1422</v>
      </c>
      <c r="D49" s="26">
        <v>45748</v>
      </c>
      <c r="E49" s="26">
        <v>45777</v>
      </c>
      <c r="F49" s="40" t="s">
        <v>11</v>
      </c>
      <c r="G49" s="19">
        <v>0.01</v>
      </c>
      <c r="H49" s="77">
        <v>3.0000000000000001E-3</v>
      </c>
      <c r="I49" s="81" t="s">
        <v>12</v>
      </c>
      <c r="J49" s="3">
        <v>45749</v>
      </c>
      <c r="K49" s="18" t="s">
        <v>488</v>
      </c>
      <c r="L49" s="22" t="s">
        <v>1362</v>
      </c>
    </row>
    <row r="50" spans="1:12">
      <c r="A50" s="37">
        <v>841</v>
      </c>
      <c r="B50" s="21" t="s">
        <v>31</v>
      </c>
      <c r="C50" s="9">
        <v>14905</v>
      </c>
      <c r="D50" s="26">
        <v>45748</v>
      </c>
      <c r="E50" s="26">
        <v>45777</v>
      </c>
      <c r="F50" s="40" t="s">
        <v>11</v>
      </c>
      <c r="G50" s="19">
        <v>200000</v>
      </c>
      <c r="H50" s="77">
        <v>3.0000000000000001E-3</v>
      </c>
      <c r="I50" s="81" t="s">
        <v>19</v>
      </c>
      <c r="J50" s="3">
        <v>45749</v>
      </c>
      <c r="K50" s="18" t="s">
        <v>1125</v>
      </c>
      <c r="L50" s="22" t="s">
        <v>1451</v>
      </c>
    </row>
    <row r="51" spans="1:12">
      <c r="A51" s="37">
        <v>842</v>
      </c>
      <c r="B51" s="21" t="s">
        <v>31</v>
      </c>
      <c r="C51" s="9">
        <v>14964</v>
      </c>
      <c r="D51" s="26">
        <v>45748</v>
      </c>
      <c r="E51" s="26">
        <v>45777</v>
      </c>
      <c r="F51" s="40" t="s">
        <v>11</v>
      </c>
      <c r="G51" s="19">
        <v>200000</v>
      </c>
      <c r="H51" s="77">
        <v>3.0000000000000001E-3</v>
      </c>
      <c r="I51" s="81" t="s">
        <v>20</v>
      </c>
      <c r="J51" s="3">
        <v>45743</v>
      </c>
      <c r="K51" s="18" t="s">
        <v>1169</v>
      </c>
      <c r="L51" s="22" t="s">
        <v>1170</v>
      </c>
    </row>
    <row r="52" spans="1:12">
      <c r="A52" s="37">
        <v>843</v>
      </c>
      <c r="B52" s="21" t="s">
        <v>31</v>
      </c>
      <c r="C52" s="9">
        <v>14129</v>
      </c>
      <c r="D52" s="26">
        <v>45748</v>
      </c>
      <c r="E52" s="26">
        <v>45777</v>
      </c>
      <c r="F52" s="40" t="s">
        <v>11</v>
      </c>
      <c r="G52" s="19">
        <v>1000</v>
      </c>
      <c r="H52" s="77">
        <v>7.4999999999999997E-3</v>
      </c>
      <c r="I52" s="81" t="s">
        <v>20</v>
      </c>
      <c r="J52" s="3">
        <v>45750</v>
      </c>
      <c r="K52" s="18" t="s">
        <v>1171</v>
      </c>
      <c r="L52" s="22" t="s">
        <v>107</v>
      </c>
    </row>
    <row r="53" spans="1:12">
      <c r="A53" s="37">
        <v>844</v>
      </c>
      <c r="B53" s="21" t="s">
        <v>31</v>
      </c>
      <c r="C53" s="9">
        <v>15087</v>
      </c>
      <c r="D53" s="26">
        <v>45748</v>
      </c>
      <c r="E53" s="26">
        <v>45777</v>
      </c>
      <c r="F53" s="40" t="s">
        <v>11</v>
      </c>
      <c r="G53" s="19">
        <v>30000</v>
      </c>
      <c r="H53" s="77">
        <v>5.0000000000000001E-3</v>
      </c>
      <c r="I53" s="81" t="s">
        <v>12</v>
      </c>
      <c r="J53" s="3">
        <v>45750</v>
      </c>
      <c r="K53" s="18" t="s">
        <v>1073</v>
      </c>
      <c r="L53" s="22" t="s">
        <v>1172</v>
      </c>
    </row>
    <row r="54" spans="1:12">
      <c r="A54" s="37">
        <v>845</v>
      </c>
      <c r="B54" s="21" t="s">
        <v>31</v>
      </c>
      <c r="C54" s="9">
        <v>15802</v>
      </c>
      <c r="D54" s="26">
        <v>45748</v>
      </c>
      <c r="E54" s="26">
        <v>45777</v>
      </c>
      <c r="F54" s="40" t="s">
        <v>11</v>
      </c>
      <c r="G54" s="19">
        <v>1000</v>
      </c>
      <c r="H54" s="77">
        <v>1.4999999999999999E-2</v>
      </c>
      <c r="I54" s="81" t="s">
        <v>48</v>
      </c>
      <c r="J54" s="3">
        <v>45750</v>
      </c>
      <c r="K54" s="18" t="s">
        <v>1173</v>
      </c>
      <c r="L54" s="22" t="s">
        <v>1174</v>
      </c>
    </row>
    <row r="55" spans="1:12">
      <c r="A55" s="37">
        <v>846</v>
      </c>
      <c r="B55" s="21" t="s">
        <v>31</v>
      </c>
      <c r="C55" s="9" t="s">
        <v>1176</v>
      </c>
      <c r="D55" s="26">
        <v>45748</v>
      </c>
      <c r="E55" s="26">
        <v>45777</v>
      </c>
      <c r="F55" s="40" t="s">
        <v>11</v>
      </c>
      <c r="G55" s="19">
        <v>200000</v>
      </c>
      <c r="H55" s="77">
        <v>2E-3</v>
      </c>
      <c r="I55" s="81" t="s">
        <v>50</v>
      </c>
      <c r="J55" s="3">
        <v>45750</v>
      </c>
      <c r="K55" s="18" t="s">
        <v>1175</v>
      </c>
      <c r="L55" s="22" t="s">
        <v>1177</v>
      </c>
    </row>
    <row r="56" spans="1:12">
      <c r="A56" s="37">
        <v>847</v>
      </c>
      <c r="B56" s="21" t="s">
        <v>31</v>
      </c>
      <c r="C56" s="9" t="s">
        <v>1176</v>
      </c>
      <c r="D56" s="26">
        <v>45748</v>
      </c>
      <c r="E56" s="26">
        <v>45777</v>
      </c>
      <c r="F56" s="40" t="s">
        <v>11</v>
      </c>
      <c r="G56" s="19">
        <v>200000</v>
      </c>
      <c r="H56" s="77">
        <v>2E-3</v>
      </c>
      <c r="I56" s="81" t="s">
        <v>41</v>
      </c>
      <c r="J56" s="3">
        <v>45750</v>
      </c>
      <c r="K56" s="18" t="s">
        <v>1175</v>
      </c>
      <c r="L56" s="22" t="s">
        <v>1178</v>
      </c>
    </row>
    <row r="57" spans="1:12">
      <c r="A57" s="37">
        <v>848</v>
      </c>
      <c r="B57" s="21" t="s">
        <v>31</v>
      </c>
      <c r="C57" s="9" t="s">
        <v>1176</v>
      </c>
      <c r="D57" s="26">
        <v>45748</v>
      </c>
      <c r="E57" s="26">
        <v>45777</v>
      </c>
      <c r="F57" s="40" t="s">
        <v>11</v>
      </c>
      <c r="G57" s="19">
        <v>200000</v>
      </c>
      <c r="H57" s="77">
        <v>2E-3</v>
      </c>
      <c r="I57" s="81" t="s">
        <v>41</v>
      </c>
      <c r="J57" s="3">
        <v>45750</v>
      </c>
      <c r="K57" s="18" t="s">
        <v>1175</v>
      </c>
      <c r="L57" s="22" t="s">
        <v>1179</v>
      </c>
    </row>
    <row r="58" spans="1:12">
      <c r="A58" s="37">
        <v>849</v>
      </c>
      <c r="B58" s="21" t="s">
        <v>31</v>
      </c>
      <c r="C58" s="9">
        <v>16763</v>
      </c>
      <c r="D58" s="26">
        <v>45748</v>
      </c>
      <c r="E58" s="26">
        <v>45777</v>
      </c>
      <c r="F58" s="40" t="s">
        <v>11</v>
      </c>
      <c r="G58" s="19">
        <v>0.01</v>
      </c>
      <c r="H58" s="77">
        <v>0.01</v>
      </c>
      <c r="I58" s="81" t="s">
        <v>41</v>
      </c>
      <c r="J58" s="3">
        <v>45750</v>
      </c>
      <c r="K58" s="18" t="s">
        <v>1180</v>
      </c>
      <c r="L58" s="22" t="s">
        <v>1181</v>
      </c>
    </row>
    <row r="59" spans="1:12">
      <c r="A59" s="37">
        <v>850</v>
      </c>
      <c r="B59" s="21" t="s">
        <v>31</v>
      </c>
      <c r="C59" s="9">
        <v>16457</v>
      </c>
      <c r="D59" s="26">
        <v>45748</v>
      </c>
      <c r="E59" s="26">
        <v>45777</v>
      </c>
      <c r="F59" s="40" t="s">
        <v>11</v>
      </c>
      <c r="G59" s="19">
        <v>300000</v>
      </c>
      <c r="H59" s="77">
        <v>5.0000000000000001E-3</v>
      </c>
      <c r="I59" s="81" t="s">
        <v>168</v>
      </c>
      <c r="J59" s="3">
        <v>45750</v>
      </c>
      <c r="K59" s="18" t="s">
        <v>1182</v>
      </c>
      <c r="L59" s="22" t="s">
        <v>1183</v>
      </c>
    </row>
    <row r="60" spans="1:12">
      <c r="A60" s="37">
        <v>851</v>
      </c>
      <c r="B60" s="21" t="s">
        <v>31</v>
      </c>
      <c r="C60" s="9">
        <v>14129</v>
      </c>
      <c r="D60" s="26">
        <v>45748</v>
      </c>
      <c r="E60" s="26">
        <v>45777</v>
      </c>
      <c r="F60" s="40" t="s">
        <v>11</v>
      </c>
      <c r="G60" s="19">
        <v>1000</v>
      </c>
      <c r="H60" s="77">
        <v>1E-3</v>
      </c>
      <c r="I60" s="81" t="s">
        <v>39</v>
      </c>
      <c r="J60" s="3">
        <v>45751</v>
      </c>
      <c r="K60" s="18" t="s">
        <v>1184</v>
      </c>
      <c r="L60" s="22" t="s">
        <v>1185</v>
      </c>
    </row>
    <row r="61" spans="1:12">
      <c r="A61" s="37">
        <v>852</v>
      </c>
      <c r="B61" s="21" t="s">
        <v>31</v>
      </c>
      <c r="C61" s="9">
        <v>15990</v>
      </c>
      <c r="D61" s="26">
        <v>45748</v>
      </c>
      <c r="E61" s="26">
        <v>45777</v>
      </c>
      <c r="F61" s="40" t="s">
        <v>11</v>
      </c>
      <c r="G61" s="19">
        <v>400000</v>
      </c>
      <c r="H61" s="77">
        <v>2.5000000000000001E-3</v>
      </c>
      <c r="I61" s="81" t="s">
        <v>12</v>
      </c>
      <c r="J61" s="3">
        <v>45754</v>
      </c>
      <c r="K61" s="18" t="s">
        <v>1186</v>
      </c>
      <c r="L61" s="22" t="s">
        <v>990</v>
      </c>
    </row>
    <row r="62" spans="1:12">
      <c r="A62" s="37">
        <v>853</v>
      </c>
      <c r="B62" s="21" t="s">
        <v>31</v>
      </c>
      <c r="C62" s="9">
        <v>16537</v>
      </c>
      <c r="D62" s="26">
        <v>45748</v>
      </c>
      <c r="E62" s="26">
        <v>45777</v>
      </c>
      <c r="F62" s="40" t="s">
        <v>11</v>
      </c>
      <c r="G62" s="19">
        <v>800000</v>
      </c>
      <c r="H62" s="77">
        <v>2.5000000000000001E-3</v>
      </c>
      <c r="I62" s="81" t="s">
        <v>168</v>
      </c>
      <c r="J62" s="3">
        <v>45754</v>
      </c>
      <c r="K62" s="18" t="s">
        <v>880</v>
      </c>
      <c r="L62" s="22" t="s">
        <v>990</v>
      </c>
    </row>
    <row r="63" spans="1:12">
      <c r="A63" s="37">
        <v>854</v>
      </c>
      <c r="B63" s="21" t="s">
        <v>31</v>
      </c>
      <c r="C63" s="9">
        <v>16898</v>
      </c>
      <c r="D63" s="26">
        <v>45748</v>
      </c>
      <c r="E63" s="26">
        <v>45777</v>
      </c>
      <c r="F63" s="40" t="s">
        <v>11</v>
      </c>
      <c r="G63" s="19">
        <v>0.01</v>
      </c>
      <c r="H63" s="77">
        <v>2.5000000000000001E-3</v>
      </c>
      <c r="I63" s="81" t="s">
        <v>168</v>
      </c>
      <c r="J63" s="3">
        <v>45754</v>
      </c>
      <c r="K63" s="18" t="s">
        <v>1187</v>
      </c>
      <c r="L63" s="22" t="s">
        <v>990</v>
      </c>
    </row>
    <row r="64" spans="1:12">
      <c r="A64" s="37">
        <v>855</v>
      </c>
      <c r="B64" s="21" t="s">
        <v>31</v>
      </c>
      <c r="C64" s="9">
        <v>17102</v>
      </c>
      <c r="D64" s="26">
        <v>45748</v>
      </c>
      <c r="E64" s="26">
        <v>45777</v>
      </c>
      <c r="F64" s="40" t="s">
        <v>11</v>
      </c>
      <c r="G64" s="19">
        <v>200000</v>
      </c>
      <c r="H64" s="77">
        <v>2.5000000000000001E-3</v>
      </c>
      <c r="I64" s="81" t="s">
        <v>168</v>
      </c>
      <c r="J64" s="3">
        <v>45754</v>
      </c>
      <c r="K64" s="18" t="s">
        <v>1188</v>
      </c>
      <c r="L64" s="22" t="s">
        <v>107</v>
      </c>
    </row>
    <row r="65" spans="1:12">
      <c r="A65" s="37">
        <v>856</v>
      </c>
      <c r="B65" s="21" t="s">
        <v>31</v>
      </c>
      <c r="C65" s="9">
        <v>15874</v>
      </c>
      <c r="D65" s="26">
        <v>45748</v>
      </c>
      <c r="E65" s="26">
        <v>45777</v>
      </c>
      <c r="F65" s="40" t="s">
        <v>11</v>
      </c>
      <c r="G65" s="19">
        <v>0.01</v>
      </c>
      <c r="H65" s="77">
        <v>5.0000000000000001E-3</v>
      </c>
      <c r="I65" s="81" t="s">
        <v>168</v>
      </c>
      <c r="J65" s="3">
        <v>45754</v>
      </c>
      <c r="K65" s="18" t="s">
        <v>1189</v>
      </c>
      <c r="L65" s="22" t="s">
        <v>1190</v>
      </c>
    </row>
    <row r="66" spans="1:12">
      <c r="A66" s="37">
        <v>857</v>
      </c>
      <c r="B66" s="21" t="s">
        <v>31</v>
      </c>
      <c r="C66" s="9">
        <v>16358</v>
      </c>
      <c r="D66" s="26">
        <v>45748</v>
      </c>
      <c r="E66" s="26">
        <v>45777</v>
      </c>
      <c r="F66" s="40" t="s">
        <v>11</v>
      </c>
      <c r="G66" s="19">
        <v>100000</v>
      </c>
      <c r="H66" s="77">
        <v>6.0000000000000001E-3</v>
      </c>
      <c r="I66" s="81" t="s">
        <v>19</v>
      </c>
      <c r="J66" s="3">
        <v>45754</v>
      </c>
      <c r="K66" s="18" t="s">
        <v>1191</v>
      </c>
      <c r="L66" s="22" t="s">
        <v>107</v>
      </c>
    </row>
    <row r="67" spans="1:12">
      <c r="A67" s="37">
        <v>858</v>
      </c>
      <c r="B67" s="21" t="s">
        <v>31</v>
      </c>
      <c r="C67" s="9">
        <v>17142</v>
      </c>
      <c r="D67" s="26">
        <v>45748</v>
      </c>
      <c r="E67" s="26">
        <v>45777</v>
      </c>
      <c r="F67" s="40" t="s">
        <v>11</v>
      </c>
      <c r="G67" s="19">
        <v>30000</v>
      </c>
      <c r="H67" s="77">
        <v>5.0000000000000001E-3</v>
      </c>
      <c r="I67" s="81" t="s">
        <v>168</v>
      </c>
      <c r="J67" s="3">
        <v>45754</v>
      </c>
      <c r="K67" s="18" t="s">
        <v>1193</v>
      </c>
      <c r="L67" s="22" t="s">
        <v>936</v>
      </c>
    </row>
    <row r="68" spans="1:12">
      <c r="A68" s="37">
        <v>859</v>
      </c>
      <c r="B68" s="21" t="s">
        <v>31</v>
      </c>
      <c r="C68" s="9">
        <v>16481</v>
      </c>
      <c r="D68" s="26">
        <v>45748</v>
      </c>
      <c r="E68" s="26">
        <v>45777</v>
      </c>
      <c r="F68" s="40" t="s">
        <v>11</v>
      </c>
      <c r="G68" s="19">
        <v>300000</v>
      </c>
      <c r="H68" s="77">
        <v>5.0000000000000001E-3</v>
      </c>
      <c r="I68" s="81" t="s">
        <v>48</v>
      </c>
      <c r="J68" s="3">
        <v>45754</v>
      </c>
      <c r="K68" s="18" t="s">
        <v>1154</v>
      </c>
      <c r="L68" s="22" t="s">
        <v>1194</v>
      </c>
    </row>
    <row r="69" spans="1:12">
      <c r="A69" s="37">
        <v>860</v>
      </c>
      <c r="B69" s="21" t="s">
        <v>31</v>
      </c>
      <c r="C69" s="9">
        <v>16481</v>
      </c>
      <c r="D69" s="26">
        <v>45748</v>
      </c>
      <c r="E69" s="26">
        <v>45777</v>
      </c>
      <c r="F69" s="40" t="s">
        <v>11</v>
      </c>
      <c r="G69" s="19">
        <v>300000</v>
      </c>
      <c r="H69" s="77">
        <v>5.0000000000000001E-3</v>
      </c>
      <c r="I69" s="81" t="s">
        <v>39</v>
      </c>
      <c r="J69" s="3">
        <v>45754</v>
      </c>
      <c r="K69" s="18" t="s">
        <v>1154</v>
      </c>
      <c r="L69" s="22" t="s">
        <v>1195</v>
      </c>
    </row>
    <row r="70" spans="1:12">
      <c r="A70" s="37">
        <v>861</v>
      </c>
      <c r="B70" s="21" t="s">
        <v>31</v>
      </c>
      <c r="C70" s="9">
        <v>16481</v>
      </c>
      <c r="D70" s="26">
        <v>45748</v>
      </c>
      <c r="E70" s="26">
        <v>45777</v>
      </c>
      <c r="F70" s="40" t="s">
        <v>11</v>
      </c>
      <c r="G70" s="19">
        <v>300000</v>
      </c>
      <c r="H70" s="77">
        <v>5.0000000000000001E-3</v>
      </c>
      <c r="I70" s="81" t="s">
        <v>39</v>
      </c>
      <c r="J70" s="3">
        <v>45754</v>
      </c>
      <c r="K70" s="18" t="s">
        <v>1154</v>
      </c>
      <c r="L70" s="22" t="s">
        <v>1196</v>
      </c>
    </row>
    <row r="71" spans="1:12">
      <c r="A71" s="37">
        <v>862</v>
      </c>
      <c r="B71" s="21" t="s">
        <v>31</v>
      </c>
      <c r="C71" s="9">
        <v>16481</v>
      </c>
      <c r="D71" s="26">
        <v>45748</v>
      </c>
      <c r="E71" s="26">
        <v>45777</v>
      </c>
      <c r="F71" s="40" t="s">
        <v>11</v>
      </c>
      <c r="G71" s="19">
        <v>300000</v>
      </c>
      <c r="H71" s="77">
        <v>5.0000000000000001E-3</v>
      </c>
      <c r="I71" s="81" t="s">
        <v>39</v>
      </c>
      <c r="J71" s="3">
        <v>45754</v>
      </c>
      <c r="K71" s="18" t="s">
        <v>1154</v>
      </c>
      <c r="L71" s="22" t="s">
        <v>1197</v>
      </c>
    </row>
    <row r="72" spans="1:12">
      <c r="A72" s="37">
        <v>863</v>
      </c>
      <c r="B72" s="21" t="s">
        <v>31</v>
      </c>
      <c r="C72" s="9">
        <v>14722</v>
      </c>
      <c r="D72" s="26">
        <v>45748</v>
      </c>
      <c r="E72" s="26">
        <v>45777</v>
      </c>
      <c r="F72" s="40" t="s">
        <v>11</v>
      </c>
      <c r="G72" s="19">
        <v>10000</v>
      </c>
      <c r="H72" s="77">
        <v>0.01</v>
      </c>
      <c r="I72" s="81" t="s">
        <v>39</v>
      </c>
      <c r="J72" s="3">
        <v>45754</v>
      </c>
      <c r="K72" s="18" t="s">
        <v>1198</v>
      </c>
      <c r="L72" s="22" t="s">
        <v>1199</v>
      </c>
    </row>
    <row r="73" spans="1:12">
      <c r="A73" s="37">
        <v>864</v>
      </c>
      <c r="B73" s="21" t="s">
        <v>31</v>
      </c>
      <c r="C73" s="9">
        <v>14722</v>
      </c>
      <c r="D73" s="26">
        <v>45748</v>
      </c>
      <c r="E73" s="26">
        <v>45777</v>
      </c>
      <c r="F73" s="40" t="s">
        <v>11</v>
      </c>
      <c r="G73" s="19">
        <v>10000</v>
      </c>
      <c r="H73" s="77">
        <v>5.0000000000000001E-3</v>
      </c>
      <c r="I73" s="81" t="s">
        <v>25</v>
      </c>
      <c r="J73" s="3">
        <v>45754</v>
      </c>
      <c r="K73" s="18" t="s">
        <v>1198</v>
      </c>
      <c r="L73" s="22" t="s">
        <v>1200</v>
      </c>
    </row>
    <row r="74" spans="1:12">
      <c r="A74" s="37">
        <v>865</v>
      </c>
      <c r="B74" s="21" t="s">
        <v>31</v>
      </c>
      <c r="C74" s="9">
        <v>14722</v>
      </c>
      <c r="D74" s="26">
        <v>45748</v>
      </c>
      <c r="E74" s="26">
        <v>45777</v>
      </c>
      <c r="F74" s="40" t="s">
        <v>11</v>
      </c>
      <c r="G74" s="19">
        <v>10000</v>
      </c>
      <c r="H74" s="77">
        <v>7.4999999999999997E-3</v>
      </c>
      <c r="I74" s="81" t="s">
        <v>25</v>
      </c>
      <c r="J74" s="3">
        <v>45754</v>
      </c>
      <c r="K74" s="18" t="s">
        <v>1198</v>
      </c>
      <c r="L74" s="22" t="s">
        <v>1485</v>
      </c>
    </row>
    <row r="75" spans="1:12">
      <c r="A75" s="37">
        <v>866</v>
      </c>
      <c r="B75" s="21" t="s">
        <v>31</v>
      </c>
      <c r="C75" s="9" t="s">
        <v>986</v>
      </c>
      <c r="D75" s="26">
        <v>45748</v>
      </c>
      <c r="E75" s="26">
        <v>45777</v>
      </c>
      <c r="F75" s="40" t="s">
        <v>11</v>
      </c>
      <c r="G75" s="19">
        <v>0.01</v>
      </c>
      <c r="H75" s="77">
        <v>2E-3</v>
      </c>
      <c r="I75" s="81" t="s">
        <v>25</v>
      </c>
      <c r="J75" s="3">
        <v>45754</v>
      </c>
      <c r="K75" s="18" t="s">
        <v>1201</v>
      </c>
      <c r="L75" s="22" t="s">
        <v>1203</v>
      </c>
    </row>
    <row r="76" spans="1:12">
      <c r="A76" s="37">
        <v>867</v>
      </c>
      <c r="B76" s="21" t="s">
        <v>31</v>
      </c>
      <c r="C76" s="9">
        <v>12679</v>
      </c>
      <c r="D76" s="26">
        <v>45748</v>
      </c>
      <c r="E76" s="26">
        <v>45777</v>
      </c>
      <c r="F76" s="40" t="s">
        <v>11</v>
      </c>
      <c r="G76" s="19">
        <v>150000</v>
      </c>
      <c r="H76" s="78">
        <v>100</v>
      </c>
      <c r="I76" s="81" t="s">
        <v>29</v>
      </c>
      <c r="J76" s="3">
        <v>45754</v>
      </c>
      <c r="K76" s="18" t="s">
        <v>1204</v>
      </c>
      <c r="L76" s="22" t="s">
        <v>144</v>
      </c>
    </row>
    <row r="77" spans="1:12">
      <c r="A77" s="37">
        <v>868</v>
      </c>
      <c r="B77" s="21" t="s">
        <v>31</v>
      </c>
      <c r="C77" s="9">
        <v>15086</v>
      </c>
      <c r="D77" s="26">
        <v>45748</v>
      </c>
      <c r="E77" s="26">
        <v>45777</v>
      </c>
      <c r="F77" s="40" t="s">
        <v>11</v>
      </c>
      <c r="G77" s="19">
        <v>1000</v>
      </c>
      <c r="H77" s="77">
        <v>5.0000000000000001E-3</v>
      </c>
      <c r="I77" s="81" t="s">
        <v>14</v>
      </c>
      <c r="J77" s="3">
        <v>45755</v>
      </c>
      <c r="K77" s="18" t="s">
        <v>1205</v>
      </c>
      <c r="L77" s="22" t="s">
        <v>107</v>
      </c>
    </row>
    <row r="78" spans="1:12">
      <c r="A78" s="37">
        <v>869</v>
      </c>
      <c r="B78" s="21" t="s">
        <v>31</v>
      </c>
      <c r="C78" s="9">
        <v>5804</v>
      </c>
      <c r="D78" s="26">
        <v>45748</v>
      </c>
      <c r="E78" s="26">
        <v>45777</v>
      </c>
      <c r="F78" s="40" t="s">
        <v>11</v>
      </c>
      <c r="G78" s="19">
        <v>1000</v>
      </c>
      <c r="H78" s="77">
        <v>5.0000000000000001E-3</v>
      </c>
      <c r="I78" s="81" t="s">
        <v>27</v>
      </c>
      <c r="J78" s="3">
        <v>45755</v>
      </c>
      <c r="K78" s="18" t="s">
        <v>1205</v>
      </c>
      <c r="L78" s="22" t="s">
        <v>1206</v>
      </c>
    </row>
    <row r="79" spans="1:12">
      <c r="A79" s="37">
        <v>870</v>
      </c>
      <c r="B79" s="21" t="s">
        <v>31</v>
      </c>
      <c r="C79" s="9">
        <v>15086</v>
      </c>
      <c r="D79" s="26">
        <v>45748</v>
      </c>
      <c r="E79" s="26">
        <v>45777</v>
      </c>
      <c r="F79" s="40" t="s">
        <v>11</v>
      </c>
      <c r="G79" s="19">
        <v>0.01</v>
      </c>
      <c r="H79" s="77">
        <v>0.02</v>
      </c>
      <c r="I79" s="81" t="s">
        <v>27</v>
      </c>
      <c r="J79" s="3">
        <v>45755</v>
      </c>
      <c r="K79" s="18" t="s">
        <v>1205</v>
      </c>
      <c r="L79" s="22" t="s">
        <v>906</v>
      </c>
    </row>
    <row r="80" spans="1:12">
      <c r="A80" s="37">
        <v>871</v>
      </c>
      <c r="B80" s="21" t="s">
        <v>31</v>
      </c>
      <c r="C80" s="9">
        <v>16988</v>
      </c>
      <c r="D80" s="26">
        <v>45748</v>
      </c>
      <c r="E80" s="26">
        <v>45777</v>
      </c>
      <c r="F80" s="40" t="s">
        <v>11</v>
      </c>
      <c r="G80" s="19">
        <v>0.01</v>
      </c>
      <c r="H80" s="77">
        <v>7.4999999999999997E-3</v>
      </c>
      <c r="I80" s="81" t="s">
        <v>27</v>
      </c>
      <c r="J80" s="3">
        <v>45754</v>
      </c>
      <c r="K80" s="18" t="s">
        <v>1207</v>
      </c>
      <c r="L80" s="22" t="s">
        <v>107</v>
      </c>
    </row>
    <row r="81" spans="1:12">
      <c r="A81" s="37">
        <v>872</v>
      </c>
      <c r="B81" s="21" t="s">
        <v>31</v>
      </c>
      <c r="C81" s="9">
        <v>17184</v>
      </c>
      <c r="D81" s="26">
        <v>45748</v>
      </c>
      <c r="E81" s="26">
        <v>45777</v>
      </c>
      <c r="F81" s="40" t="s">
        <v>11</v>
      </c>
      <c r="G81" s="19">
        <v>1000</v>
      </c>
      <c r="H81" s="77">
        <v>3.5000000000000003E-2</v>
      </c>
      <c r="I81" s="81" t="s">
        <v>168</v>
      </c>
      <c r="J81" s="3">
        <v>45756</v>
      </c>
      <c r="K81" s="18" t="s">
        <v>1208</v>
      </c>
      <c r="L81" s="22" t="s">
        <v>1209</v>
      </c>
    </row>
    <row r="82" spans="1:12">
      <c r="A82" s="37">
        <v>873</v>
      </c>
      <c r="B82" s="21" t="s">
        <v>31</v>
      </c>
      <c r="C82" s="9" t="s">
        <v>269</v>
      </c>
      <c r="D82" s="26">
        <v>45748</v>
      </c>
      <c r="E82" s="26">
        <v>45777</v>
      </c>
      <c r="F82" s="40" t="s">
        <v>11</v>
      </c>
      <c r="G82" s="19">
        <v>500000</v>
      </c>
      <c r="H82" s="77">
        <v>1.5E-3</v>
      </c>
      <c r="I82" s="81" t="s">
        <v>19</v>
      </c>
      <c r="J82" s="3">
        <v>45756</v>
      </c>
      <c r="K82" s="18" t="s">
        <v>231</v>
      </c>
      <c r="L82" s="22" t="s">
        <v>1224</v>
      </c>
    </row>
    <row r="83" spans="1:12">
      <c r="A83" s="37">
        <v>874</v>
      </c>
      <c r="B83" s="21" t="s">
        <v>31</v>
      </c>
      <c r="C83" s="9" t="s">
        <v>1426</v>
      </c>
      <c r="D83" s="26">
        <v>45748</v>
      </c>
      <c r="E83" s="26">
        <v>45777</v>
      </c>
      <c r="F83" s="40" t="s">
        <v>11</v>
      </c>
      <c r="G83" s="19">
        <v>400000</v>
      </c>
      <c r="H83" s="77">
        <v>1.5E-3</v>
      </c>
      <c r="I83" s="81" t="s">
        <v>32</v>
      </c>
      <c r="J83" s="3">
        <v>45756</v>
      </c>
      <c r="K83" s="18" t="s">
        <v>1210</v>
      </c>
      <c r="L83" s="22" t="s">
        <v>1363</v>
      </c>
    </row>
    <row r="84" spans="1:12">
      <c r="A84" s="37">
        <v>875</v>
      </c>
      <c r="B84" s="21" t="s">
        <v>31</v>
      </c>
      <c r="C84" s="9">
        <v>14341</v>
      </c>
      <c r="D84" s="26">
        <v>45748</v>
      </c>
      <c r="E84" s="26">
        <v>45777</v>
      </c>
      <c r="F84" s="40" t="s">
        <v>11</v>
      </c>
      <c r="G84" s="19">
        <v>50000</v>
      </c>
      <c r="H84" s="79">
        <v>160</v>
      </c>
      <c r="I84" s="81" t="s">
        <v>32</v>
      </c>
      <c r="J84" s="3">
        <v>45756</v>
      </c>
      <c r="K84" s="18" t="s">
        <v>559</v>
      </c>
      <c r="L84" s="22" t="s">
        <v>144</v>
      </c>
    </row>
    <row r="85" spans="1:12" ht="30">
      <c r="A85" s="37">
        <v>876</v>
      </c>
      <c r="B85" s="21" t="s">
        <v>31</v>
      </c>
      <c r="C85" s="9">
        <v>13215</v>
      </c>
      <c r="D85" s="26">
        <v>45748</v>
      </c>
      <c r="E85" s="26">
        <v>45754</v>
      </c>
      <c r="F85" s="40" t="s">
        <v>11</v>
      </c>
      <c r="G85" s="19">
        <v>1000</v>
      </c>
      <c r="H85" s="77">
        <v>0.01</v>
      </c>
      <c r="I85" s="81" t="s">
        <v>101</v>
      </c>
      <c r="J85" s="3">
        <v>45756</v>
      </c>
      <c r="K85" s="18" t="s">
        <v>1211</v>
      </c>
      <c r="L85" s="22" t="s">
        <v>1212</v>
      </c>
    </row>
    <row r="86" spans="1:12">
      <c r="A86" s="37">
        <v>877</v>
      </c>
      <c r="B86" s="21" t="s">
        <v>31</v>
      </c>
      <c r="C86" s="9">
        <v>7274</v>
      </c>
      <c r="D86" s="26">
        <v>45748</v>
      </c>
      <c r="E86" s="26">
        <v>45777</v>
      </c>
      <c r="F86" s="40" t="s">
        <v>11</v>
      </c>
      <c r="G86" s="19">
        <v>0.01</v>
      </c>
      <c r="H86" s="77">
        <v>0.01</v>
      </c>
      <c r="I86" s="81" t="s">
        <v>101</v>
      </c>
      <c r="J86" s="3">
        <v>45749</v>
      </c>
      <c r="K86" s="18" t="s">
        <v>1142</v>
      </c>
      <c r="L86" s="22" t="s">
        <v>1225</v>
      </c>
    </row>
    <row r="87" spans="1:12">
      <c r="A87" s="37">
        <v>878</v>
      </c>
      <c r="B87" s="21" t="s">
        <v>31</v>
      </c>
      <c r="C87" s="9">
        <v>14876</v>
      </c>
      <c r="D87" s="26">
        <v>45748</v>
      </c>
      <c r="E87" s="26">
        <v>45777</v>
      </c>
      <c r="F87" s="40" t="s">
        <v>11</v>
      </c>
      <c r="G87" s="19">
        <v>0.01</v>
      </c>
      <c r="H87" s="77">
        <v>5.0000000000000001E-3</v>
      </c>
      <c r="I87" s="81" t="s">
        <v>30</v>
      </c>
      <c r="J87" s="3">
        <v>45749</v>
      </c>
      <c r="K87" s="18" t="s">
        <v>1142</v>
      </c>
      <c r="L87" s="22" t="s">
        <v>1225</v>
      </c>
    </row>
    <row r="88" spans="1:12">
      <c r="A88" s="37">
        <v>879</v>
      </c>
      <c r="B88" s="21" t="s">
        <v>31</v>
      </c>
      <c r="C88" s="9">
        <v>7274</v>
      </c>
      <c r="D88" s="26">
        <v>45748</v>
      </c>
      <c r="E88" s="26">
        <v>45754</v>
      </c>
      <c r="F88" s="40" t="s">
        <v>11</v>
      </c>
      <c r="G88" s="19">
        <v>0.01</v>
      </c>
      <c r="H88" s="77">
        <v>0.01</v>
      </c>
      <c r="I88" s="81" t="s">
        <v>30</v>
      </c>
      <c r="J88" s="3">
        <v>45756</v>
      </c>
      <c r="K88" s="18" t="s">
        <v>1213</v>
      </c>
      <c r="L88" s="22" t="s">
        <v>1214</v>
      </c>
    </row>
    <row r="89" spans="1:12">
      <c r="A89" s="37">
        <v>880</v>
      </c>
      <c r="B89" s="21" t="s">
        <v>31</v>
      </c>
      <c r="C89" s="9">
        <v>7274</v>
      </c>
      <c r="D89" s="26">
        <v>45755</v>
      </c>
      <c r="E89" s="26">
        <v>45777</v>
      </c>
      <c r="F89" s="40" t="s">
        <v>11</v>
      </c>
      <c r="G89" s="19">
        <v>300000</v>
      </c>
      <c r="H89" s="77">
        <v>5.0000000000000001E-3</v>
      </c>
      <c r="I89" s="81" t="s">
        <v>30</v>
      </c>
      <c r="J89" s="3">
        <v>45756</v>
      </c>
      <c r="K89" s="18" t="s">
        <v>1213</v>
      </c>
      <c r="L89" s="22" t="s">
        <v>1226</v>
      </c>
    </row>
    <row r="90" spans="1:12">
      <c r="A90" s="37">
        <v>881</v>
      </c>
      <c r="B90" s="21" t="s">
        <v>31</v>
      </c>
      <c r="C90" s="9">
        <v>7274</v>
      </c>
      <c r="D90" s="26">
        <v>45748</v>
      </c>
      <c r="E90" s="26">
        <v>45777</v>
      </c>
      <c r="F90" s="40" t="s">
        <v>11</v>
      </c>
      <c r="G90" s="19">
        <v>0.01</v>
      </c>
      <c r="H90" s="77">
        <v>7.4999999999999997E-3</v>
      </c>
      <c r="I90" s="81" t="s">
        <v>30</v>
      </c>
      <c r="J90" s="3">
        <v>45756</v>
      </c>
      <c r="K90" s="18" t="s">
        <v>1213</v>
      </c>
      <c r="L90" s="22" t="s">
        <v>128</v>
      </c>
    </row>
    <row r="91" spans="1:12">
      <c r="A91" s="37">
        <v>882</v>
      </c>
      <c r="B91" s="21" t="s">
        <v>31</v>
      </c>
      <c r="C91" s="9">
        <v>13063</v>
      </c>
      <c r="D91" s="26">
        <v>45748</v>
      </c>
      <c r="E91" s="26">
        <v>45777</v>
      </c>
      <c r="F91" s="40" t="s">
        <v>11</v>
      </c>
      <c r="G91" s="19">
        <v>50000</v>
      </c>
      <c r="H91" s="77">
        <v>5.0000000000000001E-3</v>
      </c>
      <c r="I91" s="81" t="s">
        <v>30</v>
      </c>
      <c r="J91" s="3">
        <v>45756</v>
      </c>
      <c r="K91" s="18" t="s">
        <v>1215</v>
      </c>
      <c r="L91" s="22" t="s">
        <v>1216</v>
      </c>
    </row>
    <row r="92" spans="1:12">
      <c r="A92" s="37">
        <v>883</v>
      </c>
      <c r="B92" s="21" t="s">
        <v>31</v>
      </c>
      <c r="C92" s="9">
        <v>8687</v>
      </c>
      <c r="D92" s="26">
        <v>45748</v>
      </c>
      <c r="E92" s="26">
        <v>45777</v>
      </c>
      <c r="F92" s="40" t="s">
        <v>11</v>
      </c>
      <c r="G92" s="19">
        <v>0.01</v>
      </c>
      <c r="H92" s="77">
        <v>1E-3</v>
      </c>
      <c r="I92" s="81" t="s">
        <v>39</v>
      </c>
      <c r="J92" s="3">
        <v>45756</v>
      </c>
      <c r="K92" s="18" t="s">
        <v>110</v>
      </c>
      <c r="L92" s="22" t="s">
        <v>128</v>
      </c>
    </row>
    <row r="93" spans="1:12">
      <c r="A93" s="37">
        <v>884</v>
      </c>
      <c r="B93" s="21" t="s">
        <v>31</v>
      </c>
      <c r="C93" s="9">
        <v>10461</v>
      </c>
      <c r="D93" s="26">
        <v>45748</v>
      </c>
      <c r="E93" s="26">
        <v>45777</v>
      </c>
      <c r="F93" s="40" t="s">
        <v>11</v>
      </c>
      <c r="G93" s="19">
        <v>0.01</v>
      </c>
      <c r="H93" s="77">
        <v>0.01</v>
      </c>
      <c r="I93" s="81" t="s">
        <v>14</v>
      </c>
      <c r="J93" s="3">
        <v>45756</v>
      </c>
      <c r="K93" s="18" t="s">
        <v>110</v>
      </c>
      <c r="L93" s="22" t="s">
        <v>836</v>
      </c>
    </row>
    <row r="94" spans="1:12">
      <c r="A94" s="37">
        <v>885</v>
      </c>
      <c r="B94" s="21" t="s">
        <v>31</v>
      </c>
      <c r="C94" s="9">
        <v>12385</v>
      </c>
      <c r="D94" s="26">
        <v>45748</v>
      </c>
      <c r="E94" s="26">
        <v>45777</v>
      </c>
      <c r="F94" s="40" t="s">
        <v>11</v>
      </c>
      <c r="G94" s="19">
        <v>0.01</v>
      </c>
      <c r="H94" s="77">
        <v>0.01</v>
      </c>
      <c r="I94" s="81" t="s">
        <v>14</v>
      </c>
      <c r="J94" s="3">
        <v>45756</v>
      </c>
      <c r="K94" s="18" t="s">
        <v>110</v>
      </c>
      <c r="L94" s="22" t="s">
        <v>836</v>
      </c>
    </row>
    <row r="95" spans="1:12">
      <c r="A95" s="37">
        <v>886</v>
      </c>
      <c r="B95" s="21" t="s">
        <v>31</v>
      </c>
      <c r="C95" s="9">
        <v>12385</v>
      </c>
      <c r="D95" s="26">
        <v>45748</v>
      </c>
      <c r="E95" s="26">
        <v>45777</v>
      </c>
      <c r="F95" s="40" t="s">
        <v>11</v>
      </c>
      <c r="G95" s="19">
        <v>0.01</v>
      </c>
      <c r="H95" s="77">
        <v>5.0000000000000001E-3</v>
      </c>
      <c r="I95" s="81" t="s">
        <v>46</v>
      </c>
      <c r="J95" s="3">
        <v>45756</v>
      </c>
      <c r="K95" s="18" t="s">
        <v>110</v>
      </c>
      <c r="L95" s="22" t="s">
        <v>128</v>
      </c>
    </row>
    <row r="96" spans="1:12">
      <c r="A96" s="37">
        <v>887</v>
      </c>
      <c r="B96" s="21" t="s">
        <v>31</v>
      </c>
      <c r="C96" s="9">
        <v>12385</v>
      </c>
      <c r="D96" s="26">
        <v>45748</v>
      </c>
      <c r="E96" s="26">
        <v>45777</v>
      </c>
      <c r="F96" s="40" t="s">
        <v>11</v>
      </c>
      <c r="G96" s="19">
        <v>0.01</v>
      </c>
      <c r="H96" s="77">
        <v>0.01</v>
      </c>
      <c r="I96" s="81" t="s">
        <v>46</v>
      </c>
      <c r="J96" s="3">
        <v>45756</v>
      </c>
      <c r="K96" s="18" t="s">
        <v>110</v>
      </c>
      <c r="L96" s="22" t="s">
        <v>837</v>
      </c>
    </row>
    <row r="97" spans="1:12">
      <c r="A97" s="37">
        <v>888</v>
      </c>
      <c r="B97" s="21" t="s">
        <v>31</v>
      </c>
      <c r="C97" s="9">
        <v>15474</v>
      </c>
      <c r="D97" s="26">
        <v>45748</v>
      </c>
      <c r="E97" s="26">
        <v>45754</v>
      </c>
      <c r="F97" s="40" t="s">
        <v>11</v>
      </c>
      <c r="G97" s="19">
        <v>1000</v>
      </c>
      <c r="H97" s="77">
        <v>5.0000000000000001E-3</v>
      </c>
      <c r="I97" s="81" t="s">
        <v>46</v>
      </c>
      <c r="J97" s="3">
        <v>45756</v>
      </c>
      <c r="K97" s="18" t="s">
        <v>1217</v>
      </c>
      <c r="L97" s="22" t="s">
        <v>1218</v>
      </c>
    </row>
    <row r="98" spans="1:12">
      <c r="A98" s="37">
        <v>889</v>
      </c>
      <c r="B98" s="21" t="s">
        <v>31</v>
      </c>
      <c r="C98" s="9">
        <v>16713</v>
      </c>
      <c r="D98" s="26">
        <v>45748</v>
      </c>
      <c r="E98" s="26">
        <v>45777</v>
      </c>
      <c r="F98" s="40" t="s">
        <v>11</v>
      </c>
      <c r="G98" s="19">
        <v>0.01</v>
      </c>
      <c r="H98" s="77">
        <v>0.03</v>
      </c>
      <c r="I98" s="81" t="s">
        <v>175</v>
      </c>
      <c r="J98" s="3">
        <v>45756</v>
      </c>
      <c r="K98" s="18" t="s">
        <v>1219</v>
      </c>
      <c r="L98" s="22" t="s">
        <v>1220</v>
      </c>
    </row>
    <row r="99" spans="1:12">
      <c r="A99" s="37">
        <v>890</v>
      </c>
      <c r="B99" s="21" t="s">
        <v>31</v>
      </c>
      <c r="C99" s="9">
        <v>16713</v>
      </c>
      <c r="D99" s="26">
        <v>45748</v>
      </c>
      <c r="E99" s="26">
        <v>45777</v>
      </c>
      <c r="F99" s="40" t="s">
        <v>11</v>
      </c>
      <c r="G99" s="19">
        <v>0.01</v>
      </c>
      <c r="H99" s="77">
        <v>1.9E-2</v>
      </c>
      <c r="I99" s="81" t="s">
        <v>13</v>
      </c>
      <c r="J99" s="3">
        <v>45756</v>
      </c>
      <c r="K99" s="18" t="s">
        <v>1219</v>
      </c>
      <c r="L99" s="22" t="s">
        <v>1453</v>
      </c>
    </row>
    <row r="100" spans="1:12">
      <c r="A100" s="37">
        <v>891</v>
      </c>
      <c r="B100" s="21" t="s">
        <v>31</v>
      </c>
      <c r="C100" s="9">
        <v>17038</v>
      </c>
      <c r="D100" s="26">
        <v>45748</v>
      </c>
      <c r="E100" s="26">
        <v>45754</v>
      </c>
      <c r="F100" s="40" t="s">
        <v>11</v>
      </c>
      <c r="G100" s="19">
        <v>1000</v>
      </c>
      <c r="H100" s="77">
        <v>0.01</v>
      </c>
      <c r="I100" s="81" t="s">
        <v>13</v>
      </c>
      <c r="J100" s="3">
        <v>45756</v>
      </c>
      <c r="K100" s="18" t="s">
        <v>1221</v>
      </c>
      <c r="L100" s="22" t="s">
        <v>1218</v>
      </c>
    </row>
    <row r="101" spans="1:12">
      <c r="A101" s="37">
        <v>892</v>
      </c>
      <c r="B101" s="21" t="s">
        <v>31</v>
      </c>
      <c r="C101" s="9">
        <v>15095</v>
      </c>
      <c r="D101" s="26">
        <v>45748</v>
      </c>
      <c r="E101" s="26">
        <v>45754</v>
      </c>
      <c r="F101" s="40" t="s">
        <v>11</v>
      </c>
      <c r="G101" s="19">
        <v>1000</v>
      </c>
      <c r="H101" s="77">
        <v>0.01</v>
      </c>
      <c r="I101" s="81" t="s">
        <v>53</v>
      </c>
      <c r="J101" s="3">
        <v>45756</v>
      </c>
      <c r="K101" s="18" t="s">
        <v>1221</v>
      </c>
      <c r="L101" s="22" t="s">
        <v>1218</v>
      </c>
    </row>
    <row r="102" spans="1:12">
      <c r="A102" s="37">
        <v>893</v>
      </c>
      <c r="B102" s="21" t="s">
        <v>31</v>
      </c>
      <c r="C102" s="9">
        <v>10452</v>
      </c>
      <c r="D102" s="26">
        <v>45748</v>
      </c>
      <c r="E102" s="26">
        <v>45777</v>
      </c>
      <c r="F102" s="40" t="s">
        <v>11</v>
      </c>
      <c r="G102" s="19">
        <v>100000</v>
      </c>
      <c r="H102" s="77">
        <v>1E-3</v>
      </c>
      <c r="I102" s="81" t="s">
        <v>175</v>
      </c>
      <c r="J102" s="3">
        <v>45756</v>
      </c>
      <c r="K102" s="18" t="s">
        <v>1222</v>
      </c>
      <c r="L102" s="22" t="s">
        <v>107</v>
      </c>
    </row>
    <row r="103" spans="1:12">
      <c r="A103" s="37">
        <v>898</v>
      </c>
      <c r="B103" s="21" t="s">
        <v>31</v>
      </c>
      <c r="C103" s="9">
        <v>17062</v>
      </c>
      <c r="D103" s="26">
        <v>45748</v>
      </c>
      <c r="E103" s="26">
        <v>45777</v>
      </c>
      <c r="F103" s="40" t="s">
        <v>11</v>
      </c>
      <c r="G103" s="19">
        <v>100000</v>
      </c>
      <c r="H103" s="77">
        <v>1E-3</v>
      </c>
      <c r="I103" s="81" t="s">
        <v>13</v>
      </c>
      <c r="J103" s="3">
        <v>45756</v>
      </c>
      <c r="K103" s="18" t="s">
        <v>1223</v>
      </c>
      <c r="L103" s="22" t="s">
        <v>107</v>
      </c>
    </row>
    <row r="104" spans="1:12">
      <c r="A104" s="37">
        <v>899</v>
      </c>
      <c r="B104" s="21" t="s">
        <v>31</v>
      </c>
      <c r="C104" s="9">
        <v>17062</v>
      </c>
      <c r="D104" s="26">
        <v>45748</v>
      </c>
      <c r="E104" s="26">
        <v>45777</v>
      </c>
      <c r="F104" s="40" t="s">
        <v>11</v>
      </c>
      <c r="G104" s="19">
        <v>200000</v>
      </c>
      <c r="H104" s="77">
        <v>2E-3</v>
      </c>
      <c r="I104" s="81" t="s">
        <v>13</v>
      </c>
      <c r="J104" s="3">
        <v>45756</v>
      </c>
      <c r="K104" s="18" t="s">
        <v>1223</v>
      </c>
      <c r="L104" s="22" t="s">
        <v>107</v>
      </c>
    </row>
    <row r="105" spans="1:12">
      <c r="A105" s="37">
        <v>900</v>
      </c>
      <c r="B105" s="21" t="s">
        <v>31</v>
      </c>
      <c r="C105" s="9">
        <v>17062</v>
      </c>
      <c r="D105" s="26">
        <v>45748</v>
      </c>
      <c r="E105" s="26">
        <v>45777</v>
      </c>
      <c r="F105" s="40" t="s">
        <v>11</v>
      </c>
      <c r="G105" s="19">
        <v>300000</v>
      </c>
      <c r="H105" s="77">
        <v>3.0000000000000001E-3</v>
      </c>
      <c r="I105" s="81" t="s">
        <v>13</v>
      </c>
      <c r="J105" s="3">
        <v>45756</v>
      </c>
      <c r="K105" s="18" t="s">
        <v>1223</v>
      </c>
      <c r="L105" s="22" t="s">
        <v>107</v>
      </c>
    </row>
    <row r="106" spans="1:12">
      <c r="A106" s="37">
        <v>901</v>
      </c>
      <c r="B106" s="21" t="s">
        <v>31</v>
      </c>
      <c r="C106" s="9">
        <v>17062</v>
      </c>
      <c r="D106" s="26">
        <v>45748</v>
      </c>
      <c r="E106" s="26">
        <v>45777</v>
      </c>
      <c r="F106" s="40" t="s">
        <v>11</v>
      </c>
      <c r="G106" s="19">
        <v>400000</v>
      </c>
      <c r="H106" s="77">
        <v>4.0000000000000001E-3</v>
      </c>
      <c r="I106" s="81" t="s">
        <v>13</v>
      </c>
      <c r="J106" s="3">
        <v>45756</v>
      </c>
      <c r="K106" s="18" t="s">
        <v>1223</v>
      </c>
      <c r="L106" s="22" t="s">
        <v>107</v>
      </c>
    </row>
    <row r="107" spans="1:12">
      <c r="A107" s="37">
        <v>902</v>
      </c>
      <c r="B107" s="21" t="s">
        <v>31</v>
      </c>
      <c r="C107" s="9">
        <v>17062</v>
      </c>
      <c r="D107" s="26">
        <v>45748</v>
      </c>
      <c r="E107" s="26">
        <v>45777</v>
      </c>
      <c r="F107" s="40" t="s">
        <v>11</v>
      </c>
      <c r="G107" s="19">
        <v>500000</v>
      </c>
      <c r="H107" s="77">
        <v>5.0000000000000001E-3</v>
      </c>
      <c r="I107" s="81" t="s">
        <v>13</v>
      </c>
      <c r="J107" s="3">
        <v>45756</v>
      </c>
      <c r="K107" s="18" t="s">
        <v>1223</v>
      </c>
      <c r="L107" s="22" t="s">
        <v>107</v>
      </c>
    </row>
    <row r="108" spans="1:12">
      <c r="A108" s="37">
        <v>903</v>
      </c>
      <c r="B108" s="21" t="s">
        <v>31</v>
      </c>
      <c r="C108" s="9">
        <v>16458</v>
      </c>
      <c r="D108" s="26">
        <v>45748</v>
      </c>
      <c r="E108" s="26">
        <v>45777</v>
      </c>
      <c r="F108" s="40" t="s">
        <v>11</v>
      </c>
      <c r="G108" s="19">
        <v>100000</v>
      </c>
      <c r="H108" s="77">
        <v>2.5000000000000001E-3</v>
      </c>
      <c r="I108" s="81" t="s">
        <v>13</v>
      </c>
      <c r="J108" s="3">
        <v>45757</v>
      </c>
      <c r="K108" s="18" t="s">
        <v>1227</v>
      </c>
      <c r="L108" s="22" t="s">
        <v>107</v>
      </c>
    </row>
    <row r="109" spans="1:12">
      <c r="A109" s="37">
        <v>904</v>
      </c>
      <c r="B109" s="21" t="s">
        <v>31</v>
      </c>
      <c r="C109" s="9" t="s">
        <v>1427</v>
      </c>
      <c r="D109" s="26">
        <v>45748</v>
      </c>
      <c r="E109" s="26">
        <v>45777</v>
      </c>
      <c r="F109" s="40" t="s">
        <v>11</v>
      </c>
      <c r="G109" s="19">
        <v>500000</v>
      </c>
      <c r="H109" s="77">
        <v>5.0000000000000001E-3</v>
      </c>
      <c r="I109" s="81" t="s">
        <v>168</v>
      </c>
      <c r="J109" s="3">
        <v>45751</v>
      </c>
      <c r="K109" s="18" t="s">
        <v>1058</v>
      </c>
      <c r="L109" s="22" t="s">
        <v>1252</v>
      </c>
    </row>
    <row r="110" spans="1:12">
      <c r="A110" s="37">
        <v>905</v>
      </c>
      <c r="B110" s="21" t="s">
        <v>31</v>
      </c>
      <c r="C110" s="9">
        <v>10293</v>
      </c>
      <c r="D110" s="26">
        <v>45748</v>
      </c>
      <c r="E110" s="26">
        <v>45777</v>
      </c>
      <c r="F110" s="40" t="s">
        <v>11</v>
      </c>
      <c r="G110" s="19">
        <v>1000</v>
      </c>
      <c r="H110" s="77">
        <v>5.0000000000000001E-3</v>
      </c>
      <c r="I110" s="81" t="s">
        <v>141</v>
      </c>
      <c r="J110" s="3">
        <v>45757</v>
      </c>
      <c r="K110" s="18" t="s">
        <v>1228</v>
      </c>
      <c r="L110" s="22" t="s">
        <v>1229</v>
      </c>
    </row>
    <row r="111" spans="1:12">
      <c r="A111" s="37">
        <v>906</v>
      </c>
      <c r="B111" s="21" t="s">
        <v>31</v>
      </c>
      <c r="C111" s="9">
        <v>13977</v>
      </c>
      <c r="D111" s="26">
        <v>45748</v>
      </c>
      <c r="E111" s="26">
        <v>45777</v>
      </c>
      <c r="F111" s="40" t="s">
        <v>11</v>
      </c>
      <c r="G111" s="19">
        <v>100</v>
      </c>
      <c r="H111" s="77">
        <v>1.5E-3</v>
      </c>
      <c r="I111" s="81" t="s">
        <v>27</v>
      </c>
      <c r="J111" s="3">
        <v>45756</v>
      </c>
      <c r="K111" s="18" t="s">
        <v>1230</v>
      </c>
      <c r="L111" s="22" t="s">
        <v>107</v>
      </c>
    </row>
    <row r="112" spans="1:12">
      <c r="A112" s="37">
        <v>907</v>
      </c>
      <c r="B112" s="21" t="s">
        <v>31</v>
      </c>
      <c r="C112" s="9">
        <v>16186</v>
      </c>
      <c r="D112" s="26">
        <v>45756</v>
      </c>
      <c r="E112" s="26">
        <v>45777</v>
      </c>
      <c r="F112" s="40" t="s">
        <v>11</v>
      </c>
      <c r="G112" s="19">
        <v>100000</v>
      </c>
      <c r="H112" s="77">
        <v>5.0000000000000001E-3</v>
      </c>
      <c r="I112" s="81" t="s">
        <v>49</v>
      </c>
      <c r="J112" s="3">
        <v>45756</v>
      </c>
      <c r="K112" s="18" t="s">
        <v>1231</v>
      </c>
      <c r="L112" s="22" t="s">
        <v>1278</v>
      </c>
    </row>
    <row r="113" spans="1:12">
      <c r="A113" s="37">
        <v>908</v>
      </c>
      <c r="B113" s="21" t="s">
        <v>31</v>
      </c>
      <c r="C113" s="9">
        <v>12805</v>
      </c>
      <c r="D113" s="26">
        <v>45748</v>
      </c>
      <c r="E113" s="26">
        <v>45777</v>
      </c>
      <c r="F113" s="40" t="s">
        <v>11</v>
      </c>
      <c r="G113" s="19">
        <v>250000</v>
      </c>
      <c r="H113" s="77">
        <v>3.0000000000000001E-3</v>
      </c>
      <c r="I113" s="81" t="s">
        <v>32</v>
      </c>
      <c r="J113" s="3">
        <v>45757</v>
      </c>
      <c r="K113" s="18" t="s">
        <v>1232</v>
      </c>
      <c r="L113" s="22" t="s">
        <v>107</v>
      </c>
    </row>
    <row r="114" spans="1:12">
      <c r="A114" s="37">
        <v>909</v>
      </c>
      <c r="B114" s="21" t="s">
        <v>31</v>
      </c>
      <c r="C114" s="9">
        <v>15574</v>
      </c>
      <c r="D114" s="26">
        <v>45748</v>
      </c>
      <c r="E114" s="26">
        <v>45777</v>
      </c>
      <c r="F114" s="40" t="s">
        <v>11</v>
      </c>
      <c r="G114" s="19">
        <v>150000</v>
      </c>
      <c r="H114" s="77">
        <v>2.5000000000000001E-3</v>
      </c>
      <c r="I114" s="81" t="s">
        <v>19</v>
      </c>
      <c r="J114" s="3">
        <v>45757</v>
      </c>
      <c r="K114" s="18" t="s">
        <v>1233</v>
      </c>
      <c r="L114" s="22" t="s">
        <v>1234</v>
      </c>
    </row>
    <row r="115" spans="1:12">
      <c r="A115" s="37">
        <v>910</v>
      </c>
      <c r="B115" s="21" t="s">
        <v>31</v>
      </c>
      <c r="C115" s="9">
        <v>13900</v>
      </c>
      <c r="D115" s="26">
        <v>45748</v>
      </c>
      <c r="E115" s="26">
        <v>45777</v>
      </c>
      <c r="F115" s="40" t="s">
        <v>11</v>
      </c>
      <c r="G115" s="19">
        <v>0.01</v>
      </c>
      <c r="H115" s="77">
        <v>1E-3</v>
      </c>
      <c r="I115" s="81" t="s">
        <v>20</v>
      </c>
      <c r="J115" s="3">
        <v>45757</v>
      </c>
      <c r="K115" s="18" t="s">
        <v>565</v>
      </c>
      <c r="L115" s="22" t="s">
        <v>107</v>
      </c>
    </row>
    <row r="116" spans="1:12">
      <c r="A116" s="37">
        <v>911</v>
      </c>
      <c r="B116" s="21" t="s">
        <v>31</v>
      </c>
      <c r="C116" s="9">
        <v>16537</v>
      </c>
      <c r="D116" s="26">
        <v>45748</v>
      </c>
      <c r="E116" s="26">
        <v>45777</v>
      </c>
      <c r="F116" s="40" t="s">
        <v>11</v>
      </c>
      <c r="G116" s="19">
        <v>800000</v>
      </c>
      <c r="H116" s="77">
        <v>2.5000000000000001E-3</v>
      </c>
      <c r="I116" s="81" t="s">
        <v>14</v>
      </c>
      <c r="J116" s="3">
        <v>45758</v>
      </c>
      <c r="K116" s="18" t="s">
        <v>1235</v>
      </c>
      <c r="L116" s="22" t="s">
        <v>1236</v>
      </c>
    </row>
    <row r="117" spans="1:12">
      <c r="A117" s="37">
        <v>912</v>
      </c>
      <c r="B117" s="21" t="s">
        <v>31</v>
      </c>
      <c r="C117" s="9">
        <v>6706</v>
      </c>
      <c r="D117" s="26">
        <v>45748</v>
      </c>
      <c r="E117" s="26">
        <v>45777</v>
      </c>
      <c r="F117" s="40" t="s">
        <v>11</v>
      </c>
      <c r="G117" s="19">
        <v>100000</v>
      </c>
      <c r="H117" s="77">
        <v>2.5000000000000001E-3</v>
      </c>
      <c r="I117" s="81" t="s">
        <v>168</v>
      </c>
      <c r="J117" s="3">
        <v>45758</v>
      </c>
      <c r="K117" s="18" t="s">
        <v>1237</v>
      </c>
      <c r="L117" s="22" t="s">
        <v>1253</v>
      </c>
    </row>
    <row r="118" spans="1:12">
      <c r="A118" s="37">
        <v>913</v>
      </c>
      <c r="B118" s="21" t="s">
        <v>31</v>
      </c>
      <c r="C118" s="9">
        <v>1818</v>
      </c>
      <c r="D118" s="26">
        <v>45748</v>
      </c>
      <c r="E118" s="26">
        <v>45777</v>
      </c>
      <c r="F118" s="40" t="s">
        <v>11</v>
      </c>
      <c r="G118" s="19">
        <v>500000</v>
      </c>
      <c r="H118" s="77">
        <v>2E-3</v>
      </c>
      <c r="I118" s="81" t="s">
        <v>168</v>
      </c>
      <c r="J118" s="3">
        <v>45758</v>
      </c>
      <c r="K118" s="18" t="s">
        <v>1238</v>
      </c>
      <c r="L118" s="22" t="s">
        <v>1433</v>
      </c>
    </row>
    <row r="119" spans="1:12">
      <c r="A119" s="37">
        <v>914</v>
      </c>
      <c r="B119" s="21" t="s">
        <v>31</v>
      </c>
      <c r="C119" s="9">
        <v>15990</v>
      </c>
      <c r="D119" s="26">
        <v>45748</v>
      </c>
      <c r="E119" s="26">
        <v>45777</v>
      </c>
      <c r="F119" s="40" t="s">
        <v>11</v>
      </c>
      <c r="G119" s="19">
        <v>400000</v>
      </c>
      <c r="H119" s="77">
        <v>2.5000000000000001E-3</v>
      </c>
      <c r="I119" s="81" t="s">
        <v>19</v>
      </c>
      <c r="J119" s="3">
        <v>45758</v>
      </c>
      <c r="K119" s="18" t="s">
        <v>1186</v>
      </c>
      <c r="L119" s="22" t="s">
        <v>1239</v>
      </c>
    </row>
    <row r="120" spans="1:12">
      <c r="A120" s="37">
        <v>915</v>
      </c>
      <c r="B120" s="21" t="s">
        <v>31</v>
      </c>
      <c r="C120" s="9">
        <v>16010</v>
      </c>
      <c r="D120" s="26">
        <v>45748</v>
      </c>
      <c r="E120" s="26">
        <v>45777</v>
      </c>
      <c r="F120" s="40" t="s">
        <v>11</v>
      </c>
      <c r="G120" s="19">
        <v>150000</v>
      </c>
      <c r="H120" s="77">
        <v>2.5000000000000001E-3</v>
      </c>
      <c r="I120" s="81" t="s">
        <v>168</v>
      </c>
      <c r="J120" s="3">
        <v>45758</v>
      </c>
      <c r="K120" s="18" t="s">
        <v>1240</v>
      </c>
      <c r="L120" s="22" t="s">
        <v>1241</v>
      </c>
    </row>
    <row r="121" spans="1:12">
      <c r="A121" s="37">
        <v>916</v>
      </c>
      <c r="B121" s="21" t="s">
        <v>31</v>
      </c>
      <c r="C121" s="9">
        <v>15064</v>
      </c>
      <c r="D121" s="26">
        <v>45748</v>
      </c>
      <c r="E121" s="26">
        <v>45777</v>
      </c>
      <c r="F121" s="40" t="s">
        <v>11</v>
      </c>
      <c r="G121" s="19">
        <v>0.01</v>
      </c>
      <c r="H121" s="77">
        <v>7.0000000000000001E-3</v>
      </c>
      <c r="I121" s="81" t="s">
        <v>168</v>
      </c>
      <c r="J121" s="3">
        <v>45758</v>
      </c>
      <c r="K121" s="18" t="s">
        <v>1242</v>
      </c>
      <c r="L121" s="22" t="s">
        <v>1243</v>
      </c>
    </row>
    <row r="122" spans="1:12">
      <c r="A122" s="37">
        <v>917</v>
      </c>
      <c r="B122" s="21" t="s">
        <v>31</v>
      </c>
      <c r="C122" s="9">
        <v>1532</v>
      </c>
      <c r="D122" s="26">
        <v>45748</v>
      </c>
      <c r="E122" s="26">
        <v>45777</v>
      </c>
      <c r="F122" s="40" t="s">
        <v>11</v>
      </c>
      <c r="G122" s="19">
        <v>0.01</v>
      </c>
      <c r="H122" s="77">
        <v>5.0000000000000001E-3</v>
      </c>
      <c r="I122" s="81" t="s">
        <v>20</v>
      </c>
      <c r="J122" s="3">
        <v>45758</v>
      </c>
      <c r="K122" s="18" t="s">
        <v>1244</v>
      </c>
      <c r="L122" s="22" t="s">
        <v>107</v>
      </c>
    </row>
    <row r="123" spans="1:12">
      <c r="A123" s="37">
        <v>918</v>
      </c>
      <c r="B123" s="21" t="s">
        <v>31</v>
      </c>
      <c r="C123" s="9">
        <v>12614</v>
      </c>
      <c r="D123" s="26">
        <v>45748</v>
      </c>
      <c r="E123" s="26">
        <v>45777</v>
      </c>
      <c r="F123" s="40" t="s">
        <v>11</v>
      </c>
      <c r="G123" s="19">
        <v>0.01</v>
      </c>
      <c r="H123" s="77">
        <v>1.5E-3</v>
      </c>
      <c r="I123" s="81" t="s">
        <v>29</v>
      </c>
      <c r="J123" s="3">
        <v>45758</v>
      </c>
      <c r="K123" s="18" t="s">
        <v>1245</v>
      </c>
      <c r="L123" s="22" t="s">
        <v>107</v>
      </c>
    </row>
    <row r="124" spans="1:12">
      <c r="A124" s="37">
        <v>919</v>
      </c>
      <c r="B124" s="21" t="s">
        <v>31</v>
      </c>
      <c r="C124" s="9">
        <v>9931</v>
      </c>
      <c r="D124" s="26">
        <v>45748</v>
      </c>
      <c r="E124" s="26">
        <v>45777</v>
      </c>
      <c r="F124" s="40" t="s">
        <v>11</v>
      </c>
      <c r="G124" s="19">
        <v>0.01</v>
      </c>
      <c r="H124" s="77">
        <v>1.5E-3</v>
      </c>
      <c r="I124" s="81" t="s">
        <v>19</v>
      </c>
      <c r="J124" s="3">
        <v>45758</v>
      </c>
      <c r="K124" s="18" t="s">
        <v>1246</v>
      </c>
      <c r="L124" s="22" t="s">
        <v>107</v>
      </c>
    </row>
    <row r="125" spans="1:12">
      <c r="A125" s="37">
        <v>920</v>
      </c>
      <c r="B125" s="21" t="s">
        <v>31</v>
      </c>
      <c r="C125" s="9">
        <v>2838</v>
      </c>
      <c r="D125" s="26">
        <v>45748</v>
      </c>
      <c r="E125" s="26">
        <v>45777</v>
      </c>
      <c r="F125" s="40" t="s">
        <v>11</v>
      </c>
      <c r="G125" s="19">
        <v>0.01</v>
      </c>
      <c r="H125" s="77">
        <v>1E-3</v>
      </c>
      <c r="I125" s="81" t="s">
        <v>19</v>
      </c>
      <c r="J125" s="3">
        <v>45758</v>
      </c>
      <c r="K125" s="18" t="s">
        <v>937</v>
      </c>
      <c r="L125" s="22" t="s">
        <v>938</v>
      </c>
    </row>
    <row r="126" spans="1:12">
      <c r="A126" s="37">
        <v>921</v>
      </c>
      <c r="B126" s="21" t="s">
        <v>31</v>
      </c>
      <c r="C126" s="9">
        <v>14910</v>
      </c>
      <c r="D126" s="26">
        <v>45748</v>
      </c>
      <c r="E126" s="26">
        <v>45777</v>
      </c>
      <c r="F126" s="40" t="s">
        <v>11</v>
      </c>
      <c r="G126" s="19">
        <v>200000</v>
      </c>
      <c r="H126" s="77">
        <v>5.0000000000000001E-3</v>
      </c>
      <c r="I126" s="81" t="s">
        <v>29</v>
      </c>
      <c r="J126" s="3">
        <v>45758</v>
      </c>
      <c r="K126" s="18" t="s">
        <v>1247</v>
      </c>
      <c r="L126" s="22" t="s">
        <v>128</v>
      </c>
    </row>
    <row r="127" spans="1:12">
      <c r="A127" s="37">
        <v>922</v>
      </c>
      <c r="B127" s="21" t="s">
        <v>31</v>
      </c>
      <c r="C127" s="9">
        <v>16761</v>
      </c>
      <c r="D127" s="26">
        <v>45748</v>
      </c>
      <c r="E127" s="26">
        <v>45777</v>
      </c>
      <c r="F127" s="40" t="s">
        <v>11</v>
      </c>
      <c r="G127" s="19">
        <v>0.01</v>
      </c>
      <c r="H127" s="77">
        <v>1.5E-3</v>
      </c>
      <c r="I127" s="81" t="s">
        <v>20</v>
      </c>
      <c r="J127" s="3">
        <v>45758</v>
      </c>
      <c r="K127" s="18" t="s">
        <v>1248</v>
      </c>
      <c r="L127" s="22" t="s">
        <v>107</v>
      </c>
    </row>
    <row r="128" spans="1:12">
      <c r="A128" s="37">
        <v>923</v>
      </c>
      <c r="B128" s="21" t="s">
        <v>31</v>
      </c>
      <c r="C128" s="9">
        <v>3566</v>
      </c>
      <c r="D128" s="26">
        <v>45748</v>
      </c>
      <c r="E128" s="26">
        <v>45777</v>
      </c>
      <c r="F128" s="40" t="s">
        <v>11</v>
      </c>
      <c r="G128" s="19">
        <v>0.01</v>
      </c>
      <c r="H128" s="77">
        <v>5.0000000000000001E-3</v>
      </c>
      <c r="I128" s="81" t="s">
        <v>19</v>
      </c>
      <c r="J128" s="3">
        <v>45758</v>
      </c>
      <c r="K128" s="18" t="s">
        <v>293</v>
      </c>
      <c r="L128" s="22" t="s">
        <v>222</v>
      </c>
    </row>
    <row r="129" spans="1:12">
      <c r="A129" s="37">
        <v>924</v>
      </c>
      <c r="B129" s="21" t="s">
        <v>31</v>
      </c>
      <c r="C129" s="9">
        <v>3566</v>
      </c>
      <c r="D129" s="26">
        <v>45748</v>
      </c>
      <c r="E129" s="26">
        <v>45777</v>
      </c>
      <c r="F129" s="40" t="s">
        <v>11</v>
      </c>
      <c r="G129" s="19">
        <v>500000</v>
      </c>
      <c r="H129" s="77">
        <v>7.0000000000000001E-3</v>
      </c>
      <c r="I129" s="81" t="s">
        <v>20</v>
      </c>
      <c r="J129" s="3">
        <v>45758</v>
      </c>
      <c r="K129" s="18" t="s">
        <v>293</v>
      </c>
      <c r="L129" s="22" t="s">
        <v>990</v>
      </c>
    </row>
    <row r="130" spans="1:12">
      <c r="A130" s="37">
        <v>925</v>
      </c>
      <c r="B130" s="21" t="s">
        <v>31</v>
      </c>
      <c r="C130" s="9">
        <v>11403</v>
      </c>
      <c r="D130" s="26">
        <v>45748</v>
      </c>
      <c r="E130" s="26">
        <v>45777</v>
      </c>
      <c r="F130" s="40" t="s">
        <v>11</v>
      </c>
      <c r="G130" s="19">
        <v>100000</v>
      </c>
      <c r="H130" s="79">
        <v>160</v>
      </c>
      <c r="I130" s="81" t="s">
        <v>20</v>
      </c>
      <c r="J130" s="3">
        <v>45758</v>
      </c>
      <c r="K130" s="18" t="s">
        <v>1249</v>
      </c>
      <c r="L130" s="22" t="s">
        <v>144</v>
      </c>
    </row>
    <row r="131" spans="1:12">
      <c r="A131" s="37">
        <v>926</v>
      </c>
      <c r="B131" s="21" t="s">
        <v>31</v>
      </c>
      <c r="C131" s="9">
        <v>11349</v>
      </c>
      <c r="D131" s="26">
        <v>45748</v>
      </c>
      <c r="E131" s="26">
        <v>45777</v>
      </c>
      <c r="F131" s="40" t="s">
        <v>11</v>
      </c>
      <c r="G131" s="19">
        <v>100000</v>
      </c>
      <c r="H131" s="79">
        <v>160</v>
      </c>
      <c r="I131" s="81" t="s">
        <v>48</v>
      </c>
      <c r="J131" s="3">
        <v>45758</v>
      </c>
      <c r="K131" s="18" t="s">
        <v>1249</v>
      </c>
      <c r="L131" s="22" t="s">
        <v>144</v>
      </c>
    </row>
    <row r="132" spans="1:12">
      <c r="A132" s="37">
        <v>927</v>
      </c>
      <c r="B132" s="21" t="s">
        <v>31</v>
      </c>
      <c r="C132" s="9">
        <v>14194</v>
      </c>
      <c r="D132" s="26">
        <v>45748</v>
      </c>
      <c r="E132" s="26">
        <v>45777</v>
      </c>
      <c r="F132" s="40" t="s">
        <v>11</v>
      </c>
      <c r="G132" s="19">
        <v>0.01</v>
      </c>
      <c r="H132" s="77">
        <v>5.0000000000000001E-3</v>
      </c>
      <c r="I132" s="81" t="s">
        <v>48</v>
      </c>
      <c r="J132" s="3">
        <v>45761</v>
      </c>
      <c r="K132" s="18" t="s">
        <v>1251</v>
      </c>
      <c r="L132" s="22" t="s">
        <v>128</v>
      </c>
    </row>
    <row r="133" spans="1:12">
      <c r="A133" s="37">
        <v>928</v>
      </c>
      <c r="B133" s="21" t="s">
        <v>31</v>
      </c>
      <c r="C133" s="9">
        <v>2892</v>
      </c>
      <c r="D133" s="26">
        <v>45748</v>
      </c>
      <c r="E133" s="26">
        <v>45777</v>
      </c>
      <c r="F133" s="40" t="s">
        <v>11</v>
      </c>
      <c r="G133" s="19">
        <v>60000</v>
      </c>
      <c r="H133" s="77">
        <v>5.0000000000000001E-3</v>
      </c>
      <c r="I133" s="81" t="s">
        <v>20</v>
      </c>
      <c r="J133" s="3">
        <v>45758</v>
      </c>
      <c r="K133" s="18" t="s">
        <v>1250</v>
      </c>
      <c r="L133" s="22" t="s">
        <v>1254</v>
      </c>
    </row>
    <row r="134" spans="1:12">
      <c r="A134" s="37">
        <v>929</v>
      </c>
      <c r="B134" s="21" t="s">
        <v>31</v>
      </c>
      <c r="C134" s="9">
        <v>5948</v>
      </c>
      <c r="D134" s="26">
        <v>45748</v>
      </c>
      <c r="E134" s="26">
        <v>45777</v>
      </c>
      <c r="F134" s="40" t="s">
        <v>11</v>
      </c>
      <c r="G134" s="19">
        <v>200000</v>
      </c>
      <c r="H134" s="80">
        <v>250</v>
      </c>
      <c r="I134" s="81" t="s">
        <v>39</v>
      </c>
      <c r="J134" s="3">
        <v>45758</v>
      </c>
      <c r="K134" s="18" t="s">
        <v>110</v>
      </c>
      <c r="L134" s="22" t="s">
        <v>1454</v>
      </c>
    </row>
    <row r="135" spans="1:12">
      <c r="A135" s="37">
        <v>930</v>
      </c>
      <c r="B135" s="21" t="s">
        <v>31</v>
      </c>
      <c r="C135" s="9">
        <v>5725</v>
      </c>
      <c r="D135" s="26">
        <v>45748</v>
      </c>
      <c r="E135" s="26">
        <v>45777</v>
      </c>
      <c r="F135" s="40" t="s">
        <v>11</v>
      </c>
      <c r="G135" s="19">
        <v>200000</v>
      </c>
      <c r="H135" s="80">
        <v>250</v>
      </c>
      <c r="I135" s="81" t="s">
        <v>46</v>
      </c>
      <c r="J135" s="3">
        <v>45758</v>
      </c>
      <c r="K135" s="18" t="s">
        <v>110</v>
      </c>
      <c r="L135" s="22" t="s">
        <v>1454</v>
      </c>
    </row>
    <row r="136" spans="1:12">
      <c r="A136" s="37">
        <v>931</v>
      </c>
      <c r="B136" s="21" t="s">
        <v>31</v>
      </c>
      <c r="C136" s="9">
        <v>14382</v>
      </c>
      <c r="D136" s="26">
        <v>45748</v>
      </c>
      <c r="E136" s="26">
        <v>45777</v>
      </c>
      <c r="F136" s="40" t="s">
        <v>11</v>
      </c>
      <c r="G136" s="19">
        <v>200000</v>
      </c>
      <c r="H136" s="80">
        <v>250</v>
      </c>
      <c r="I136" s="81" t="s">
        <v>46</v>
      </c>
      <c r="J136" s="3">
        <v>45758</v>
      </c>
      <c r="K136" s="18" t="s">
        <v>110</v>
      </c>
      <c r="L136" s="22" t="s">
        <v>1454</v>
      </c>
    </row>
    <row r="137" spans="1:12">
      <c r="A137" s="37">
        <v>932</v>
      </c>
      <c r="B137" s="21" t="s">
        <v>31</v>
      </c>
      <c r="C137" s="9">
        <v>10400</v>
      </c>
      <c r="D137" s="26">
        <v>45748</v>
      </c>
      <c r="E137" s="26">
        <v>45777</v>
      </c>
      <c r="F137" s="40" t="s">
        <v>11</v>
      </c>
      <c r="G137" s="19">
        <v>200000</v>
      </c>
      <c r="H137" s="78">
        <v>300</v>
      </c>
      <c r="I137" s="81" t="s">
        <v>46</v>
      </c>
      <c r="J137" s="3">
        <v>45758</v>
      </c>
      <c r="K137" s="18" t="s">
        <v>110</v>
      </c>
      <c r="L137" s="22" t="s">
        <v>1454</v>
      </c>
    </row>
    <row r="138" spans="1:12">
      <c r="A138" s="37">
        <v>933</v>
      </c>
      <c r="B138" s="21" t="s">
        <v>31</v>
      </c>
      <c r="C138" s="9">
        <v>5596</v>
      </c>
      <c r="D138" s="26">
        <v>45748</v>
      </c>
      <c r="E138" s="26">
        <v>45777</v>
      </c>
      <c r="F138" s="40" t="s">
        <v>11</v>
      </c>
      <c r="G138" s="19">
        <v>200000</v>
      </c>
      <c r="H138" s="78">
        <v>300</v>
      </c>
      <c r="I138" s="81" t="s">
        <v>46</v>
      </c>
      <c r="J138" s="3">
        <v>45758</v>
      </c>
      <c r="K138" s="18" t="s">
        <v>110</v>
      </c>
      <c r="L138" s="22" t="s">
        <v>1454</v>
      </c>
    </row>
    <row r="139" spans="1:12">
      <c r="A139" s="37">
        <v>934</v>
      </c>
      <c r="B139" s="21" t="s">
        <v>31</v>
      </c>
      <c r="C139" s="9">
        <v>6359</v>
      </c>
      <c r="D139" s="26">
        <v>45748</v>
      </c>
      <c r="E139" s="26">
        <v>45777</v>
      </c>
      <c r="F139" s="40" t="s">
        <v>11</v>
      </c>
      <c r="G139" s="19">
        <v>200000</v>
      </c>
      <c r="H139" s="78">
        <v>300</v>
      </c>
      <c r="I139" s="81" t="s">
        <v>46</v>
      </c>
      <c r="J139" s="3">
        <v>45758</v>
      </c>
      <c r="K139" s="18" t="s">
        <v>110</v>
      </c>
      <c r="L139" s="22" t="s">
        <v>1454</v>
      </c>
    </row>
    <row r="140" spans="1:12">
      <c r="A140" s="37">
        <v>935</v>
      </c>
      <c r="B140" s="21" t="s">
        <v>31</v>
      </c>
      <c r="C140" s="9">
        <v>5023</v>
      </c>
      <c r="D140" s="26">
        <v>45748</v>
      </c>
      <c r="E140" s="26">
        <v>45777</v>
      </c>
      <c r="F140" s="40" t="s">
        <v>11</v>
      </c>
      <c r="G140" s="19">
        <v>200000</v>
      </c>
      <c r="H140" s="78">
        <v>300</v>
      </c>
      <c r="I140" s="81" t="s">
        <v>46</v>
      </c>
      <c r="J140" s="3">
        <v>45758</v>
      </c>
      <c r="K140" s="18" t="s">
        <v>110</v>
      </c>
      <c r="L140" s="22" t="s">
        <v>1454</v>
      </c>
    </row>
    <row r="141" spans="1:12">
      <c r="A141" s="37">
        <v>936</v>
      </c>
      <c r="B141" s="21" t="s">
        <v>31</v>
      </c>
      <c r="C141" s="9">
        <v>12147</v>
      </c>
      <c r="D141" s="26">
        <v>45748</v>
      </c>
      <c r="E141" s="26">
        <v>45777</v>
      </c>
      <c r="F141" s="40" t="s">
        <v>11</v>
      </c>
      <c r="G141" s="19">
        <v>200000</v>
      </c>
      <c r="H141" s="78">
        <v>300</v>
      </c>
      <c r="I141" s="81" t="s">
        <v>46</v>
      </c>
      <c r="J141" s="3">
        <v>45758</v>
      </c>
      <c r="K141" s="18" t="s">
        <v>110</v>
      </c>
      <c r="L141" s="22" t="s">
        <v>1454</v>
      </c>
    </row>
    <row r="142" spans="1:12">
      <c r="A142" s="37">
        <v>937</v>
      </c>
      <c r="B142" s="21" t="s">
        <v>31</v>
      </c>
      <c r="C142" s="9">
        <v>16024</v>
      </c>
      <c r="D142" s="26">
        <v>45748</v>
      </c>
      <c r="E142" s="26">
        <v>45777</v>
      </c>
      <c r="F142" s="40" t="s">
        <v>11</v>
      </c>
      <c r="G142" s="19">
        <v>100</v>
      </c>
      <c r="H142" s="77">
        <v>4.0000000000000001E-3</v>
      </c>
      <c r="I142" s="81" t="s">
        <v>46</v>
      </c>
      <c r="J142" s="3">
        <v>45758</v>
      </c>
      <c r="K142" s="18" t="s">
        <v>1255</v>
      </c>
      <c r="L142" s="22" t="s">
        <v>203</v>
      </c>
    </row>
    <row r="143" spans="1:12">
      <c r="A143" s="37">
        <v>938</v>
      </c>
      <c r="B143" s="21" t="s">
        <v>31</v>
      </c>
      <c r="C143" s="9">
        <v>6688</v>
      </c>
      <c r="D143" s="26">
        <v>45748</v>
      </c>
      <c r="E143" s="26">
        <v>45777</v>
      </c>
      <c r="F143" s="40" t="s">
        <v>11</v>
      </c>
      <c r="G143" s="19">
        <v>0.01</v>
      </c>
      <c r="H143" s="77">
        <v>2E-3</v>
      </c>
      <c r="I143" s="81" t="s">
        <v>13</v>
      </c>
      <c r="J143" s="3">
        <v>45758</v>
      </c>
      <c r="K143" s="18" t="s">
        <v>1256</v>
      </c>
      <c r="L143" s="82" t="s">
        <v>1455</v>
      </c>
    </row>
    <row r="144" spans="1:12">
      <c r="A144" s="37">
        <v>939</v>
      </c>
      <c r="B144" s="21" t="s">
        <v>31</v>
      </c>
      <c r="C144" s="9">
        <v>13749</v>
      </c>
      <c r="D144" s="26">
        <v>45748</v>
      </c>
      <c r="E144" s="26">
        <v>45777</v>
      </c>
      <c r="F144" s="40" t="s">
        <v>11</v>
      </c>
      <c r="G144" s="19">
        <v>1000</v>
      </c>
      <c r="H144" s="77">
        <v>0.01</v>
      </c>
      <c r="I144" s="81" t="s">
        <v>13</v>
      </c>
      <c r="J144" s="3">
        <v>45758</v>
      </c>
      <c r="K144" s="18" t="s">
        <v>1257</v>
      </c>
      <c r="L144" s="22" t="s">
        <v>1258</v>
      </c>
    </row>
    <row r="145" spans="1:12">
      <c r="A145" s="37">
        <v>940</v>
      </c>
      <c r="B145" s="21" t="s">
        <v>31</v>
      </c>
      <c r="C145" s="9">
        <v>14826</v>
      </c>
      <c r="D145" s="26">
        <v>45748</v>
      </c>
      <c r="E145" s="26">
        <v>45777</v>
      </c>
      <c r="F145" s="40" t="s">
        <v>11</v>
      </c>
      <c r="G145" s="19">
        <v>1000</v>
      </c>
      <c r="H145" s="77">
        <v>5.0000000000000001E-3</v>
      </c>
      <c r="I145" s="81" t="s">
        <v>53</v>
      </c>
      <c r="J145" s="3">
        <v>45758</v>
      </c>
      <c r="K145" s="18" t="s">
        <v>1257</v>
      </c>
      <c r="L145" s="22" t="s">
        <v>107</v>
      </c>
    </row>
    <row r="146" spans="1:12">
      <c r="A146" s="37">
        <v>941</v>
      </c>
      <c r="B146" s="21" t="s">
        <v>31</v>
      </c>
      <c r="C146" s="9">
        <v>17055</v>
      </c>
      <c r="D146" s="26">
        <v>45748</v>
      </c>
      <c r="E146" s="26">
        <v>45777</v>
      </c>
      <c r="F146" s="40" t="s">
        <v>11</v>
      </c>
      <c r="G146" s="19">
        <v>1000</v>
      </c>
      <c r="H146" s="77">
        <v>5.0000000000000001E-3</v>
      </c>
      <c r="I146" s="81" t="s">
        <v>53</v>
      </c>
      <c r="J146" s="3">
        <v>45758</v>
      </c>
      <c r="K146" s="18" t="s">
        <v>1257</v>
      </c>
      <c r="L146" s="22" t="s">
        <v>107</v>
      </c>
    </row>
    <row r="147" spans="1:12">
      <c r="A147" s="37">
        <v>942</v>
      </c>
      <c r="B147" s="21" t="s">
        <v>31</v>
      </c>
      <c r="C147" s="9">
        <v>16934</v>
      </c>
      <c r="D147" s="26">
        <v>45748</v>
      </c>
      <c r="E147" s="26">
        <v>45777</v>
      </c>
      <c r="F147" s="40" t="s">
        <v>11</v>
      </c>
      <c r="G147" s="19">
        <v>1000</v>
      </c>
      <c r="H147" s="77">
        <v>2E-3</v>
      </c>
      <c r="I147" s="81" t="s">
        <v>53</v>
      </c>
      <c r="J147" s="3">
        <v>45758</v>
      </c>
      <c r="K147" s="18" t="s">
        <v>1257</v>
      </c>
      <c r="L147" s="22" t="s">
        <v>1259</v>
      </c>
    </row>
    <row r="148" spans="1:12">
      <c r="A148" s="37">
        <v>943</v>
      </c>
      <c r="B148" s="21" t="s">
        <v>31</v>
      </c>
      <c r="C148" s="9">
        <v>16996</v>
      </c>
      <c r="D148" s="26">
        <v>45748</v>
      </c>
      <c r="E148" s="26">
        <v>45777</v>
      </c>
      <c r="F148" s="40" t="s">
        <v>11</v>
      </c>
      <c r="G148" s="19">
        <v>1000</v>
      </c>
      <c r="H148" s="77">
        <v>1.7999999999999999E-2</v>
      </c>
      <c r="I148" s="81" t="s">
        <v>53</v>
      </c>
      <c r="J148" s="3">
        <v>45758</v>
      </c>
      <c r="K148" s="18" t="s">
        <v>1257</v>
      </c>
      <c r="L148" s="22" t="s">
        <v>1258</v>
      </c>
    </row>
    <row r="149" spans="1:12">
      <c r="A149" s="37">
        <v>944</v>
      </c>
      <c r="B149" s="21" t="s">
        <v>31</v>
      </c>
      <c r="C149" s="9">
        <v>16996</v>
      </c>
      <c r="D149" s="26">
        <v>45748</v>
      </c>
      <c r="E149" s="26">
        <v>45777</v>
      </c>
      <c r="F149" s="40" t="s">
        <v>11</v>
      </c>
      <c r="G149" s="19">
        <v>1000</v>
      </c>
      <c r="H149" s="77">
        <v>2.5000000000000001E-3</v>
      </c>
      <c r="I149" s="81" t="s">
        <v>53</v>
      </c>
      <c r="J149" s="3">
        <v>45758</v>
      </c>
      <c r="K149" s="18" t="s">
        <v>1257</v>
      </c>
      <c r="L149" s="22" t="s">
        <v>1260</v>
      </c>
    </row>
    <row r="150" spans="1:12">
      <c r="A150" s="37">
        <v>945</v>
      </c>
      <c r="B150" s="21" t="s">
        <v>31</v>
      </c>
      <c r="C150" s="9">
        <v>16996</v>
      </c>
      <c r="D150" s="26">
        <v>45748</v>
      </c>
      <c r="E150" s="26">
        <v>45777</v>
      </c>
      <c r="F150" s="40" t="s">
        <v>11</v>
      </c>
      <c r="G150" s="19">
        <v>1000</v>
      </c>
      <c r="H150" s="77">
        <v>5.0000000000000001E-3</v>
      </c>
      <c r="I150" s="81" t="s">
        <v>53</v>
      </c>
      <c r="J150" s="3">
        <v>45758</v>
      </c>
      <c r="K150" s="18" t="s">
        <v>1257</v>
      </c>
      <c r="L150" s="22" t="s">
        <v>1261</v>
      </c>
    </row>
    <row r="151" spans="1:12">
      <c r="A151" s="37">
        <v>946</v>
      </c>
      <c r="B151" s="21" t="s">
        <v>31</v>
      </c>
      <c r="C151" s="9">
        <v>16996</v>
      </c>
      <c r="D151" s="26">
        <v>45748</v>
      </c>
      <c r="E151" s="26">
        <v>45777</v>
      </c>
      <c r="F151" s="40" t="s">
        <v>11</v>
      </c>
      <c r="G151" s="19">
        <v>1000</v>
      </c>
      <c r="H151" s="77">
        <v>1.5E-3</v>
      </c>
      <c r="I151" s="81" t="s">
        <v>53</v>
      </c>
      <c r="J151" s="3">
        <v>45758</v>
      </c>
      <c r="K151" s="18" t="s">
        <v>1257</v>
      </c>
      <c r="L151" s="22" t="s">
        <v>1262</v>
      </c>
    </row>
    <row r="152" spans="1:12">
      <c r="A152" s="37">
        <v>947</v>
      </c>
      <c r="B152" s="21" t="s">
        <v>31</v>
      </c>
      <c r="C152" s="9">
        <v>16996</v>
      </c>
      <c r="D152" s="26">
        <v>45748</v>
      </c>
      <c r="E152" s="26">
        <v>45777</v>
      </c>
      <c r="F152" s="40" t="s">
        <v>11</v>
      </c>
      <c r="G152" s="19">
        <v>1000</v>
      </c>
      <c r="H152" s="77">
        <v>7.4999999999999997E-3</v>
      </c>
      <c r="I152" s="81" t="s">
        <v>53</v>
      </c>
      <c r="J152" s="3">
        <v>45758</v>
      </c>
      <c r="K152" s="18" t="s">
        <v>1257</v>
      </c>
      <c r="L152" s="22" t="s">
        <v>107</v>
      </c>
    </row>
    <row r="153" spans="1:12">
      <c r="A153" s="37">
        <v>948</v>
      </c>
      <c r="B153" s="21" t="s">
        <v>31</v>
      </c>
      <c r="C153" s="9">
        <v>3446</v>
      </c>
      <c r="D153" s="26">
        <v>45748</v>
      </c>
      <c r="E153" s="26">
        <v>45777</v>
      </c>
      <c r="F153" s="40" t="s">
        <v>11</v>
      </c>
      <c r="G153" s="19">
        <v>0.01</v>
      </c>
      <c r="H153" s="77">
        <v>0.01</v>
      </c>
      <c r="I153" s="81" t="s">
        <v>53</v>
      </c>
      <c r="J153" s="3">
        <v>45758</v>
      </c>
      <c r="K153" s="18" t="s">
        <v>1263</v>
      </c>
      <c r="L153" s="22" t="s">
        <v>1264</v>
      </c>
    </row>
    <row r="154" spans="1:12">
      <c r="A154" s="37">
        <v>949</v>
      </c>
      <c r="B154" s="21" t="s">
        <v>31</v>
      </c>
      <c r="C154" s="9">
        <v>7677</v>
      </c>
      <c r="D154" s="26">
        <v>45748</v>
      </c>
      <c r="E154" s="26">
        <v>45777</v>
      </c>
      <c r="F154" s="40" t="s">
        <v>11</v>
      </c>
      <c r="G154" s="19">
        <v>0.01</v>
      </c>
      <c r="H154" s="77">
        <v>1E-3</v>
      </c>
      <c r="I154" s="81" t="s">
        <v>29</v>
      </c>
      <c r="J154" s="3">
        <v>45758</v>
      </c>
      <c r="K154" s="18" t="s">
        <v>1265</v>
      </c>
      <c r="L154" s="22" t="s">
        <v>128</v>
      </c>
    </row>
    <row r="155" spans="1:12">
      <c r="A155" s="37">
        <v>950</v>
      </c>
      <c r="B155" s="21" t="s">
        <v>31</v>
      </c>
      <c r="C155" s="9" t="s">
        <v>1423</v>
      </c>
      <c r="D155" s="26">
        <v>45748</v>
      </c>
      <c r="E155" s="26">
        <v>45777</v>
      </c>
      <c r="F155" s="40" t="s">
        <v>11</v>
      </c>
      <c r="G155" s="19">
        <v>0.01</v>
      </c>
      <c r="H155" s="77">
        <v>6.4999999999999997E-3</v>
      </c>
      <c r="I155" s="81" t="s">
        <v>13</v>
      </c>
      <c r="J155" s="3">
        <v>45758</v>
      </c>
      <c r="K155" s="18" t="s">
        <v>1266</v>
      </c>
      <c r="L155" s="22" t="s">
        <v>1463</v>
      </c>
    </row>
    <row r="156" spans="1:12">
      <c r="A156" s="37">
        <v>951</v>
      </c>
      <c r="B156" s="21" t="s">
        <v>31</v>
      </c>
      <c r="C156" s="9">
        <v>15932</v>
      </c>
      <c r="D156" s="26">
        <v>45748</v>
      </c>
      <c r="E156" s="26">
        <v>45777</v>
      </c>
      <c r="F156" s="40" t="s">
        <v>11</v>
      </c>
      <c r="G156" s="19">
        <v>0.01</v>
      </c>
      <c r="H156" s="77">
        <v>2.5000000000000001E-3</v>
      </c>
      <c r="I156" s="81" t="s">
        <v>20</v>
      </c>
      <c r="J156" s="3">
        <v>45758</v>
      </c>
      <c r="K156" s="18" t="s">
        <v>1267</v>
      </c>
      <c r="L156" s="22" t="s">
        <v>1268</v>
      </c>
    </row>
    <row r="157" spans="1:12">
      <c r="A157" s="37">
        <v>952</v>
      </c>
      <c r="B157" s="21" t="s">
        <v>31</v>
      </c>
      <c r="C157" s="9">
        <v>13368</v>
      </c>
      <c r="D157" s="26">
        <v>45748</v>
      </c>
      <c r="E157" s="26">
        <v>45777</v>
      </c>
      <c r="F157" s="40" t="s">
        <v>11</v>
      </c>
      <c r="G157" s="19">
        <v>0.01</v>
      </c>
      <c r="H157" s="77">
        <v>5.0000000000000001E-3</v>
      </c>
      <c r="I157" s="81" t="s">
        <v>14</v>
      </c>
      <c r="J157" s="3">
        <v>45761</v>
      </c>
      <c r="K157" s="18" t="s">
        <v>1269</v>
      </c>
      <c r="L157" s="22" t="s">
        <v>107</v>
      </c>
    </row>
    <row r="158" spans="1:12">
      <c r="A158" s="37">
        <v>953</v>
      </c>
      <c r="B158" s="21" t="s">
        <v>31</v>
      </c>
      <c r="C158" s="9">
        <v>13368</v>
      </c>
      <c r="D158" s="26">
        <v>45748</v>
      </c>
      <c r="E158" s="26">
        <v>45777</v>
      </c>
      <c r="F158" s="40" t="s">
        <v>11</v>
      </c>
      <c r="G158" s="19">
        <v>0.01</v>
      </c>
      <c r="H158" s="77">
        <v>1.4999999999999999E-2</v>
      </c>
      <c r="I158" s="81" t="s">
        <v>32</v>
      </c>
      <c r="J158" s="3">
        <v>45761</v>
      </c>
      <c r="K158" s="18" t="s">
        <v>1269</v>
      </c>
      <c r="L158" s="22" t="s">
        <v>1489</v>
      </c>
    </row>
    <row r="159" spans="1:12">
      <c r="A159" s="37">
        <v>954</v>
      </c>
      <c r="B159" s="21" t="s">
        <v>31</v>
      </c>
      <c r="C159" s="9">
        <v>13368</v>
      </c>
      <c r="D159" s="26">
        <v>45748</v>
      </c>
      <c r="E159" s="26">
        <v>45777</v>
      </c>
      <c r="F159" s="40" t="s">
        <v>11</v>
      </c>
      <c r="G159" s="19">
        <v>0.01</v>
      </c>
      <c r="H159" s="77">
        <v>1.4999999999999999E-2</v>
      </c>
      <c r="I159" s="81" t="s">
        <v>32</v>
      </c>
      <c r="J159" s="3">
        <v>45761</v>
      </c>
      <c r="K159" s="18" t="s">
        <v>1269</v>
      </c>
      <c r="L159" s="22" t="s">
        <v>1270</v>
      </c>
    </row>
    <row r="160" spans="1:12" ht="60">
      <c r="A160" s="37">
        <v>955</v>
      </c>
      <c r="B160" s="21" t="s">
        <v>31</v>
      </c>
      <c r="C160" s="9" t="s">
        <v>1424</v>
      </c>
      <c r="D160" s="26">
        <v>45748</v>
      </c>
      <c r="E160" s="26">
        <v>45777</v>
      </c>
      <c r="F160" s="40" t="s">
        <v>11</v>
      </c>
      <c r="G160" s="19">
        <v>600000</v>
      </c>
      <c r="H160" s="77">
        <v>1E-3</v>
      </c>
      <c r="I160" s="81" t="s">
        <v>32</v>
      </c>
      <c r="J160" s="3">
        <v>45761</v>
      </c>
      <c r="K160" s="18" t="s">
        <v>1271</v>
      </c>
      <c r="L160" s="22" t="s">
        <v>1277</v>
      </c>
    </row>
    <row r="161" spans="1:12">
      <c r="A161" s="37">
        <v>956</v>
      </c>
      <c r="B161" s="21" t="s">
        <v>31</v>
      </c>
      <c r="C161" s="9">
        <v>4079</v>
      </c>
      <c r="D161" s="26">
        <v>45748</v>
      </c>
      <c r="E161" s="26">
        <v>45777</v>
      </c>
      <c r="F161" s="40" t="s">
        <v>11</v>
      </c>
      <c r="G161" s="19">
        <v>499999</v>
      </c>
      <c r="H161" s="77">
        <v>5.0000000000000001E-3</v>
      </c>
      <c r="I161" s="81" t="s">
        <v>32</v>
      </c>
      <c r="J161" s="3">
        <v>45761</v>
      </c>
      <c r="K161" s="18" t="s">
        <v>1272</v>
      </c>
      <c r="L161" s="22" t="s">
        <v>1275</v>
      </c>
    </row>
    <row r="162" spans="1:12">
      <c r="A162" s="37">
        <v>957</v>
      </c>
      <c r="B162" s="21" t="s">
        <v>31</v>
      </c>
      <c r="C162" s="9">
        <v>4079</v>
      </c>
      <c r="D162" s="26">
        <v>45748</v>
      </c>
      <c r="E162" s="26">
        <v>45777</v>
      </c>
      <c r="F162" s="40" t="s">
        <v>11</v>
      </c>
      <c r="G162" s="19">
        <v>500000</v>
      </c>
      <c r="H162" s="77">
        <v>0.01</v>
      </c>
      <c r="I162" s="81" t="s">
        <v>17</v>
      </c>
      <c r="J162" s="3">
        <v>45761</v>
      </c>
      <c r="K162" s="18" t="s">
        <v>1272</v>
      </c>
      <c r="L162" s="22" t="s">
        <v>1275</v>
      </c>
    </row>
    <row r="163" spans="1:12">
      <c r="A163" s="37">
        <v>958</v>
      </c>
      <c r="B163" s="21" t="s">
        <v>31</v>
      </c>
      <c r="C163" s="9" t="s">
        <v>1274</v>
      </c>
      <c r="D163" s="26">
        <v>45748</v>
      </c>
      <c r="E163" s="26">
        <v>45777</v>
      </c>
      <c r="F163" s="40" t="s">
        <v>11</v>
      </c>
      <c r="G163" s="19">
        <v>150000</v>
      </c>
      <c r="H163" s="77">
        <v>2E-3</v>
      </c>
      <c r="I163" s="81" t="s">
        <v>17</v>
      </c>
      <c r="J163" s="3">
        <v>45761</v>
      </c>
      <c r="K163" s="18" t="s">
        <v>1273</v>
      </c>
      <c r="L163" s="22" t="s">
        <v>1276</v>
      </c>
    </row>
    <row r="164" spans="1:12">
      <c r="A164" s="37">
        <v>959</v>
      </c>
      <c r="B164" s="21" t="s">
        <v>31</v>
      </c>
      <c r="C164" s="9" t="s">
        <v>1274</v>
      </c>
      <c r="D164" s="26">
        <v>45748</v>
      </c>
      <c r="E164" s="26">
        <v>45777</v>
      </c>
      <c r="F164" s="40" t="s">
        <v>11</v>
      </c>
      <c r="G164" s="19">
        <v>150000</v>
      </c>
      <c r="H164" s="77">
        <v>1E-3</v>
      </c>
      <c r="I164" s="81" t="s">
        <v>25</v>
      </c>
      <c r="J164" s="3">
        <v>45761</v>
      </c>
      <c r="K164" s="18" t="s">
        <v>1273</v>
      </c>
      <c r="L164" s="22" t="s">
        <v>1484</v>
      </c>
    </row>
    <row r="165" spans="1:12">
      <c r="A165" s="37">
        <v>960</v>
      </c>
      <c r="B165" s="21" t="s">
        <v>31</v>
      </c>
      <c r="C165" s="9" t="s">
        <v>1425</v>
      </c>
      <c r="D165" s="26">
        <v>45748</v>
      </c>
      <c r="E165" s="26">
        <v>45777</v>
      </c>
      <c r="F165" s="40" t="s">
        <v>11</v>
      </c>
      <c r="G165" s="19">
        <v>2500000</v>
      </c>
      <c r="H165" s="77">
        <v>1E-3</v>
      </c>
      <c r="I165" s="81" t="s">
        <v>25</v>
      </c>
      <c r="J165" s="3">
        <v>45761</v>
      </c>
      <c r="K165" s="18" t="s">
        <v>1279</v>
      </c>
      <c r="L165" s="22" t="s">
        <v>1464</v>
      </c>
    </row>
    <row r="166" spans="1:12">
      <c r="A166" s="37">
        <v>961</v>
      </c>
      <c r="B166" s="21" t="s">
        <v>31</v>
      </c>
      <c r="C166" s="9" t="s">
        <v>916</v>
      </c>
      <c r="D166" s="26">
        <v>45748</v>
      </c>
      <c r="E166" s="26">
        <v>45777</v>
      </c>
      <c r="F166" s="40" t="s">
        <v>11</v>
      </c>
      <c r="G166" s="19">
        <v>100000</v>
      </c>
      <c r="H166" s="77">
        <v>3.0000000000000001E-3</v>
      </c>
      <c r="I166" s="81" t="s">
        <v>14</v>
      </c>
      <c r="J166" s="3">
        <v>45761</v>
      </c>
      <c r="K166" s="18" t="s">
        <v>1280</v>
      </c>
      <c r="L166" s="22" t="s">
        <v>1281</v>
      </c>
    </row>
    <row r="167" spans="1:12">
      <c r="A167" s="37">
        <v>962</v>
      </c>
      <c r="B167" s="21" t="s">
        <v>31</v>
      </c>
      <c r="C167" s="9">
        <v>15664</v>
      </c>
      <c r="D167" s="26">
        <v>45748</v>
      </c>
      <c r="E167" s="26">
        <v>45777</v>
      </c>
      <c r="F167" s="40" t="s">
        <v>11</v>
      </c>
      <c r="G167" s="19">
        <v>50000</v>
      </c>
      <c r="H167" s="77">
        <v>2.5000000000000001E-3</v>
      </c>
      <c r="I167" s="81" t="s">
        <v>18</v>
      </c>
      <c r="J167" s="3">
        <v>45761</v>
      </c>
      <c r="K167" s="18" t="s">
        <v>1280</v>
      </c>
      <c r="L167" s="22" t="s">
        <v>1282</v>
      </c>
    </row>
    <row r="168" spans="1:12">
      <c r="A168" s="37">
        <v>963</v>
      </c>
      <c r="B168" s="21" t="s">
        <v>31</v>
      </c>
      <c r="C168" s="9">
        <v>5144</v>
      </c>
      <c r="D168" s="26">
        <v>45748</v>
      </c>
      <c r="E168" s="26">
        <v>45777</v>
      </c>
      <c r="F168" s="40" t="s">
        <v>11</v>
      </c>
      <c r="G168" s="19">
        <v>50000</v>
      </c>
      <c r="H168" s="77">
        <v>2.5000000000000001E-3</v>
      </c>
      <c r="I168" s="81" t="s">
        <v>18</v>
      </c>
      <c r="J168" s="3">
        <v>45761</v>
      </c>
      <c r="K168" s="18" t="s">
        <v>1280</v>
      </c>
      <c r="L168" s="22" t="s">
        <v>1283</v>
      </c>
    </row>
    <row r="169" spans="1:12">
      <c r="A169" s="37">
        <v>964</v>
      </c>
      <c r="B169" s="21" t="s">
        <v>31</v>
      </c>
      <c r="C169" s="9">
        <v>5146</v>
      </c>
      <c r="D169" s="26">
        <v>45748</v>
      </c>
      <c r="E169" s="26">
        <v>45777</v>
      </c>
      <c r="F169" s="40" t="s">
        <v>11</v>
      </c>
      <c r="G169" s="19">
        <v>100000</v>
      </c>
      <c r="H169" s="77">
        <v>3.0000000000000001E-3</v>
      </c>
      <c r="I169" s="81" t="s">
        <v>18</v>
      </c>
      <c r="J169" s="3">
        <v>45761</v>
      </c>
      <c r="K169" s="18" t="s">
        <v>1280</v>
      </c>
      <c r="L169" s="22" t="s">
        <v>1281</v>
      </c>
    </row>
    <row r="170" spans="1:12">
      <c r="A170" s="37">
        <v>965</v>
      </c>
      <c r="B170" s="21" t="s">
        <v>31</v>
      </c>
      <c r="C170" s="9">
        <v>695</v>
      </c>
      <c r="D170" s="26">
        <v>45748</v>
      </c>
      <c r="E170" s="26">
        <v>45777</v>
      </c>
      <c r="F170" s="40" t="s">
        <v>11</v>
      </c>
      <c r="G170" s="19">
        <v>0.01</v>
      </c>
      <c r="H170" s="77">
        <v>2E-3</v>
      </c>
      <c r="I170" s="81" t="s">
        <v>18</v>
      </c>
      <c r="J170" s="3">
        <v>45761</v>
      </c>
      <c r="K170" s="18" t="s">
        <v>1284</v>
      </c>
      <c r="L170" s="22" t="s">
        <v>267</v>
      </c>
    </row>
    <row r="171" spans="1:12">
      <c r="A171" s="37">
        <v>966</v>
      </c>
      <c r="B171" s="21" t="s">
        <v>31</v>
      </c>
      <c r="C171" s="9">
        <v>695</v>
      </c>
      <c r="D171" s="26">
        <v>45748</v>
      </c>
      <c r="E171" s="26">
        <v>45777</v>
      </c>
      <c r="F171" s="40" t="s">
        <v>11</v>
      </c>
      <c r="G171" s="19">
        <v>0.01</v>
      </c>
      <c r="H171" s="77">
        <v>1.4999999999999999E-2</v>
      </c>
      <c r="I171" s="81" t="s">
        <v>19</v>
      </c>
      <c r="J171" s="3">
        <v>45761</v>
      </c>
      <c r="K171" s="18" t="s">
        <v>260</v>
      </c>
      <c r="L171" s="22" t="s">
        <v>1285</v>
      </c>
    </row>
    <row r="172" spans="1:12">
      <c r="A172" s="37">
        <v>967</v>
      </c>
      <c r="B172" s="21" t="s">
        <v>31</v>
      </c>
      <c r="C172" s="9">
        <v>16995</v>
      </c>
      <c r="D172" s="26">
        <v>45748</v>
      </c>
      <c r="E172" s="26">
        <v>45777</v>
      </c>
      <c r="F172" s="40" t="s">
        <v>11</v>
      </c>
      <c r="G172" s="19">
        <v>300000</v>
      </c>
      <c r="H172" s="77">
        <v>5.0000000000000001E-3</v>
      </c>
      <c r="I172" s="81" t="s">
        <v>19</v>
      </c>
      <c r="J172" s="3">
        <v>45761</v>
      </c>
      <c r="K172" s="18" t="s">
        <v>783</v>
      </c>
      <c r="L172" s="22" t="s">
        <v>107</v>
      </c>
    </row>
    <row r="173" spans="1:12">
      <c r="A173" s="37">
        <v>968</v>
      </c>
      <c r="B173" s="21" t="s">
        <v>31</v>
      </c>
      <c r="C173" s="9">
        <v>16995</v>
      </c>
      <c r="D173" s="26">
        <v>45748</v>
      </c>
      <c r="E173" s="26">
        <v>45777</v>
      </c>
      <c r="F173" s="40" t="s">
        <v>11</v>
      </c>
      <c r="G173" s="19">
        <v>200000</v>
      </c>
      <c r="H173" s="77">
        <v>4.0000000000000001E-3</v>
      </c>
      <c r="I173" s="81" t="s">
        <v>13</v>
      </c>
      <c r="J173" s="3">
        <v>45761</v>
      </c>
      <c r="K173" s="18" t="s">
        <v>783</v>
      </c>
      <c r="L173" s="22" t="s">
        <v>107</v>
      </c>
    </row>
    <row r="174" spans="1:12">
      <c r="A174" s="37">
        <v>969</v>
      </c>
      <c r="B174" s="21" t="s">
        <v>31</v>
      </c>
      <c r="C174" s="9">
        <v>16995</v>
      </c>
      <c r="D174" s="26">
        <v>45748</v>
      </c>
      <c r="E174" s="26">
        <v>45777</v>
      </c>
      <c r="F174" s="40" t="s">
        <v>11</v>
      </c>
      <c r="G174" s="19">
        <v>100000</v>
      </c>
      <c r="H174" s="77">
        <v>3.0000000000000001E-3</v>
      </c>
      <c r="I174" s="81" t="s">
        <v>13</v>
      </c>
      <c r="J174" s="3">
        <v>45761</v>
      </c>
      <c r="K174" s="18" t="s">
        <v>783</v>
      </c>
      <c r="L174" s="22" t="s">
        <v>107</v>
      </c>
    </row>
    <row r="175" spans="1:12">
      <c r="A175" s="37">
        <v>970</v>
      </c>
      <c r="B175" s="21" t="s">
        <v>31</v>
      </c>
      <c r="C175" s="9">
        <v>6843</v>
      </c>
      <c r="D175" s="26">
        <v>45748</v>
      </c>
      <c r="E175" s="26">
        <v>45777</v>
      </c>
      <c r="F175" s="40" t="s">
        <v>11</v>
      </c>
      <c r="G175" s="19">
        <v>0.01</v>
      </c>
      <c r="H175" s="77">
        <v>7.0000000000000001E-3</v>
      </c>
      <c r="I175" s="81" t="s">
        <v>13</v>
      </c>
      <c r="J175" s="3">
        <v>45761</v>
      </c>
      <c r="K175" s="18" t="s">
        <v>1286</v>
      </c>
      <c r="L175" s="22" t="s">
        <v>1287</v>
      </c>
    </row>
    <row r="176" spans="1:12">
      <c r="A176" s="37">
        <v>971</v>
      </c>
      <c r="B176" s="21" t="s">
        <v>31</v>
      </c>
      <c r="C176" s="9">
        <v>17421</v>
      </c>
      <c r="D176" s="26">
        <v>45748</v>
      </c>
      <c r="E176" s="26">
        <v>45777</v>
      </c>
      <c r="F176" s="40" t="s">
        <v>11</v>
      </c>
      <c r="G176" s="19">
        <v>300000</v>
      </c>
      <c r="H176" s="77">
        <v>5.0000000000000001E-3</v>
      </c>
      <c r="I176" s="81" t="s">
        <v>17</v>
      </c>
      <c r="J176" s="3">
        <v>45761</v>
      </c>
      <c r="K176" s="18" t="s">
        <v>1288</v>
      </c>
      <c r="L176" s="22" t="s">
        <v>107</v>
      </c>
    </row>
    <row r="177" spans="1:12">
      <c r="A177" s="37">
        <v>972</v>
      </c>
      <c r="B177" s="21" t="s">
        <v>31</v>
      </c>
      <c r="C177" s="9">
        <v>17421</v>
      </c>
      <c r="D177" s="26">
        <v>45748</v>
      </c>
      <c r="E177" s="26">
        <v>45777</v>
      </c>
      <c r="F177" s="40" t="s">
        <v>11</v>
      </c>
      <c r="G177" s="19">
        <v>200000</v>
      </c>
      <c r="H177" s="77">
        <v>4.0000000000000001E-3</v>
      </c>
      <c r="I177" s="81" t="s">
        <v>13</v>
      </c>
      <c r="J177" s="3">
        <v>45761</v>
      </c>
      <c r="K177" s="18" t="s">
        <v>1288</v>
      </c>
      <c r="L177" s="22" t="s">
        <v>107</v>
      </c>
    </row>
    <row r="178" spans="1:12">
      <c r="A178" s="37">
        <v>973</v>
      </c>
      <c r="B178" s="21" t="s">
        <v>31</v>
      </c>
      <c r="C178" s="9">
        <v>17421</v>
      </c>
      <c r="D178" s="26">
        <v>45748</v>
      </c>
      <c r="E178" s="26">
        <v>45777</v>
      </c>
      <c r="F178" s="40" t="s">
        <v>11</v>
      </c>
      <c r="G178" s="19">
        <v>100000</v>
      </c>
      <c r="H178" s="77">
        <v>3.0000000000000001E-3</v>
      </c>
      <c r="I178" s="81" t="s">
        <v>13</v>
      </c>
      <c r="J178" s="3">
        <v>45761</v>
      </c>
      <c r="K178" s="18" t="s">
        <v>1288</v>
      </c>
      <c r="L178" s="22" t="s">
        <v>107</v>
      </c>
    </row>
    <row r="179" spans="1:12">
      <c r="A179" s="37">
        <v>974</v>
      </c>
      <c r="B179" s="21" t="s">
        <v>31</v>
      </c>
      <c r="C179" s="9">
        <v>17229</v>
      </c>
      <c r="D179" s="26">
        <v>45748</v>
      </c>
      <c r="E179" s="26">
        <v>45777</v>
      </c>
      <c r="F179" s="40" t="s">
        <v>11</v>
      </c>
      <c r="G179" s="19">
        <v>300000</v>
      </c>
      <c r="H179" s="77">
        <v>5.0000000000000001E-3</v>
      </c>
      <c r="I179" s="81" t="s">
        <v>13</v>
      </c>
      <c r="J179" s="3">
        <v>45761</v>
      </c>
      <c r="K179" s="18" t="s">
        <v>1289</v>
      </c>
      <c r="L179" s="22" t="s">
        <v>107</v>
      </c>
    </row>
    <row r="180" spans="1:12">
      <c r="A180" s="37">
        <v>975</v>
      </c>
      <c r="B180" s="21" t="s">
        <v>31</v>
      </c>
      <c r="C180" s="9">
        <v>17229</v>
      </c>
      <c r="D180" s="26">
        <v>45748</v>
      </c>
      <c r="E180" s="26">
        <v>45777</v>
      </c>
      <c r="F180" s="40" t="s">
        <v>11</v>
      </c>
      <c r="G180" s="19">
        <v>200000</v>
      </c>
      <c r="H180" s="77">
        <v>4.0000000000000001E-3</v>
      </c>
      <c r="I180" s="81" t="s">
        <v>13</v>
      </c>
      <c r="J180" s="3">
        <v>45761</v>
      </c>
      <c r="K180" s="18" t="s">
        <v>1289</v>
      </c>
      <c r="L180" s="22" t="s">
        <v>107</v>
      </c>
    </row>
    <row r="181" spans="1:12">
      <c r="A181" s="37">
        <v>976</v>
      </c>
      <c r="B181" s="21" t="s">
        <v>31</v>
      </c>
      <c r="C181" s="9">
        <v>17229</v>
      </c>
      <c r="D181" s="26">
        <v>45748</v>
      </c>
      <c r="E181" s="26">
        <v>45777</v>
      </c>
      <c r="F181" s="40" t="s">
        <v>11</v>
      </c>
      <c r="G181" s="19">
        <v>100000</v>
      </c>
      <c r="H181" s="77">
        <v>3.0000000000000001E-3</v>
      </c>
      <c r="I181" s="81" t="s">
        <v>13</v>
      </c>
      <c r="J181" s="3">
        <v>45761</v>
      </c>
      <c r="K181" s="18" t="s">
        <v>1289</v>
      </c>
      <c r="L181" s="22" t="s">
        <v>107</v>
      </c>
    </row>
    <row r="182" spans="1:12">
      <c r="A182" s="37">
        <v>977</v>
      </c>
      <c r="B182" s="21" t="s">
        <v>31</v>
      </c>
      <c r="C182" s="9">
        <v>16446</v>
      </c>
      <c r="D182" s="26">
        <v>45748</v>
      </c>
      <c r="E182" s="26">
        <v>45777</v>
      </c>
      <c r="F182" s="40" t="s">
        <v>11</v>
      </c>
      <c r="G182" s="19">
        <v>30000</v>
      </c>
      <c r="H182" s="77">
        <v>2.5999999999999999E-3</v>
      </c>
      <c r="I182" s="81" t="s">
        <v>13</v>
      </c>
      <c r="J182" s="3">
        <v>45761</v>
      </c>
      <c r="K182" s="18" t="s">
        <v>1290</v>
      </c>
      <c r="L182" s="22" t="s">
        <v>1291</v>
      </c>
    </row>
    <row r="183" spans="1:12">
      <c r="A183" s="37">
        <v>978</v>
      </c>
      <c r="B183" s="21" t="s">
        <v>31</v>
      </c>
      <c r="C183" s="9">
        <v>16977</v>
      </c>
      <c r="D183" s="26">
        <v>45748</v>
      </c>
      <c r="E183" s="26">
        <v>45777</v>
      </c>
      <c r="F183" s="40" t="s">
        <v>11</v>
      </c>
      <c r="G183" s="19">
        <v>0.01</v>
      </c>
      <c r="H183" s="77">
        <v>8.0000000000000002E-3</v>
      </c>
      <c r="I183" s="81" t="s">
        <v>48</v>
      </c>
      <c r="J183" s="3">
        <v>45761</v>
      </c>
      <c r="K183" s="18" t="s">
        <v>1292</v>
      </c>
      <c r="L183" s="22" t="s">
        <v>1293</v>
      </c>
    </row>
    <row r="184" spans="1:12">
      <c r="A184" s="37">
        <v>979</v>
      </c>
      <c r="B184" s="21" t="s">
        <v>31</v>
      </c>
      <c r="C184" s="9">
        <v>16238</v>
      </c>
      <c r="D184" s="26">
        <v>45748</v>
      </c>
      <c r="E184" s="26">
        <v>45777</v>
      </c>
      <c r="F184" s="40" t="s">
        <v>11</v>
      </c>
      <c r="G184" s="19">
        <v>0.01</v>
      </c>
      <c r="H184" s="77">
        <v>1.4999999999999999E-2</v>
      </c>
      <c r="I184" s="81" t="s">
        <v>168</v>
      </c>
      <c r="J184" s="3">
        <v>45761</v>
      </c>
      <c r="K184" s="18" t="s">
        <v>1294</v>
      </c>
      <c r="L184" s="22" t="s">
        <v>1295</v>
      </c>
    </row>
    <row r="185" spans="1:12">
      <c r="A185" s="37">
        <v>980</v>
      </c>
      <c r="B185" s="21" t="s">
        <v>31</v>
      </c>
      <c r="C185" s="9" t="s">
        <v>1428</v>
      </c>
      <c r="D185" s="26">
        <v>45748</v>
      </c>
      <c r="E185" s="26">
        <v>45777</v>
      </c>
      <c r="F185" s="40" t="s">
        <v>11</v>
      </c>
      <c r="G185" s="19">
        <v>0.01</v>
      </c>
      <c r="H185" s="77">
        <v>5.0000000000000001E-3</v>
      </c>
      <c r="I185" s="81" t="s">
        <v>19</v>
      </c>
      <c r="J185" s="3">
        <v>45761</v>
      </c>
      <c r="K185" s="18" t="s">
        <v>1296</v>
      </c>
      <c r="L185" s="22" t="s">
        <v>107</v>
      </c>
    </row>
    <row r="186" spans="1:12">
      <c r="A186" s="37">
        <v>981</v>
      </c>
      <c r="B186" s="21" t="s">
        <v>31</v>
      </c>
      <c r="C186" s="9" t="s">
        <v>1429</v>
      </c>
      <c r="D186" s="26">
        <v>45748</v>
      </c>
      <c r="E186" s="26">
        <v>45777</v>
      </c>
      <c r="F186" s="40" t="s">
        <v>11</v>
      </c>
      <c r="G186" s="19">
        <v>1000</v>
      </c>
      <c r="H186" s="77">
        <v>0.01</v>
      </c>
      <c r="I186" s="81" t="s">
        <v>19</v>
      </c>
      <c r="J186" s="3">
        <v>45761</v>
      </c>
      <c r="K186" s="18" t="s">
        <v>1297</v>
      </c>
      <c r="L186" s="22" t="s">
        <v>1298</v>
      </c>
    </row>
    <row r="187" spans="1:12">
      <c r="A187" s="37">
        <v>982</v>
      </c>
      <c r="B187" s="21" t="s">
        <v>31</v>
      </c>
      <c r="C187" s="9">
        <v>17037</v>
      </c>
      <c r="D187" s="26">
        <v>45748</v>
      </c>
      <c r="E187" s="26">
        <v>45777</v>
      </c>
      <c r="F187" s="40" t="s">
        <v>11</v>
      </c>
      <c r="G187" s="19">
        <v>0.01</v>
      </c>
      <c r="H187" s="77">
        <v>5.0000000000000001E-3</v>
      </c>
      <c r="I187" s="81" t="s">
        <v>19</v>
      </c>
      <c r="J187" s="3">
        <v>45761</v>
      </c>
      <c r="K187" s="18" t="s">
        <v>1299</v>
      </c>
      <c r="L187" s="22" t="s">
        <v>1300</v>
      </c>
    </row>
    <row r="188" spans="1:12">
      <c r="A188" s="37">
        <v>983</v>
      </c>
      <c r="B188" s="21" t="s">
        <v>31</v>
      </c>
      <c r="C188" s="9">
        <v>4097</v>
      </c>
      <c r="D188" s="26">
        <v>45748</v>
      </c>
      <c r="E188" s="26">
        <v>45777</v>
      </c>
      <c r="F188" s="40" t="s">
        <v>11</v>
      </c>
      <c r="G188" s="19">
        <v>10000</v>
      </c>
      <c r="H188" s="77">
        <v>3.0000000000000001E-3</v>
      </c>
      <c r="I188" s="81" t="s">
        <v>19</v>
      </c>
      <c r="J188" s="3">
        <v>45761</v>
      </c>
      <c r="K188" s="18" t="s">
        <v>1301</v>
      </c>
      <c r="L188" s="22" t="s">
        <v>1302</v>
      </c>
    </row>
    <row r="189" spans="1:12">
      <c r="A189" s="37">
        <v>984</v>
      </c>
      <c r="B189" s="21" t="s">
        <v>31</v>
      </c>
      <c r="C189" s="9" t="s">
        <v>98</v>
      </c>
      <c r="D189" s="26">
        <v>45748</v>
      </c>
      <c r="E189" s="26">
        <v>45777</v>
      </c>
      <c r="F189" s="40" t="s">
        <v>11</v>
      </c>
      <c r="G189" s="19">
        <v>300000</v>
      </c>
      <c r="H189" s="77">
        <v>1E-3</v>
      </c>
      <c r="I189" s="81" t="s">
        <v>95</v>
      </c>
      <c r="J189" s="3">
        <v>45761</v>
      </c>
      <c r="K189" s="18" t="s">
        <v>1303</v>
      </c>
      <c r="L189" s="22" t="s">
        <v>1465</v>
      </c>
    </row>
    <row r="190" spans="1:12">
      <c r="A190" s="37">
        <v>986</v>
      </c>
      <c r="B190" s="21" t="s">
        <v>31</v>
      </c>
      <c r="C190" s="9">
        <v>13052</v>
      </c>
      <c r="D190" s="26">
        <v>45748</v>
      </c>
      <c r="E190" s="26">
        <v>45777</v>
      </c>
      <c r="F190" s="40" t="s">
        <v>11</v>
      </c>
      <c r="G190" s="19">
        <v>100000</v>
      </c>
      <c r="H190" s="77">
        <v>6.4999999999999997E-3</v>
      </c>
      <c r="I190" s="81" t="s">
        <v>17</v>
      </c>
      <c r="J190" s="3">
        <v>45761</v>
      </c>
      <c r="K190" s="18" t="s">
        <v>1305</v>
      </c>
      <c r="L190" s="22" t="s">
        <v>990</v>
      </c>
    </row>
    <row r="191" spans="1:12">
      <c r="A191" s="37">
        <v>987</v>
      </c>
      <c r="B191" s="21" t="s">
        <v>31</v>
      </c>
      <c r="C191" s="9" t="s">
        <v>209</v>
      </c>
      <c r="D191" s="26">
        <v>45748</v>
      </c>
      <c r="E191" s="26">
        <v>45777</v>
      </c>
      <c r="F191" s="40" t="s">
        <v>11</v>
      </c>
      <c r="G191" s="19">
        <v>500000</v>
      </c>
      <c r="H191" s="77">
        <v>1E-3</v>
      </c>
      <c r="I191" s="81" t="s">
        <v>20</v>
      </c>
      <c r="J191" s="3">
        <v>45761</v>
      </c>
      <c r="K191" s="18" t="s">
        <v>949</v>
      </c>
      <c r="L191" s="22" t="s">
        <v>1306</v>
      </c>
    </row>
    <row r="192" spans="1:12">
      <c r="A192" s="37">
        <v>988</v>
      </c>
      <c r="B192" s="21" t="s">
        <v>31</v>
      </c>
      <c r="C192" s="9">
        <v>16446</v>
      </c>
      <c r="D192" s="26">
        <v>45748</v>
      </c>
      <c r="E192" s="26">
        <v>45777</v>
      </c>
      <c r="F192" s="40" t="s">
        <v>11</v>
      </c>
      <c r="G192" s="19">
        <v>30000</v>
      </c>
      <c r="H192" s="77">
        <v>1.7999999999999999E-2</v>
      </c>
      <c r="I192" s="81" t="s">
        <v>17</v>
      </c>
      <c r="J192" s="3">
        <v>45761</v>
      </c>
      <c r="K192" s="18" t="s">
        <v>1307</v>
      </c>
      <c r="L192" s="22" t="s">
        <v>826</v>
      </c>
    </row>
    <row r="193" spans="1:12">
      <c r="A193" s="37">
        <v>989</v>
      </c>
      <c r="B193" s="21" t="s">
        <v>31</v>
      </c>
      <c r="C193" s="9">
        <v>11361</v>
      </c>
      <c r="D193" s="26">
        <v>45748</v>
      </c>
      <c r="E193" s="26">
        <v>45777</v>
      </c>
      <c r="F193" s="40" t="s">
        <v>11</v>
      </c>
      <c r="G193" s="19">
        <v>500000</v>
      </c>
      <c r="H193" s="77">
        <v>5.0000000000000001E-3</v>
      </c>
      <c r="I193" s="81" t="s">
        <v>48</v>
      </c>
      <c r="J193" s="3">
        <v>45761</v>
      </c>
      <c r="K193" s="18" t="s">
        <v>1308</v>
      </c>
      <c r="L193" s="22" t="s">
        <v>1466</v>
      </c>
    </row>
    <row r="194" spans="1:12">
      <c r="A194" s="37">
        <v>990</v>
      </c>
      <c r="B194" s="21" t="s">
        <v>31</v>
      </c>
      <c r="C194" s="9">
        <v>14003</v>
      </c>
      <c r="D194" s="26">
        <v>45748</v>
      </c>
      <c r="E194" s="26">
        <v>45777</v>
      </c>
      <c r="F194" s="40" t="s">
        <v>11</v>
      </c>
      <c r="G194" s="19">
        <v>200000</v>
      </c>
      <c r="H194" s="77">
        <v>5.0000000000000001E-3</v>
      </c>
      <c r="I194" s="81" t="s">
        <v>19</v>
      </c>
      <c r="J194" s="3">
        <v>45761</v>
      </c>
      <c r="K194" s="18" t="s">
        <v>1309</v>
      </c>
      <c r="L194" s="22" t="s">
        <v>990</v>
      </c>
    </row>
    <row r="195" spans="1:12">
      <c r="A195" s="37">
        <v>991</v>
      </c>
      <c r="B195" s="21" t="s">
        <v>31</v>
      </c>
      <c r="C195" s="9">
        <v>16472</v>
      </c>
      <c r="D195" s="26">
        <v>45748</v>
      </c>
      <c r="E195" s="26">
        <v>45777</v>
      </c>
      <c r="F195" s="40" t="s">
        <v>11</v>
      </c>
      <c r="G195" s="19">
        <v>0.01</v>
      </c>
      <c r="H195" s="77">
        <v>6.0000000000000001E-3</v>
      </c>
      <c r="I195" s="81" t="s">
        <v>20</v>
      </c>
      <c r="J195" s="3">
        <v>45761</v>
      </c>
      <c r="K195" s="18" t="s">
        <v>1310</v>
      </c>
      <c r="L195" s="22" t="s">
        <v>990</v>
      </c>
    </row>
    <row r="196" spans="1:12">
      <c r="A196" s="37">
        <v>992</v>
      </c>
      <c r="B196" s="21" t="s">
        <v>31</v>
      </c>
      <c r="C196" s="9">
        <v>16165</v>
      </c>
      <c r="D196" s="26">
        <v>45748</v>
      </c>
      <c r="E196" s="26">
        <v>45777</v>
      </c>
      <c r="F196" s="40" t="s">
        <v>11</v>
      </c>
      <c r="G196" s="19">
        <v>0.01</v>
      </c>
      <c r="H196" s="77">
        <v>6.0000000000000001E-3</v>
      </c>
      <c r="I196" s="81" t="s">
        <v>20</v>
      </c>
      <c r="J196" s="3">
        <v>45761</v>
      </c>
      <c r="K196" s="18" t="s">
        <v>1310</v>
      </c>
      <c r="L196" s="22" t="s">
        <v>990</v>
      </c>
    </row>
    <row r="197" spans="1:12">
      <c r="A197" s="37">
        <v>993</v>
      </c>
      <c r="B197" s="21" t="s">
        <v>31</v>
      </c>
      <c r="C197" s="9">
        <v>13910</v>
      </c>
      <c r="D197" s="26">
        <v>45748</v>
      </c>
      <c r="E197" s="26">
        <v>45777</v>
      </c>
      <c r="F197" s="40" t="s">
        <v>11</v>
      </c>
      <c r="G197" s="19">
        <v>0.01</v>
      </c>
      <c r="H197" s="77">
        <v>2.5000000000000001E-3</v>
      </c>
      <c r="I197" s="81" t="s">
        <v>20</v>
      </c>
      <c r="J197" s="3">
        <v>45761</v>
      </c>
      <c r="K197" s="18" t="s">
        <v>1311</v>
      </c>
      <c r="L197" s="22" t="s">
        <v>990</v>
      </c>
    </row>
    <row r="198" spans="1:12">
      <c r="A198" s="37">
        <v>994</v>
      </c>
      <c r="B198" s="21" t="s">
        <v>31</v>
      </c>
      <c r="C198" s="9">
        <v>8810</v>
      </c>
      <c r="D198" s="26">
        <v>45748</v>
      </c>
      <c r="E198" s="26">
        <v>45777</v>
      </c>
      <c r="F198" s="40" t="s">
        <v>11</v>
      </c>
      <c r="G198" s="19">
        <v>0.01</v>
      </c>
      <c r="H198" s="77">
        <v>2.5000000000000001E-3</v>
      </c>
      <c r="I198" s="81" t="s">
        <v>20</v>
      </c>
      <c r="J198" s="3">
        <v>45761</v>
      </c>
      <c r="K198" s="18" t="s">
        <v>1311</v>
      </c>
      <c r="L198" s="22" t="s">
        <v>990</v>
      </c>
    </row>
    <row r="199" spans="1:12">
      <c r="A199" s="37">
        <v>995</v>
      </c>
      <c r="B199" s="21" t="s">
        <v>31</v>
      </c>
      <c r="C199" s="9">
        <v>14105</v>
      </c>
      <c r="D199" s="26">
        <v>45748</v>
      </c>
      <c r="E199" s="26">
        <v>45777</v>
      </c>
      <c r="F199" s="40" t="s">
        <v>11</v>
      </c>
      <c r="G199" s="19">
        <v>0.01</v>
      </c>
      <c r="H199" s="77">
        <v>2E-3</v>
      </c>
      <c r="I199" s="81" t="s">
        <v>20</v>
      </c>
      <c r="J199" s="3">
        <v>45762</v>
      </c>
      <c r="K199" s="18" t="s">
        <v>1312</v>
      </c>
      <c r="L199" s="22" t="s">
        <v>1313</v>
      </c>
    </row>
    <row r="200" spans="1:12">
      <c r="A200" s="37">
        <v>996</v>
      </c>
      <c r="B200" s="21" t="s">
        <v>31</v>
      </c>
      <c r="C200" s="9">
        <v>14730</v>
      </c>
      <c r="D200" s="26">
        <v>45748</v>
      </c>
      <c r="E200" s="26">
        <v>45777</v>
      </c>
      <c r="F200" s="40" t="s">
        <v>11</v>
      </c>
      <c r="G200" s="19">
        <v>0.01</v>
      </c>
      <c r="H200" s="77">
        <v>7.4999999999999997E-3</v>
      </c>
      <c r="I200" s="81" t="s">
        <v>32</v>
      </c>
      <c r="J200" s="3">
        <v>45762</v>
      </c>
      <c r="K200" s="18" t="s">
        <v>1314</v>
      </c>
      <c r="L200" s="22" t="s">
        <v>107</v>
      </c>
    </row>
    <row r="201" spans="1:12">
      <c r="A201" s="37">
        <v>997</v>
      </c>
      <c r="B201" s="21" t="s">
        <v>31</v>
      </c>
      <c r="C201" s="9">
        <v>14729</v>
      </c>
      <c r="D201" s="26">
        <v>45748</v>
      </c>
      <c r="E201" s="26">
        <v>45777</v>
      </c>
      <c r="F201" s="40" t="s">
        <v>11</v>
      </c>
      <c r="G201" s="19">
        <v>0.01</v>
      </c>
      <c r="H201" s="77">
        <v>7.4999999999999997E-3</v>
      </c>
      <c r="I201" s="81" t="s">
        <v>20</v>
      </c>
      <c r="J201" s="3">
        <v>45762</v>
      </c>
      <c r="K201" s="18" t="s">
        <v>1314</v>
      </c>
      <c r="L201" s="22" t="s">
        <v>107</v>
      </c>
    </row>
    <row r="202" spans="1:12">
      <c r="A202" s="37">
        <v>998</v>
      </c>
      <c r="B202" s="21" t="s">
        <v>31</v>
      </c>
      <c r="C202" s="9">
        <v>14703</v>
      </c>
      <c r="D202" s="26">
        <v>45748</v>
      </c>
      <c r="E202" s="26">
        <v>45777</v>
      </c>
      <c r="F202" s="40" t="s">
        <v>11</v>
      </c>
      <c r="G202" s="19">
        <v>0.01</v>
      </c>
      <c r="H202" s="77">
        <v>7.4999999999999997E-3</v>
      </c>
      <c r="I202" s="81" t="s">
        <v>20</v>
      </c>
      <c r="J202" s="3">
        <v>45762</v>
      </c>
      <c r="K202" s="18" t="s">
        <v>1314</v>
      </c>
      <c r="L202" s="22" t="s">
        <v>107</v>
      </c>
    </row>
    <row r="203" spans="1:12">
      <c r="A203" s="37">
        <v>999</v>
      </c>
      <c r="B203" s="21" t="s">
        <v>31</v>
      </c>
      <c r="C203" s="9">
        <v>14702</v>
      </c>
      <c r="D203" s="26">
        <v>45748</v>
      </c>
      <c r="E203" s="26">
        <v>45777</v>
      </c>
      <c r="F203" s="40" t="s">
        <v>11</v>
      </c>
      <c r="G203" s="19">
        <v>0.01</v>
      </c>
      <c r="H203" s="77">
        <v>7.4999999999999997E-3</v>
      </c>
      <c r="I203" s="81" t="s">
        <v>20</v>
      </c>
      <c r="J203" s="3">
        <v>45762</v>
      </c>
      <c r="K203" s="18" t="s">
        <v>1314</v>
      </c>
      <c r="L203" s="22" t="s">
        <v>107</v>
      </c>
    </row>
    <row r="204" spans="1:12">
      <c r="A204" s="37">
        <v>1000</v>
      </c>
      <c r="B204" s="21" t="s">
        <v>31</v>
      </c>
      <c r="C204" s="9">
        <v>14706</v>
      </c>
      <c r="D204" s="26">
        <v>45748</v>
      </c>
      <c r="E204" s="26">
        <v>45777</v>
      </c>
      <c r="F204" s="40" t="s">
        <v>11</v>
      </c>
      <c r="G204" s="19">
        <v>0.01</v>
      </c>
      <c r="H204" s="77">
        <v>7.4999999999999997E-3</v>
      </c>
      <c r="I204" s="81" t="s">
        <v>20</v>
      </c>
      <c r="J204" s="3">
        <v>45762</v>
      </c>
      <c r="K204" s="18" t="s">
        <v>1314</v>
      </c>
      <c r="L204" s="22" t="s">
        <v>107</v>
      </c>
    </row>
    <row r="205" spans="1:12">
      <c r="A205" s="37">
        <v>1001</v>
      </c>
      <c r="B205" s="21" t="s">
        <v>31</v>
      </c>
      <c r="C205" s="9">
        <v>14704</v>
      </c>
      <c r="D205" s="26">
        <v>45748</v>
      </c>
      <c r="E205" s="26">
        <v>45777</v>
      </c>
      <c r="F205" s="40" t="s">
        <v>11</v>
      </c>
      <c r="G205" s="19">
        <v>0.01</v>
      </c>
      <c r="H205" s="77">
        <v>7.4999999999999997E-3</v>
      </c>
      <c r="I205" s="81" t="s">
        <v>20</v>
      </c>
      <c r="J205" s="3">
        <v>45762</v>
      </c>
      <c r="K205" s="18" t="s">
        <v>1314</v>
      </c>
      <c r="L205" s="22" t="s">
        <v>107</v>
      </c>
    </row>
    <row r="206" spans="1:12">
      <c r="A206" s="37">
        <v>1002</v>
      </c>
      <c r="B206" s="21" t="s">
        <v>31</v>
      </c>
      <c r="C206" s="9">
        <v>15282</v>
      </c>
      <c r="D206" s="26">
        <v>45748</v>
      </c>
      <c r="E206" s="26">
        <v>45777</v>
      </c>
      <c r="F206" s="40" t="s">
        <v>11</v>
      </c>
      <c r="G206" s="19">
        <v>0.01</v>
      </c>
      <c r="H206" s="77">
        <v>7.4999999999999997E-3</v>
      </c>
      <c r="I206" s="81" t="s">
        <v>20</v>
      </c>
      <c r="J206" s="3">
        <v>45762</v>
      </c>
      <c r="K206" s="18" t="s">
        <v>1314</v>
      </c>
      <c r="L206" s="22" t="s">
        <v>107</v>
      </c>
    </row>
    <row r="207" spans="1:12">
      <c r="A207" s="37">
        <v>1003</v>
      </c>
      <c r="B207" s="21" t="s">
        <v>31</v>
      </c>
      <c r="C207" s="9">
        <v>16098</v>
      </c>
      <c r="D207" s="26">
        <v>45763</v>
      </c>
      <c r="E207" s="26">
        <v>45777</v>
      </c>
      <c r="F207" s="40" t="s">
        <v>11</v>
      </c>
      <c r="G207" s="19">
        <v>0.01</v>
      </c>
      <c r="H207" s="77">
        <v>2.2000000000000001E-3</v>
      </c>
      <c r="I207" s="81" t="s">
        <v>20</v>
      </c>
      <c r="J207" s="3">
        <v>45762</v>
      </c>
      <c r="K207" s="18" t="s">
        <v>1315</v>
      </c>
      <c r="L207" s="22" t="s">
        <v>1316</v>
      </c>
    </row>
    <row r="208" spans="1:12">
      <c r="A208" s="37">
        <v>1004</v>
      </c>
      <c r="B208" s="21" t="s">
        <v>31</v>
      </c>
      <c r="C208" s="9">
        <v>14993</v>
      </c>
      <c r="D208" s="26">
        <v>45748</v>
      </c>
      <c r="E208" s="26">
        <v>45777</v>
      </c>
      <c r="F208" s="40" t="s">
        <v>11</v>
      </c>
      <c r="G208" s="19">
        <v>0.01</v>
      </c>
      <c r="H208" s="77">
        <v>7.4999999999999997E-3</v>
      </c>
      <c r="I208" s="81" t="s">
        <v>14</v>
      </c>
      <c r="J208" s="3">
        <v>45762</v>
      </c>
      <c r="K208" s="18" t="s">
        <v>1317</v>
      </c>
      <c r="L208" s="22" t="s">
        <v>107</v>
      </c>
    </row>
    <row r="209" spans="1:12" ht="30">
      <c r="A209" s="37">
        <v>1005</v>
      </c>
      <c r="B209" s="21" t="s">
        <v>31</v>
      </c>
      <c r="C209" s="9">
        <v>1452</v>
      </c>
      <c r="D209" s="26">
        <v>45748</v>
      </c>
      <c r="E209" s="26">
        <v>45777</v>
      </c>
      <c r="F209" s="40" t="s">
        <v>11</v>
      </c>
      <c r="G209" s="19">
        <v>300000</v>
      </c>
      <c r="H209" s="77">
        <v>1E-3</v>
      </c>
      <c r="I209" s="81" t="s">
        <v>20</v>
      </c>
      <c r="J209" s="3">
        <v>45762</v>
      </c>
      <c r="K209" s="18" t="s">
        <v>1318</v>
      </c>
      <c r="L209" s="22" t="s">
        <v>1319</v>
      </c>
    </row>
    <row r="210" spans="1:12">
      <c r="A210" s="37">
        <v>1006</v>
      </c>
      <c r="B210" s="21" t="s">
        <v>31</v>
      </c>
      <c r="C210" s="9">
        <v>17225</v>
      </c>
      <c r="D210" s="26">
        <v>45748</v>
      </c>
      <c r="E210" s="26">
        <v>45777</v>
      </c>
      <c r="F210" s="40" t="s">
        <v>11</v>
      </c>
      <c r="G210" s="19">
        <v>0.01</v>
      </c>
      <c r="H210" s="77">
        <v>6.0000000000000001E-3</v>
      </c>
      <c r="I210" s="81" t="s">
        <v>17</v>
      </c>
      <c r="J210" s="3">
        <v>45762</v>
      </c>
      <c r="K210" s="18" t="s">
        <v>1320</v>
      </c>
      <c r="L210" s="22" t="s">
        <v>107</v>
      </c>
    </row>
    <row r="211" spans="1:12">
      <c r="A211" s="37">
        <v>1007</v>
      </c>
      <c r="B211" s="21" t="s">
        <v>31</v>
      </c>
      <c r="C211" s="9">
        <v>14482</v>
      </c>
      <c r="D211" s="26">
        <v>45748</v>
      </c>
      <c r="E211" s="26">
        <v>45777</v>
      </c>
      <c r="F211" s="40" t="s">
        <v>11</v>
      </c>
      <c r="G211" s="19">
        <v>0.01</v>
      </c>
      <c r="H211" s="77">
        <v>7.4999999999999997E-3</v>
      </c>
      <c r="I211" s="81" t="s">
        <v>20</v>
      </c>
      <c r="J211" s="3">
        <v>45762</v>
      </c>
      <c r="K211" s="18" t="s">
        <v>1321</v>
      </c>
      <c r="L211" s="22" t="s">
        <v>107</v>
      </c>
    </row>
    <row r="212" spans="1:12" ht="30">
      <c r="A212" s="37">
        <v>1008</v>
      </c>
      <c r="B212" s="21" t="s">
        <v>31</v>
      </c>
      <c r="C212" s="9">
        <v>6905</v>
      </c>
      <c r="D212" s="26">
        <v>45748</v>
      </c>
      <c r="E212" s="26">
        <v>45777</v>
      </c>
      <c r="F212" s="40" t="s">
        <v>11</v>
      </c>
      <c r="G212" s="19">
        <v>0.01</v>
      </c>
      <c r="H212" s="77">
        <v>1.23E-2</v>
      </c>
      <c r="I212" s="81" t="s">
        <v>20</v>
      </c>
      <c r="J212" s="3">
        <v>45762</v>
      </c>
      <c r="K212" s="18" t="s">
        <v>1322</v>
      </c>
      <c r="L212" s="22" t="s">
        <v>1323</v>
      </c>
    </row>
    <row r="213" spans="1:12" ht="45">
      <c r="A213" s="37">
        <v>1009</v>
      </c>
      <c r="B213" s="21" t="s">
        <v>31</v>
      </c>
      <c r="C213" s="9">
        <v>14394</v>
      </c>
      <c r="D213" s="26">
        <v>45748</v>
      </c>
      <c r="E213" s="26">
        <v>45777</v>
      </c>
      <c r="F213" s="40" t="s">
        <v>11</v>
      </c>
      <c r="G213" s="19">
        <v>100000</v>
      </c>
      <c r="H213" s="77">
        <v>5.0000000000000001E-3</v>
      </c>
      <c r="I213" s="81" t="s">
        <v>17</v>
      </c>
      <c r="J213" s="3">
        <v>45762</v>
      </c>
      <c r="K213" s="18" t="s">
        <v>1324</v>
      </c>
      <c r="L213" s="22" t="s">
        <v>1325</v>
      </c>
    </row>
    <row r="214" spans="1:12">
      <c r="A214" s="37">
        <v>1010</v>
      </c>
      <c r="B214" s="21" t="s">
        <v>31</v>
      </c>
      <c r="C214" s="9">
        <v>15692</v>
      </c>
      <c r="D214" s="26">
        <v>45748</v>
      </c>
      <c r="E214" s="26">
        <v>45777</v>
      </c>
      <c r="F214" s="40" t="s">
        <v>11</v>
      </c>
      <c r="G214" s="19">
        <v>0.01</v>
      </c>
      <c r="H214" s="77">
        <v>7.0000000000000001E-3</v>
      </c>
      <c r="I214" s="81" t="s">
        <v>39</v>
      </c>
      <c r="J214" s="3">
        <v>45762</v>
      </c>
      <c r="K214" s="18" t="s">
        <v>1326</v>
      </c>
      <c r="L214" s="22" t="s">
        <v>1327</v>
      </c>
    </row>
    <row r="215" spans="1:12">
      <c r="A215" s="37">
        <v>1011</v>
      </c>
      <c r="B215" s="21" t="s">
        <v>31</v>
      </c>
      <c r="C215" s="9">
        <v>14496</v>
      </c>
      <c r="D215" s="26">
        <v>45748</v>
      </c>
      <c r="E215" s="26">
        <v>45777</v>
      </c>
      <c r="F215" s="40" t="s">
        <v>11</v>
      </c>
      <c r="G215" s="19">
        <v>0.01</v>
      </c>
      <c r="H215" s="77">
        <v>5.0000000000000001E-3</v>
      </c>
      <c r="I215" s="81" t="s">
        <v>95</v>
      </c>
      <c r="J215" s="3">
        <v>45762</v>
      </c>
      <c r="K215" s="18" t="s">
        <v>1328</v>
      </c>
      <c r="L215" s="22" t="s">
        <v>107</v>
      </c>
    </row>
    <row r="216" spans="1:12">
      <c r="A216" s="37">
        <v>1012</v>
      </c>
      <c r="B216" s="21" t="s">
        <v>31</v>
      </c>
      <c r="C216" s="9">
        <v>17401</v>
      </c>
      <c r="D216" s="26">
        <v>45748</v>
      </c>
      <c r="E216" s="26">
        <v>45777</v>
      </c>
      <c r="F216" s="40" t="s">
        <v>11</v>
      </c>
      <c r="G216" s="19">
        <v>0.01</v>
      </c>
      <c r="H216" s="77">
        <v>3.0000000000000001E-3</v>
      </c>
      <c r="I216" s="81" t="s">
        <v>22</v>
      </c>
      <c r="J216" s="3">
        <v>45763</v>
      </c>
      <c r="K216" s="18" t="s">
        <v>1330</v>
      </c>
      <c r="L216" s="22" t="s">
        <v>107</v>
      </c>
    </row>
    <row r="217" spans="1:12">
      <c r="A217" s="37">
        <v>1013</v>
      </c>
      <c r="B217" s="21" t="s">
        <v>31</v>
      </c>
      <c r="C217" s="9">
        <v>17192</v>
      </c>
      <c r="D217" s="26">
        <v>45748</v>
      </c>
      <c r="E217" s="26">
        <v>45777</v>
      </c>
      <c r="F217" s="40" t="s">
        <v>11</v>
      </c>
      <c r="G217" s="19">
        <v>0.01</v>
      </c>
      <c r="H217" s="77">
        <v>3.0000000000000001E-3</v>
      </c>
      <c r="I217" s="81" t="s">
        <v>95</v>
      </c>
      <c r="J217" s="3">
        <v>45763</v>
      </c>
      <c r="K217" s="18" t="s">
        <v>1331</v>
      </c>
      <c r="L217" s="22" t="s">
        <v>107</v>
      </c>
    </row>
    <row r="218" spans="1:12">
      <c r="A218" s="37">
        <v>1014</v>
      </c>
      <c r="B218" s="21" t="s">
        <v>31</v>
      </c>
      <c r="C218" s="9">
        <v>13128</v>
      </c>
      <c r="D218" s="26">
        <v>45748</v>
      </c>
      <c r="E218" s="26">
        <v>45777</v>
      </c>
      <c r="F218" s="40" t="s">
        <v>11</v>
      </c>
      <c r="G218" s="19">
        <v>0.01</v>
      </c>
      <c r="H218" s="77">
        <v>3.0000000000000001E-3</v>
      </c>
      <c r="I218" s="81" t="s">
        <v>95</v>
      </c>
      <c r="J218" s="3">
        <v>45763</v>
      </c>
      <c r="K218" s="18" t="s">
        <v>1332</v>
      </c>
      <c r="L218" s="22" t="s">
        <v>107</v>
      </c>
    </row>
    <row r="219" spans="1:12">
      <c r="A219" s="37">
        <v>1015</v>
      </c>
      <c r="B219" s="21" t="s">
        <v>31</v>
      </c>
      <c r="C219" s="9">
        <v>14511</v>
      </c>
      <c r="D219" s="26">
        <v>45748</v>
      </c>
      <c r="E219" s="26">
        <v>45777</v>
      </c>
      <c r="F219" s="40" t="s">
        <v>11</v>
      </c>
      <c r="G219" s="19">
        <v>0.01</v>
      </c>
      <c r="H219" s="77">
        <v>2.5000000000000001E-3</v>
      </c>
      <c r="I219" s="81" t="s">
        <v>95</v>
      </c>
      <c r="J219" s="3">
        <v>45763</v>
      </c>
      <c r="K219" s="18" t="s">
        <v>1333</v>
      </c>
      <c r="L219" s="22" t="s">
        <v>107</v>
      </c>
    </row>
    <row r="220" spans="1:12">
      <c r="A220" s="37">
        <v>1016</v>
      </c>
      <c r="B220" s="21" t="s">
        <v>31</v>
      </c>
      <c r="C220" s="9">
        <v>14590</v>
      </c>
      <c r="D220" s="26">
        <v>45748</v>
      </c>
      <c r="E220" s="26">
        <v>45777</v>
      </c>
      <c r="F220" s="40" t="s">
        <v>11</v>
      </c>
      <c r="G220" s="19">
        <v>50000</v>
      </c>
      <c r="H220" s="77">
        <v>5.0000000000000001E-3</v>
      </c>
      <c r="I220" s="81" t="s">
        <v>95</v>
      </c>
      <c r="J220" s="3">
        <v>45763</v>
      </c>
      <c r="K220" s="18" t="s">
        <v>1334</v>
      </c>
      <c r="L220" s="22" t="s">
        <v>107</v>
      </c>
    </row>
    <row r="221" spans="1:12">
      <c r="A221" s="37">
        <v>1017</v>
      </c>
      <c r="B221" s="21" t="s">
        <v>31</v>
      </c>
      <c r="C221" s="9">
        <v>13007</v>
      </c>
      <c r="D221" s="26">
        <v>45748</v>
      </c>
      <c r="E221" s="26">
        <v>45777</v>
      </c>
      <c r="F221" s="40" t="s">
        <v>11</v>
      </c>
      <c r="G221" s="19">
        <v>0.01</v>
      </c>
      <c r="H221" s="77">
        <v>2.5000000000000001E-3</v>
      </c>
      <c r="I221" s="81" t="s">
        <v>13</v>
      </c>
      <c r="J221" s="3">
        <v>45763</v>
      </c>
      <c r="K221" s="18" t="s">
        <v>1335</v>
      </c>
      <c r="L221" s="22" t="s">
        <v>107</v>
      </c>
    </row>
    <row r="222" spans="1:12">
      <c r="A222" s="37">
        <v>1018</v>
      </c>
      <c r="B222" s="21" t="s">
        <v>31</v>
      </c>
      <c r="C222" s="9">
        <v>11301</v>
      </c>
      <c r="D222" s="26">
        <v>45748</v>
      </c>
      <c r="E222" s="26">
        <v>45777</v>
      </c>
      <c r="F222" s="40" t="s">
        <v>11</v>
      </c>
      <c r="G222" s="19">
        <v>0.01</v>
      </c>
      <c r="H222" s="77">
        <v>3.0000000000000001E-3</v>
      </c>
      <c r="I222" s="81" t="s">
        <v>95</v>
      </c>
      <c r="J222" s="3">
        <v>45763</v>
      </c>
      <c r="K222" s="18" t="s">
        <v>1336</v>
      </c>
      <c r="L222" s="22" t="s">
        <v>107</v>
      </c>
    </row>
    <row r="223" spans="1:12">
      <c r="A223" s="37">
        <v>1019</v>
      </c>
      <c r="B223" s="21" t="s">
        <v>31</v>
      </c>
      <c r="C223" s="9">
        <v>16955</v>
      </c>
      <c r="D223" s="26">
        <v>45748</v>
      </c>
      <c r="E223" s="26">
        <v>45777</v>
      </c>
      <c r="F223" s="40" t="s">
        <v>11</v>
      </c>
      <c r="G223" s="19">
        <v>500000</v>
      </c>
      <c r="H223" s="77">
        <v>2E-3</v>
      </c>
      <c r="I223" s="81" t="s">
        <v>95</v>
      </c>
      <c r="J223" s="3">
        <v>45763</v>
      </c>
      <c r="K223" s="18" t="s">
        <v>1338</v>
      </c>
      <c r="L223" s="22" t="s">
        <v>107</v>
      </c>
    </row>
    <row r="224" spans="1:12">
      <c r="A224" s="37">
        <v>1020</v>
      </c>
      <c r="B224" s="21" t="s">
        <v>31</v>
      </c>
      <c r="C224" s="9">
        <v>16955</v>
      </c>
      <c r="D224" s="26">
        <v>45748</v>
      </c>
      <c r="E224" s="26">
        <v>45777</v>
      </c>
      <c r="F224" s="40" t="s">
        <v>11</v>
      </c>
      <c r="G224" s="19">
        <v>800000</v>
      </c>
      <c r="H224" s="77">
        <v>3.0000000000000001E-3</v>
      </c>
      <c r="I224" s="81" t="s">
        <v>13</v>
      </c>
      <c r="J224" s="3">
        <v>45763</v>
      </c>
      <c r="K224" s="18" t="s">
        <v>1338</v>
      </c>
      <c r="L224" s="22" t="s">
        <v>107</v>
      </c>
    </row>
    <row r="225" spans="1:12">
      <c r="A225" s="37">
        <v>1021</v>
      </c>
      <c r="B225" s="21" t="s">
        <v>31</v>
      </c>
      <c r="C225" s="9">
        <v>16955</v>
      </c>
      <c r="D225" s="26">
        <v>45748</v>
      </c>
      <c r="E225" s="26">
        <v>45777</v>
      </c>
      <c r="F225" s="40" t="s">
        <v>11</v>
      </c>
      <c r="G225" s="19">
        <v>1000000</v>
      </c>
      <c r="H225" s="77">
        <v>4.0000000000000001E-3</v>
      </c>
      <c r="I225" s="81" t="s">
        <v>13</v>
      </c>
      <c r="J225" s="3">
        <v>45763</v>
      </c>
      <c r="K225" s="18" t="s">
        <v>1338</v>
      </c>
      <c r="L225" s="22" t="s">
        <v>107</v>
      </c>
    </row>
    <row r="226" spans="1:12">
      <c r="A226" s="37">
        <v>1022</v>
      </c>
      <c r="B226" s="21" t="s">
        <v>31</v>
      </c>
      <c r="C226" s="9">
        <v>16955</v>
      </c>
      <c r="D226" s="26">
        <v>45748</v>
      </c>
      <c r="E226" s="26">
        <v>45777</v>
      </c>
      <c r="F226" s="40" t="s">
        <v>11</v>
      </c>
      <c r="G226" s="19">
        <v>1500000</v>
      </c>
      <c r="H226" s="77">
        <v>5.0000000000000001E-3</v>
      </c>
      <c r="I226" s="81" t="s">
        <v>13</v>
      </c>
      <c r="J226" s="3">
        <v>45763</v>
      </c>
      <c r="K226" s="18" t="s">
        <v>1338</v>
      </c>
      <c r="L226" s="22" t="s">
        <v>107</v>
      </c>
    </row>
    <row r="227" spans="1:12">
      <c r="A227" s="37">
        <v>1023</v>
      </c>
      <c r="B227" s="21" t="s">
        <v>31</v>
      </c>
      <c r="C227" s="9">
        <v>16953</v>
      </c>
      <c r="D227" s="26">
        <v>45748</v>
      </c>
      <c r="E227" s="26">
        <v>45777</v>
      </c>
      <c r="F227" s="40" t="s">
        <v>11</v>
      </c>
      <c r="G227" s="19">
        <v>0.01</v>
      </c>
      <c r="H227" s="77">
        <v>3.0000000000000001E-3</v>
      </c>
      <c r="I227" s="81" t="s">
        <v>13</v>
      </c>
      <c r="J227" s="3">
        <v>45763</v>
      </c>
      <c r="K227" s="18" t="s">
        <v>1337</v>
      </c>
      <c r="L227" s="22" t="s">
        <v>107</v>
      </c>
    </row>
    <row r="228" spans="1:12">
      <c r="A228" s="37">
        <v>1024</v>
      </c>
      <c r="B228" s="21" t="s">
        <v>31</v>
      </c>
      <c r="C228" s="9">
        <v>14291</v>
      </c>
      <c r="D228" s="26">
        <v>45748</v>
      </c>
      <c r="E228" s="26">
        <v>45777</v>
      </c>
      <c r="F228" s="40" t="s">
        <v>11</v>
      </c>
      <c r="G228" s="19">
        <v>0.01</v>
      </c>
      <c r="H228" s="77">
        <v>2.5000000000000001E-3</v>
      </c>
      <c r="I228" s="81" t="s">
        <v>95</v>
      </c>
      <c r="J228" s="3">
        <v>45763</v>
      </c>
      <c r="K228" s="18" t="s">
        <v>1339</v>
      </c>
      <c r="L228" s="22" t="s">
        <v>107</v>
      </c>
    </row>
    <row r="229" spans="1:12">
      <c r="A229" s="37">
        <v>1025</v>
      </c>
      <c r="B229" s="21" t="s">
        <v>31</v>
      </c>
      <c r="C229" s="9">
        <v>13131</v>
      </c>
      <c r="D229" s="26">
        <v>45748</v>
      </c>
      <c r="E229" s="26">
        <v>45777</v>
      </c>
      <c r="F229" s="40" t="s">
        <v>11</v>
      </c>
      <c r="G229" s="19">
        <v>100000</v>
      </c>
      <c r="H229" s="77">
        <v>3.0000000000000001E-3</v>
      </c>
      <c r="I229" s="81" t="s">
        <v>95</v>
      </c>
      <c r="J229" s="3">
        <v>45763</v>
      </c>
      <c r="K229" s="18" t="s">
        <v>1340</v>
      </c>
      <c r="L229" s="22" t="s">
        <v>1341</v>
      </c>
    </row>
    <row r="230" spans="1:12">
      <c r="A230" s="37">
        <v>1026</v>
      </c>
      <c r="B230" s="21" t="s">
        <v>31</v>
      </c>
      <c r="C230" s="9">
        <v>6869</v>
      </c>
      <c r="D230" s="26">
        <v>45748</v>
      </c>
      <c r="E230" s="26">
        <v>45777</v>
      </c>
      <c r="F230" s="40" t="s">
        <v>11</v>
      </c>
      <c r="G230" s="19">
        <v>500000</v>
      </c>
      <c r="H230" s="77">
        <v>3.0000000000000001E-3</v>
      </c>
      <c r="I230" s="81" t="s">
        <v>18</v>
      </c>
      <c r="J230" s="3">
        <v>45763</v>
      </c>
      <c r="K230" s="18" t="s">
        <v>1342</v>
      </c>
      <c r="L230" s="22" t="s">
        <v>1469</v>
      </c>
    </row>
    <row r="231" spans="1:12">
      <c r="A231" s="37">
        <v>1027</v>
      </c>
      <c r="B231" s="21" t="s">
        <v>31</v>
      </c>
      <c r="C231" s="9">
        <v>14938</v>
      </c>
      <c r="D231" s="26">
        <v>45748</v>
      </c>
      <c r="E231" s="26">
        <v>45777</v>
      </c>
      <c r="F231" s="40" t="s">
        <v>11</v>
      </c>
      <c r="G231" s="19">
        <v>250000</v>
      </c>
      <c r="H231" s="77">
        <v>1.5E-3</v>
      </c>
      <c r="I231" s="81" t="s">
        <v>18</v>
      </c>
      <c r="J231" s="3">
        <v>45763</v>
      </c>
      <c r="K231" s="18" t="s">
        <v>1343</v>
      </c>
      <c r="L231" s="22" t="s">
        <v>620</v>
      </c>
    </row>
    <row r="232" spans="1:12">
      <c r="A232" s="37">
        <v>1028</v>
      </c>
      <c r="B232" s="21" t="s">
        <v>31</v>
      </c>
      <c r="C232" s="9">
        <v>17288</v>
      </c>
      <c r="D232" s="26">
        <v>45748</v>
      </c>
      <c r="E232" s="26">
        <v>45777</v>
      </c>
      <c r="F232" s="40" t="s">
        <v>11</v>
      </c>
      <c r="G232" s="19">
        <v>10000</v>
      </c>
      <c r="H232" s="77">
        <v>7.0000000000000001E-3</v>
      </c>
      <c r="I232" s="81" t="s">
        <v>18</v>
      </c>
      <c r="J232" s="3">
        <v>45763</v>
      </c>
      <c r="K232" s="18" t="s">
        <v>1344</v>
      </c>
      <c r="L232" s="22" t="s">
        <v>107</v>
      </c>
    </row>
    <row r="233" spans="1:12">
      <c r="A233" s="37">
        <v>1029</v>
      </c>
      <c r="B233" s="21" t="s">
        <v>31</v>
      </c>
      <c r="C233" s="9">
        <v>16578</v>
      </c>
      <c r="D233" s="26">
        <v>45748</v>
      </c>
      <c r="E233" s="26">
        <v>45777</v>
      </c>
      <c r="F233" s="40" t="s">
        <v>11</v>
      </c>
      <c r="G233" s="19">
        <v>0.01</v>
      </c>
      <c r="H233" s="77">
        <v>3.0000000000000001E-3</v>
      </c>
      <c r="I233" s="81" t="s">
        <v>18</v>
      </c>
      <c r="J233" s="3">
        <v>45763</v>
      </c>
      <c r="K233" s="18" t="s">
        <v>1345</v>
      </c>
      <c r="L233" s="22" t="s">
        <v>107</v>
      </c>
    </row>
    <row r="234" spans="1:12">
      <c r="A234" s="37">
        <v>1030</v>
      </c>
      <c r="B234" s="21" t="s">
        <v>31</v>
      </c>
      <c r="C234" s="9">
        <v>9580</v>
      </c>
      <c r="D234" s="26">
        <v>45748</v>
      </c>
      <c r="E234" s="26">
        <v>45777</v>
      </c>
      <c r="F234" s="40" t="s">
        <v>11</v>
      </c>
      <c r="G234" s="19">
        <v>0.01</v>
      </c>
      <c r="H234" s="77">
        <v>3.0000000000000001E-3</v>
      </c>
      <c r="I234" s="81" t="s">
        <v>95</v>
      </c>
      <c r="J234" s="3">
        <v>45763</v>
      </c>
      <c r="K234" s="18" t="s">
        <v>1346</v>
      </c>
      <c r="L234" s="22" t="s">
        <v>107</v>
      </c>
    </row>
    <row r="235" spans="1:12">
      <c r="A235" s="37">
        <v>1031</v>
      </c>
      <c r="B235" s="21" t="s">
        <v>31</v>
      </c>
      <c r="C235" s="9">
        <v>13932</v>
      </c>
      <c r="D235" s="26">
        <v>45748</v>
      </c>
      <c r="E235" s="26">
        <v>45777</v>
      </c>
      <c r="F235" s="40" t="s">
        <v>11</v>
      </c>
      <c r="G235" s="19">
        <v>0.01</v>
      </c>
      <c r="H235" s="77">
        <v>3.0000000000000001E-3</v>
      </c>
      <c r="I235" s="81" t="s">
        <v>95</v>
      </c>
      <c r="J235" s="3">
        <v>45763</v>
      </c>
      <c r="K235" s="18" t="s">
        <v>1347</v>
      </c>
      <c r="L235" s="22" t="s">
        <v>107</v>
      </c>
    </row>
    <row r="236" spans="1:12">
      <c r="A236" s="37">
        <v>1032</v>
      </c>
      <c r="B236" s="21" t="s">
        <v>31</v>
      </c>
      <c r="C236" s="9">
        <v>15421</v>
      </c>
      <c r="D236" s="26">
        <v>45748</v>
      </c>
      <c r="E236" s="26">
        <v>45777</v>
      </c>
      <c r="F236" s="40" t="s">
        <v>11</v>
      </c>
      <c r="G236" s="19">
        <v>0.01</v>
      </c>
      <c r="H236" s="77">
        <v>3.0000000000000001E-3</v>
      </c>
      <c r="I236" s="81" t="s">
        <v>95</v>
      </c>
      <c r="J236" s="3">
        <v>45763</v>
      </c>
      <c r="K236" s="18" t="s">
        <v>1348</v>
      </c>
      <c r="L236" s="22" t="s">
        <v>107</v>
      </c>
    </row>
    <row r="237" spans="1:12">
      <c r="A237" s="37">
        <v>1033</v>
      </c>
      <c r="B237" s="21" t="s">
        <v>31</v>
      </c>
      <c r="C237" s="9">
        <v>14011</v>
      </c>
      <c r="D237" s="26">
        <v>45748</v>
      </c>
      <c r="E237" s="26">
        <v>45777</v>
      </c>
      <c r="F237" s="40" t="s">
        <v>11</v>
      </c>
      <c r="G237" s="19">
        <v>0.01</v>
      </c>
      <c r="H237" s="77">
        <v>5.0000000000000001E-3</v>
      </c>
      <c r="I237" s="81" t="s">
        <v>95</v>
      </c>
      <c r="J237" s="3">
        <v>45763</v>
      </c>
      <c r="K237" s="18" t="s">
        <v>1349</v>
      </c>
      <c r="L237" s="22" t="s">
        <v>107</v>
      </c>
    </row>
    <row r="238" spans="1:12">
      <c r="A238" s="37">
        <v>1034</v>
      </c>
      <c r="B238" s="21" t="s">
        <v>31</v>
      </c>
      <c r="C238" s="9">
        <v>14011</v>
      </c>
      <c r="D238" s="26">
        <v>45748</v>
      </c>
      <c r="E238" s="26">
        <v>45777</v>
      </c>
      <c r="F238" s="40" t="s">
        <v>11</v>
      </c>
      <c r="G238" s="19">
        <v>450000</v>
      </c>
      <c r="H238" s="77">
        <v>5.0000000000000001E-3</v>
      </c>
      <c r="I238" s="81" t="s">
        <v>95</v>
      </c>
      <c r="J238" s="3">
        <v>45763</v>
      </c>
      <c r="K238" s="18" t="s">
        <v>1349</v>
      </c>
      <c r="L238" s="22" t="s">
        <v>1350</v>
      </c>
    </row>
    <row r="239" spans="1:12">
      <c r="A239" s="37">
        <v>1035</v>
      </c>
      <c r="B239" s="21" t="s">
        <v>31</v>
      </c>
      <c r="C239" s="9">
        <v>15564</v>
      </c>
      <c r="D239" s="26">
        <v>45748</v>
      </c>
      <c r="E239" s="26">
        <v>45777</v>
      </c>
      <c r="F239" s="40" t="s">
        <v>11</v>
      </c>
      <c r="G239" s="19">
        <v>0.01</v>
      </c>
      <c r="H239" s="77">
        <v>3.0000000000000001E-3</v>
      </c>
      <c r="I239" s="81" t="s">
        <v>95</v>
      </c>
      <c r="J239" s="3">
        <v>45763</v>
      </c>
      <c r="K239" s="18" t="s">
        <v>1351</v>
      </c>
      <c r="L239" s="22" t="s">
        <v>107</v>
      </c>
    </row>
    <row r="240" spans="1:12">
      <c r="A240" s="37">
        <v>1036</v>
      </c>
      <c r="B240" s="21" t="s">
        <v>31</v>
      </c>
      <c r="C240" s="9">
        <v>16848</v>
      </c>
      <c r="D240" s="26">
        <v>45748</v>
      </c>
      <c r="E240" s="26">
        <v>45777</v>
      </c>
      <c r="F240" s="40" t="s">
        <v>11</v>
      </c>
      <c r="G240" s="19">
        <v>0.01</v>
      </c>
      <c r="H240" s="77">
        <v>3.0000000000000001E-3</v>
      </c>
      <c r="I240" s="81" t="s">
        <v>95</v>
      </c>
      <c r="J240" s="3">
        <v>45763</v>
      </c>
      <c r="K240" s="18" t="s">
        <v>1352</v>
      </c>
      <c r="L240" s="22" t="s">
        <v>107</v>
      </c>
    </row>
    <row r="241" spans="1:12">
      <c r="A241" s="37">
        <v>1037</v>
      </c>
      <c r="B241" s="21" t="s">
        <v>31</v>
      </c>
      <c r="C241" s="9">
        <v>16783</v>
      </c>
      <c r="D241" s="26">
        <v>45748</v>
      </c>
      <c r="E241" s="26">
        <v>45777</v>
      </c>
      <c r="F241" s="40" t="s">
        <v>11</v>
      </c>
      <c r="G241" s="19">
        <v>0.01</v>
      </c>
      <c r="H241" s="77">
        <v>3.0000000000000001E-3</v>
      </c>
      <c r="I241" s="81" t="s">
        <v>95</v>
      </c>
      <c r="J241" s="3">
        <v>45763</v>
      </c>
      <c r="K241" s="18" t="s">
        <v>1353</v>
      </c>
      <c r="L241" s="22" t="s">
        <v>107</v>
      </c>
    </row>
    <row r="242" spans="1:12">
      <c r="A242" s="37">
        <v>1038</v>
      </c>
      <c r="B242" s="21" t="s">
        <v>31</v>
      </c>
      <c r="C242" s="9">
        <v>13061</v>
      </c>
      <c r="D242" s="26">
        <v>45748</v>
      </c>
      <c r="E242" s="26">
        <v>45777</v>
      </c>
      <c r="F242" s="40" t="s">
        <v>11</v>
      </c>
      <c r="G242" s="19">
        <v>0.01</v>
      </c>
      <c r="H242" s="77">
        <v>1.4999999999999999E-2</v>
      </c>
      <c r="I242" s="81" t="s">
        <v>95</v>
      </c>
      <c r="J242" s="3">
        <v>45763</v>
      </c>
      <c r="K242" s="18" t="s">
        <v>1329</v>
      </c>
      <c r="L242" s="22" t="s">
        <v>936</v>
      </c>
    </row>
    <row r="243" spans="1:12">
      <c r="A243" s="37">
        <v>1039</v>
      </c>
      <c r="B243" s="21" t="s">
        <v>31</v>
      </c>
      <c r="C243" s="9">
        <v>14409</v>
      </c>
      <c r="D243" s="26">
        <v>45748</v>
      </c>
      <c r="E243" s="26">
        <v>45777</v>
      </c>
      <c r="F243" s="40" t="s">
        <v>11</v>
      </c>
      <c r="G243" s="19">
        <v>10000</v>
      </c>
      <c r="H243" s="77">
        <v>5.0000000000000001E-3</v>
      </c>
      <c r="I243" s="81" t="s">
        <v>29</v>
      </c>
      <c r="J243" s="3">
        <v>45763</v>
      </c>
      <c r="K243" s="18" t="s">
        <v>1354</v>
      </c>
      <c r="L243" s="22" t="s">
        <v>1355</v>
      </c>
    </row>
    <row r="244" spans="1:12">
      <c r="A244" s="37">
        <v>1040</v>
      </c>
      <c r="B244" s="21" t="s">
        <v>31</v>
      </c>
      <c r="C244" s="9">
        <v>13560</v>
      </c>
      <c r="D244" s="26">
        <v>45748</v>
      </c>
      <c r="E244" s="26">
        <v>45777</v>
      </c>
      <c r="F244" s="40" t="s">
        <v>11</v>
      </c>
      <c r="G244" s="19">
        <v>200000</v>
      </c>
      <c r="H244" s="77">
        <v>7.4999999999999997E-3</v>
      </c>
      <c r="I244" s="81" t="s">
        <v>18</v>
      </c>
      <c r="J244" s="3">
        <v>45762</v>
      </c>
      <c r="K244" s="18" t="s">
        <v>1356</v>
      </c>
      <c r="L244" s="22" t="s">
        <v>107</v>
      </c>
    </row>
    <row r="245" spans="1:12">
      <c r="A245" s="37">
        <v>1041</v>
      </c>
      <c r="B245" s="21" t="s">
        <v>31</v>
      </c>
      <c r="C245" s="9">
        <v>13750</v>
      </c>
      <c r="D245" s="26">
        <v>45748</v>
      </c>
      <c r="E245" s="26">
        <v>45777</v>
      </c>
      <c r="F245" s="40" t="s">
        <v>11</v>
      </c>
      <c r="G245" s="19">
        <v>200000</v>
      </c>
      <c r="H245" s="77">
        <v>7.4999999999999997E-3</v>
      </c>
      <c r="I245" s="81" t="s">
        <v>20</v>
      </c>
      <c r="J245" s="3">
        <v>45762</v>
      </c>
      <c r="K245" s="18" t="s">
        <v>1356</v>
      </c>
      <c r="L245" s="22" t="s">
        <v>107</v>
      </c>
    </row>
    <row r="246" spans="1:12" ht="30">
      <c r="A246" s="37">
        <v>1042</v>
      </c>
      <c r="B246" s="21" t="s">
        <v>31</v>
      </c>
      <c r="C246" s="9">
        <v>7179</v>
      </c>
      <c r="D246" s="26">
        <v>45748</v>
      </c>
      <c r="E246" s="26">
        <v>45777</v>
      </c>
      <c r="F246" s="40" t="s">
        <v>11</v>
      </c>
      <c r="G246" s="19">
        <v>0.01</v>
      </c>
      <c r="H246" s="77" t="s">
        <v>1452</v>
      </c>
      <c r="I246" s="81" t="s">
        <v>20</v>
      </c>
      <c r="J246" s="3">
        <v>45762</v>
      </c>
      <c r="K246" s="18" t="s">
        <v>1357</v>
      </c>
      <c r="L246" s="22" t="s">
        <v>1358</v>
      </c>
    </row>
    <row r="247" spans="1:12">
      <c r="A247" s="37">
        <v>1043</v>
      </c>
      <c r="B247" s="21" t="s">
        <v>31</v>
      </c>
      <c r="C247" s="9">
        <v>11994</v>
      </c>
      <c r="D247" s="26">
        <v>45748</v>
      </c>
      <c r="E247" s="26">
        <v>45777</v>
      </c>
      <c r="F247" s="40" t="s">
        <v>11</v>
      </c>
      <c r="G247" s="19">
        <v>1000</v>
      </c>
      <c r="H247" s="77">
        <v>7.4999999999999997E-3</v>
      </c>
      <c r="I247" s="81" t="s">
        <v>13</v>
      </c>
      <c r="J247" s="3">
        <v>45762</v>
      </c>
      <c r="K247" s="18" t="s">
        <v>1359</v>
      </c>
      <c r="L247" s="22" t="s">
        <v>107</v>
      </c>
    </row>
    <row r="248" spans="1:12">
      <c r="A248" s="37">
        <v>1044</v>
      </c>
      <c r="B248" s="21" t="s">
        <v>31</v>
      </c>
      <c r="C248" s="9">
        <v>11994</v>
      </c>
      <c r="D248" s="26">
        <v>45748</v>
      </c>
      <c r="E248" s="26">
        <v>45777</v>
      </c>
      <c r="F248" s="40" t="s">
        <v>11</v>
      </c>
      <c r="G248" s="19">
        <v>1000</v>
      </c>
      <c r="H248" s="77">
        <v>5.0000000000000001E-4</v>
      </c>
      <c r="I248" s="81" t="s">
        <v>30</v>
      </c>
      <c r="J248" s="3">
        <v>45762</v>
      </c>
      <c r="K248" s="18" t="s">
        <v>1359</v>
      </c>
      <c r="L248" s="22" t="s">
        <v>1014</v>
      </c>
    </row>
    <row r="249" spans="1:12">
      <c r="A249" s="37">
        <v>1045</v>
      </c>
      <c r="B249" s="21" t="s">
        <v>31</v>
      </c>
      <c r="C249" s="9">
        <v>11994</v>
      </c>
      <c r="D249" s="26">
        <v>45755</v>
      </c>
      <c r="E249" s="26">
        <v>45777</v>
      </c>
      <c r="F249" s="40" t="s">
        <v>11</v>
      </c>
      <c r="G249" s="19">
        <v>1000</v>
      </c>
      <c r="H249" s="77">
        <v>1.2999999999999999E-2</v>
      </c>
      <c r="I249" s="81" t="s">
        <v>30</v>
      </c>
      <c r="J249" s="3">
        <v>45762</v>
      </c>
      <c r="K249" s="18" t="s">
        <v>1359</v>
      </c>
      <c r="L249" s="22" t="s">
        <v>1474</v>
      </c>
    </row>
    <row r="250" spans="1:12">
      <c r="A250" s="37">
        <v>1046</v>
      </c>
      <c r="B250" s="21" t="s">
        <v>31</v>
      </c>
      <c r="C250" s="9">
        <v>11994</v>
      </c>
      <c r="D250" s="26">
        <v>45755</v>
      </c>
      <c r="E250" s="26">
        <v>45777</v>
      </c>
      <c r="F250" s="40" t="s">
        <v>11</v>
      </c>
      <c r="G250" s="19">
        <v>1000</v>
      </c>
      <c r="H250" s="77">
        <v>1.0500000000000001E-2</v>
      </c>
      <c r="I250" s="81" t="s">
        <v>30</v>
      </c>
      <c r="J250" s="3">
        <v>45762</v>
      </c>
      <c r="K250" s="18" t="s">
        <v>1359</v>
      </c>
      <c r="L250" s="22" t="s">
        <v>1475</v>
      </c>
    </row>
    <row r="251" spans="1:12" ht="75">
      <c r="A251" s="37">
        <v>1047</v>
      </c>
      <c r="B251" s="21" t="s">
        <v>31</v>
      </c>
      <c r="C251" s="9">
        <v>11994</v>
      </c>
      <c r="D251" s="26">
        <v>45748</v>
      </c>
      <c r="E251" s="26">
        <v>45754</v>
      </c>
      <c r="F251" s="40" t="s">
        <v>11</v>
      </c>
      <c r="G251" s="19">
        <v>1000</v>
      </c>
      <c r="H251" s="77">
        <v>5.0000000000000001E-3</v>
      </c>
      <c r="I251" s="81" t="s">
        <v>30</v>
      </c>
      <c r="J251" s="3">
        <v>45762</v>
      </c>
      <c r="K251" s="18" t="s">
        <v>1359</v>
      </c>
      <c r="L251" s="22" t="s">
        <v>1360</v>
      </c>
    </row>
    <row r="252" spans="1:12">
      <c r="A252" s="37">
        <v>1048</v>
      </c>
      <c r="B252" s="21" t="s">
        <v>31</v>
      </c>
      <c r="C252" s="9">
        <v>14554</v>
      </c>
      <c r="D252" s="26">
        <v>45748</v>
      </c>
      <c r="E252" s="26">
        <v>45777</v>
      </c>
      <c r="F252" s="40" t="s">
        <v>11</v>
      </c>
      <c r="G252" s="19">
        <v>1000</v>
      </c>
      <c r="H252" s="77">
        <v>1.2500000000000001E-2</v>
      </c>
      <c r="I252" s="81" t="s">
        <v>30</v>
      </c>
      <c r="J252" s="3">
        <v>45762</v>
      </c>
      <c r="K252" s="18" t="s">
        <v>1359</v>
      </c>
      <c r="L252" s="22" t="s">
        <v>157</v>
      </c>
    </row>
    <row r="253" spans="1:12" ht="30">
      <c r="A253" s="37">
        <v>1049</v>
      </c>
      <c r="B253" s="21" t="s">
        <v>31</v>
      </c>
      <c r="C253" s="9">
        <v>16532</v>
      </c>
      <c r="D253" s="26">
        <v>45748</v>
      </c>
      <c r="E253" s="26">
        <v>45777</v>
      </c>
      <c r="F253" s="40" t="s">
        <v>11</v>
      </c>
      <c r="G253" s="19">
        <v>1000</v>
      </c>
      <c r="H253" s="77">
        <v>0.03</v>
      </c>
      <c r="I253" s="81" t="s">
        <v>25</v>
      </c>
      <c r="J253" s="3">
        <v>45762</v>
      </c>
      <c r="K253" s="18" t="s">
        <v>1359</v>
      </c>
      <c r="L253" s="22" t="s">
        <v>1015</v>
      </c>
    </row>
    <row r="254" spans="1:12">
      <c r="A254" s="37">
        <v>1050</v>
      </c>
      <c r="B254" s="21" t="s">
        <v>31</v>
      </c>
      <c r="C254" s="9">
        <v>16291</v>
      </c>
      <c r="D254" s="26">
        <v>45748</v>
      </c>
      <c r="E254" s="26">
        <v>45777</v>
      </c>
      <c r="F254" s="40" t="s">
        <v>11</v>
      </c>
      <c r="G254" s="19">
        <v>1000</v>
      </c>
      <c r="H254" s="77">
        <v>5.0000000000000001E-3</v>
      </c>
      <c r="I254" s="81" t="s">
        <v>30</v>
      </c>
      <c r="J254" s="3">
        <v>45762</v>
      </c>
      <c r="K254" s="18" t="s">
        <v>1359</v>
      </c>
      <c r="L254" s="22" t="s">
        <v>107</v>
      </c>
    </row>
    <row r="255" spans="1:12">
      <c r="A255" s="37">
        <v>1051</v>
      </c>
      <c r="B255" s="21" t="s">
        <v>31</v>
      </c>
      <c r="C255" s="9">
        <v>13220</v>
      </c>
      <c r="D255" s="26">
        <v>45748</v>
      </c>
      <c r="E255" s="26">
        <v>45777</v>
      </c>
      <c r="F255" s="40" t="s">
        <v>11</v>
      </c>
      <c r="G255" s="19">
        <v>1000</v>
      </c>
      <c r="H255" s="77">
        <v>5.0000000000000001E-3</v>
      </c>
      <c r="I255" s="81" t="s">
        <v>25</v>
      </c>
      <c r="J255" s="3">
        <v>45762</v>
      </c>
      <c r="K255" s="18" t="s">
        <v>1359</v>
      </c>
      <c r="L255" s="22" t="s">
        <v>107</v>
      </c>
    </row>
    <row r="256" spans="1:12" ht="30">
      <c r="A256" s="37">
        <v>1052</v>
      </c>
      <c r="B256" s="21" t="s">
        <v>31</v>
      </c>
      <c r="C256" s="9">
        <v>15086</v>
      </c>
      <c r="D256" s="26">
        <v>45748</v>
      </c>
      <c r="E256" s="26">
        <v>45777</v>
      </c>
      <c r="F256" s="40" t="s">
        <v>11</v>
      </c>
      <c r="G256" s="19">
        <v>1000</v>
      </c>
      <c r="H256" s="77">
        <v>5.0000000000000001E-3</v>
      </c>
      <c r="I256" s="81" t="s">
        <v>30</v>
      </c>
      <c r="J256" s="3">
        <v>45762</v>
      </c>
      <c r="K256" s="18" t="s">
        <v>1359</v>
      </c>
      <c r="L256" s="22" t="s">
        <v>1361</v>
      </c>
    </row>
    <row r="257" spans="1:12">
      <c r="A257" s="37">
        <v>1053</v>
      </c>
      <c r="B257" s="21" t="s">
        <v>31</v>
      </c>
      <c r="C257" s="9">
        <v>11995</v>
      </c>
      <c r="D257" s="26">
        <v>45748</v>
      </c>
      <c r="E257" s="26">
        <v>45777</v>
      </c>
      <c r="F257" s="40" t="s">
        <v>11</v>
      </c>
      <c r="G257" s="19">
        <v>1000</v>
      </c>
      <c r="H257" s="77">
        <v>7.4999999999999997E-3</v>
      </c>
      <c r="I257" s="81" t="s">
        <v>27</v>
      </c>
      <c r="J257" s="3">
        <v>45762</v>
      </c>
      <c r="K257" s="18" t="s">
        <v>1359</v>
      </c>
      <c r="L257" s="22" t="s">
        <v>128</v>
      </c>
    </row>
    <row r="258" spans="1:12" ht="30">
      <c r="A258" s="37">
        <v>1054</v>
      </c>
      <c r="B258" s="21" t="s">
        <v>31</v>
      </c>
      <c r="C258" s="9">
        <v>7734</v>
      </c>
      <c r="D258" s="26">
        <v>45748</v>
      </c>
      <c r="E258" s="26">
        <v>45777</v>
      </c>
      <c r="F258" s="40" t="s">
        <v>11</v>
      </c>
      <c r="G258" s="19">
        <v>1000</v>
      </c>
      <c r="H258" s="77">
        <v>5.0000000000000001E-3</v>
      </c>
      <c r="I258" s="81" t="s">
        <v>27</v>
      </c>
      <c r="J258" s="3">
        <v>45762</v>
      </c>
      <c r="K258" s="18" t="s">
        <v>1359</v>
      </c>
      <c r="L258" s="22" t="s">
        <v>1361</v>
      </c>
    </row>
    <row r="259" spans="1:12">
      <c r="A259" s="37">
        <v>1055</v>
      </c>
      <c r="B259" s="21" t="s">
        <v>31</v>
      </c>
      <c r="C259" s="9">
        <v>14399</v>
      </c>
      <c r="D259" s="26">
        <v>45748</v>
      </c>
      <c r="E259" s="26">
        <v>45777</v>
      </c>
      <c r="F259" s="40" t="s">
        <v>11</v>
      </c>
      <c r="G259" s="19">
        <v>1000</v>
      </c>
      <c r="H259" s="77">
        <v>5.0000000000000001E-3</v>
      </c>
      <c r="I259" s="81" t="s">
        <v>30</v>
      </c>
      <c r="J259" s="3">
        <v>45758</v>
      </c>
      <c r="K259" s="18" t="s">
        <v>161</v>
      </c>
      <c r="L259" s="22" t="s">
        <v>1364</v>
      </c>
    </row>
    <row r="260" spans="1:12">
      <c r="A260" s="37">
        <v>1056</v>
      </c>
      <c r="B260" s="21" t="s">
        <v>31</v>
      </c>
      <c r="C260" s="9">
        <v>3243</v>
      </c>
      <c r="D260" s="26">
        <v>45748</v>
      </c>
      <c r="E260" s="26">
        <v>45777</v>
      </c>
      <c r="F260" s="40" t="s">
        <v>11</v>
      </c>
      <c r="G260" s="19">
        <v>100000</v>
      </c>
      <c r="H260" s="77">
        <v>5.0000000000000001E-3</v>
      </c>
      <c r="I260" s="81" t="s">
        <v>30</v>
      </c>
      <c r="J260" s="3">
        <v>45758</v>
      </c>
      <c r="K260" s="18" t="s">
        <v>161</v>
      </c>
      <c r="L260" s="22" t="s">
        <v>1387</v>
      </c>
    </row>
    <row r="261" spans="1:12" ht="30">
      <c r="A261" s="37">
        <v>1057</v>
      </c>
      <c r="B261" s="21" t="s">
        <v>31</v>
      </c>
      <c r="C261" s="9">
        <v>5913</v>
      </c>
      <c r="D261" s="26">
        <v>45748</v>
      </c>
      <c r="E261" s="26">
        <v>45777</v>
      </c>
      <c r="F261" s="40" t="s">
        <v>11</v>
      </c>
      <c r="G261" s="19">
        <v>200000</v>
      </c>
      <c r="H261" s="77">
        <v>2E-3</v>
      </c>
      <c r="I261" s="81" t="s">
        <v>25</v>
      </c>
      <c r="J261" s="3">
        <v>45758</v>
      </c>
      <c r="K261" s="18" t="s">
        <v>161</v>
      </c>
      <c r="L261" s="22" t="s">
        <v>1365</v>
      </c>
    </row>
    <row r="262" spans="1:12">
      <c r="A262" s="37">
        <v>1058</v>
      </c>
      <c r="B262" s="21" t="s">
        <v>31</v>
      </c>
      <c r="C262" s="9">
        <v>4353</v>
      </c>
      <c r="D262" s="26">
        <v>45748</v>
      </c>
      <c r="E262" s="26">
        <v>45777</v>
      </c>
      <c r="F262" s="40" t="s">
        <v>11</v>
      </c>
      <c r="G262" s="19">
        <v>1000</v>
      </c>
      <c r="H262" s="77">
        <v>5.0000000000000001E-3</v>
      </c>
      <c r="I262" s="81" t="s">
        <v>25</v>
      </c>
      <c r="J262" s="3">
        <v>45758</v>
      </c>
      <c r="K262" s="18" t="s">
        <v>161</v>
      </c>
      <c r="L262" s="22" t="s">
        <v>1024</v>
      </c>
    </row>
    <row r="263" spans="1:12">
      <c r="A263" s="37">
        <v>1059</v>
      </c>
      <c r="B263" s="21" t="s">
        <v>31</v>
      </c>
      <c r="C263" s="9">
        <v>14876</v>
      </c>
      <c r="D263" s="26">
        <v>45748</v>
      </c>
      <c r="E263" s="26">
        <v>45777</v>
      </c>
      <c r="F263" s="40" t="s">
        <v>11</v>
      </c>
      <c r="G263" s="19">
        <v>1000</v>
      </c>
      <c r="H263" s="77">
        <v>5.0000000000000001E-3</v>
      </c>
      <c r="I263" s="81" t="s">
        <v>25</v>
      </c>
      <c r="J263" s="3">
        <v>45758</v>
      </c>
      <c r="K263" s="18" t="s">
        <v>161</v>
      </c>
      <c r="L263" s="22" t="s">
        <v>1024</v>
      </c>
    </row>
    <row r="264" spans="1:12">
      <c r="A264" s="37">
        <v>1060</v>
      </c>
      <c r="B264" s="21" t="s">
        <v>31</v>
      </c>
      <c r="C264" s="9">
        <v>9572</v>
      </c>
      <c r="D264" s="26">
        <v>45748</v>
      </c>
      <c r="E264" s="26">
        <v>45777</v>
      </c>
      <c r="F264" s="40" t="s">
        <v>11</v>
      </c>
      <c r="G264" s="19">
        <v>100000</v>
      </c>
      <c r="H264" s="77">
        <v>4.0000000000000001E-3</v>
      </c>
      <c r="I264" s="81" t="s">
        <v>30</v>
      </c>
      <c r="J264" s="3">
        <v>45758</v>
      </c>
      <c r="K264" s="18" t="s">
        <v>161</v>
      </c>
      <c r="L264" s="22" t="s">
        <v>1366</v>
      </c>
    </row>
    <row r="265" spans="1:12" ht="30">
      <c r="A265" s="37">
        <v>1061</v>
      </c>
      <c r="B265" s="21" t="s">
        <v>31</v>
      </c>
      <c r="C265" s="9">
        <v>3280</v>
      </c>
      <c r="D265" s="26">
        <v>45748</v>
      </c>
      <c r="E265" s="26">
        <v>45777</v>
      </c>
      <c r="F265" s="40" t="s">
        <v>11</v>
      </c>
      <c r="G265" s="19">
        <v>150000</v>
      </c>
      <c r="H265" s="77">
        <v>2E-3</v>
      </c>
      <c r="I265" s="81" t="s">
        <v>25</v>
      </c>
      <c r="J265" s="3">
        <v>45758</v>
      </c>
      <c r="K265" s="18" t="s">
        <v>161</v>
      </c>
      <c r="L265" s="22" t="s">
        <v>1388</v>
      </c>
    </row>
    <row r="266" spans="1:12" ht="30">
      <c r="A266" s="37">
        <v>1062</v>
      </c>
      <c r="B266" s="21" t="s">
        <v>31</v>
      </c>
      <c r="C266" s="9" t="s">
        <v>1079</v>
      </c>
      <c r="D266" s="26">
        <v>45748</v>
      </c>
      <c r="E266" s="26">
        <v>45777</v>
      </c>
      <c r="F266" s="40" t="s">
        <v>11</v>
      </c>
      <c r="G266" s="19">
        <v>100000</v>
      </c>
      <c r="H266" s="77">
        <v>2E-3</v>
      </c>
      <c r="I266" s="81" t="s">
        <v>25</v>
      </c>
      <c r="J266" s="3">
        <v>45758</v>
      </c>
      <c r="K266" s="18" t="s">
        <v>161</v>
      </c>
      <c r="L266" s="22" t="s">
        <v>1389</v>
      </c>
    </row>
    <row r="267" spans="1:12">
      <c r="A267" s="37">
        <v>1063</v>
      </c>
      <c r="B267" s="21" t="s">
        <v>31</v>
      </c>
      <c r="C267" s="9">
        <v>13669</v>
      </c>
      <c r="D267" s="26">
        <v>45748</v>
      </c>
      <c r="E267" s="26">
        <v>45777</v>
      </c>
      <c r="F267" s="40" t="s">
        <v>11</v>
      </c>
      <c r="G267" s="19">
        <v>0.01</v>
      </c>
      <c r="H267" s="77">
        <v>3.0000000000000001E-3</v>
      </c>
      <c r="I267" s="81" t="s">
        <v>25</v>
      </c>
      <c r="J267" s="3">
        <v>45763</v>
      </c>
      <c r="K267" s="18" t="s">
        <v>1367</v>
      </c>
      <c r="L267" s="22" t="s">
        <v>107</v>
      </c>
    </row>
    <row r="268" spans="1:12">
      <c r="A268" s="37">
        <v>1064</v>
      </c>
      <c r="B268" s="21" t="s">
        <v>31</v>
      </c>
      <c r="C268" s="9">
        <v>16912</v>
      </c>
      <c r="D268" s="26">
        <v>45748</v>
      </c>
      <c r="E268" s="26">
        <v>45777</v>
      </c>
      <c r="F268" s="40" t="s">
        <v>11</v>
      </c>
      <c r="G268" s="19">
        <v>0.01</v>
      </c>
      <c r="H268" s="77">
        <v>5.0000000000000001E-3</v>
      </c>
      <c r="I268" s="81" t="s">
        <v>95</v>
      </c>
      <c r="J268" s="3">
        <v>45763</v>
      </c>
      <c r="K268" s="18" t="s">
        <v>1368</v>
      </c>
      <c r="L268" s="22" t="s">
        <v>1369</v>
      </c>
    </row>
    <row r="269" spans="1:12">
      <c r="A269" s="37">
        <v>1065</v>
      </c>
      <c r="B269" s="21" t="s">
        <v>31</v>
      </c>
      <c r="C269" s="9">
        <v>13053</v>
      </c>
      <c r="D269" s="26">
        <v>45748</v>
      </c>
      <c r="E269" s="26">
        <v>45777</v>
      </c>
      <c r="F269" s="40" t="s">
        <v>11</v>
      </c>
      <c r="G269" s="19">
        <v>50000</v>
      </c>
      <c r="H269" s="77">
        <v>1.4999999999999999E-2</v>
      </c>
      <c r="I269" s="81" t="s">
        <v>32</v>
      </c>
      <c r="J269" s="3">
        <v>45763</v>
      </c>
      <c r="K269" s="18" t="s">
        <v>1370</v>
      </c>
      <c r="L269" s="22" t="s">
        <v>1386</v>
      </c>
    </row>
    <row r="270" spans="1:12">
      <c r="A270" s="37">
        <v>1066</v>
      </c>
      <c r="B270" s="21" t="s">
        <v>31</v>
      </c>
      <c r="C270" s="9">
        <v>6887</v>
      </c>
      <c r="D270" s="26">
        <v>45762</v>
      </c>
      <c r="E270" s="26">
        <v>45777</v>
      </c>
      <c r="F270" s="40" t="s">
        <v>11</v>
      </c>
      <c r="G270" s="19">
        <v>100000</v>
      </c>
      <c r="H270" s="77">
        <v>5.0000000000000001E-3</v>
      </c>
      <c r="I270" s="81" t="s">
        <v>18</v>
      </c>
      <c r="J270" s="3">
        <v>45763</v>
      </c>
      <c r="K270" s="18" t="s">
        <v>1371</v>
      </c>
      <c r="L270" s="22" t="s">
        <v>1372</v>
      </c>
    </row>
    <row r="271" spans="1:12">
      <c r="A271" s="37">
        <v>1067</v>
      </c>
      <c r="B271" s="21" t="s">
        <v>31</v>
      </c>
      <c r="C271" s="9">
        <v>13718</v>
      </c>
      <c r="D271" s="26">
        <v>45748</v>
      </c>
      <c r="E271" s="26">
        <v>45777</v>
      </c>
      <c r="F271" s="40" t="s">
        <v>11</v>
      </c>
      <c r="G271" s="19">
        <v>0.01</v>
      </c>
      <c r="H271" s="77">
        <v>3.5000000000000003E-2</v>
      </c>
      <c r="I271" s="81" t="s">
        <v>18</v>
      </c>
      <c r="J271" s="3">
        <v>45757</v>
      </c>
      <c r="K271" s="18" t="s">
        <v>1373</v>
      </c>
      <c r="L271" s="22" t="s">
        <v>1374</v>
      </c>
    </row>
    <row r="272" spans="1:12">
      <c r="A272" s="37">
        <v>1068</v>
      </c>
      <c r="B272" s="21" t="s">
        <v>31</v>
      </c>
      <c r="C272" s="9">
        <v>3489</v>
      </c>
      <c r="D272" s="26">
        <v>45748</v>
      </c>
      <c r="E272" s="26">
        <v>45777</v>
      </c>
      <c r="F272" s="40" t="s">
        <v>11</v>
      </c>
      <c r="G272" s="19">
        <v>0.01</v>
      </c>
      <c r="H272" s="77">
        <v>5.0000000000000001E-3</v>
      </c>
      <c r="I272" s="81" t="s">
        <v>32</v>
      </c>
      <c r="J272" s="3">
        <v>45764</v>
      </c>
      <c r="K272" s="18" t="s">
        <v>1375</v>
      </c>
      <c r="L272" s="22" t="s">
        <v>1376</v>
      </c>
    </row>
    <row r="273" spans="1:12">
      <c r="A273" s="37">
        <v>1069</v>
      </c>
      <c r="B273" s="21" t="s">
        <v>31</v>
      </c>
      <c r="C273" s="9">
        <v>14918</v>
      </c>
      <c r="D273" s="26">
        <v>45748</v>
      </c>
      <c r="E273" s="26">
        <v>45777</v>
      </c>
      <c r="F273" s="40" t="s">
        <v>11</v>
      </c>
      <c r="G273" s="19">
        <v>50000</v>
      </c>
      <c r="H273" s="77">
        <v>2.5000000000000001E-3</v>
      </c>
      <c r="I273" s="81" t="s">
        <v>25</v>
      </c>
      <c r="J273" s="3">
        <v>45764</v>
      </c>
      <c r="K273" s="18" t="s">
        <v>112</v>
      </c>
      <c r="L273" s="22" t="s">
        <v>1377</v>
      </c>
    </row>
    <row r="274" spans="1:12">
      <c r="A274" s="37">
        <v>1070</v>
      </c>
      <c r="B274" s="21" t="s">
        <v>31</v>
      </c>
      <c r="C274" s="9">
        <v>15908</v>
      </c>
      <c r="D274" s="26">
        <v>45748</v>
      </c>
      <c r="E274" s="26">
        <v>45777</v>
      </c>
      <c r="F274" s="40" t="s">
        <v>11</v>
      </c>
      <c r="G274" s="19">
        <v>1000</v>
      </c>
      <c r="H274" s="77">
        <v>8.0000000000000002E-3</v>
      </c>
      <c r="I274" s="81" t="s">
        <v>17</v>
      </c>
      <c r="J274" s="3">
        <v>45764</v>
      </c>
      <c r="K274" s="18" t="s">
        <v>1378</v>
      </c>
      <c r="L274" s="22" t="s">
        <v>1379</v>
      </c>
    </row>
    <row r="275" spans="1:12">
      <c r="A275" s="37">
        <v>1071</v>
      </c>
      <c r="B275" s="21" t="s">
        <v>31</v>
      </c>
      <c r="C275" s="9">
        <v>6846</v>
      </c>
      <c r="D275" s="26">
        <v>45748</v>
      </c>
      <c r="E275" s="26">
        <v>45777</v>
      </c>
      <c r="F275" s="40" t="s">
        <v>11</v>
      </c>
      <c r="G275" s="19">
        <v>0.01</v>
      </c>
      <c r="H275" s="77">
        <v>5.0000000000000001E-3</v>
      </c>
      <c r="I275" s="81" t="s">
        <v>34</v>
      </c>
      <c r="J275" s="3">
        <v>45764</v>
      </c>
      <c r="K275" s="18" t="s">
        <v>1380</v>
      </c>
      <c r="L275" s="22" t="s">
        <v>1381</v>
      </c>
    </row>
    <row r="276" spans="1:12">
      <c r="A276" s="37">
        <v>1072</v>
      </c>
      <c r="B276" s="21" t="s">
        <v>31</v>
      </c>
      <c r="C276" s="9">
        <v>6846</v>
      </c>
      <c r="D276" s="26">
        <v>45748</v>
      </c>
      <c r="E276" s="26">
        <v>45777</v>
      </c>
      <c r="F276" s="40" t="s">
        <v>11</v>
      </c>
      <c r="G276" s="19">
        <v>0.01</v>
      </c>
      <c r="H276" s="77">
        <v>0.01</v>
      </c>
      <c r="I276" s="81" t="s">
        <v>17</v>
      </c>
      <c r="J276" s="3">
        <v>45764</v>
      </c>
      <c r="K276" s="18" t="s">
        <v>1380</v>
      </c>
      <c r="L276" s="22" t="s">
        <v>1382</v>
      </c>
    </row>
    <row r="277" spans="1:12">
      <c r="A277" s="37">
        <v>1073</v>
      </c>
      <c r="B277" s="21" t="s">
        <v>31</v>
      </c>
      <c r="C277" s="9">
        <v>13368</v>
      </c>
      <c r="D277" s="26">
        <v>45748</v>
      </c>
      <c r="E277" s="26">
        <v>45777</v>
      </c>
      <c r="F277" s="40" t="s">
        <v>11</v>
      </c>
      <c r="G277" s="19">
        <v>0.01</v>
      </c>
      <c r="H277" s="77">
        <v>5.0000000000000001E-3</v>
      </c>
      <c r="I277" s="81" t="s">
        <v>17</v>
      </c>
      <c r="J277" s="3">
        <v>45764</v>
      </c>
      <c r="K277" s="18" t="s">
        <v>1383</v>
      </c>
      <c r="L277" s="22" t="s">
        <v>107</v>
      </c>
    </row>
    <row r="278" spans="1:12">
      <c r="A278" s="37">
        <v>1074</v>
      </c>
      <c r="B278" s="21" t="s">
        <v>31</v>
      </c>
      <c r="C278" s="9">
        <v>13368</v>
      </c>
      <c r="D278" s="26">
        <v>45748</v>
      </c>
      <c r="E278" s="26">
        <v>45777</v>
      </c>
      <c r="F278" s="40" t="s">
        <v>11</v>
      </c>
      <c r="G278" s="19">
        <v>0.01</v>
      </c>
      <c r="H278" s="77">
        <v>1.4999999999999999E-2</v>
      </c>
      <c r="I278" s="81" t="s">
        <v>32</v>
      </c>
      <c r="J278" s="3">
        <v>45764</v>
      </c>
      <c r="K278" s="18" t="s">
        <v>1383</v>
      </c>
      <c r="L278" s="22" t="s">
        <v>1384</v>
      </c>
    </row>
    <row r="279" spans="1:12">
      <c r="A279" s="37">
        <v>1075</v>
      </c>
      <c r="B279" s="21" t="s">
        <v>31</v>
      </c>
      <c r="C279" s="9">
        <v>13368</v>
      </c>
      <c r="D279" s="26">
        <v>45748</v>
      </c>
      <c r="E279" s="26">
        <v>45777</v>
      </c>
      <c r="F279" s="40" t="s">
        <v>11</v>
      </c>
      <c r="G279" s="19">
        <v>0.01</v>
      </c>
      <c r="H279" s="77">
        <v>5.0000000000000001E-3</v>
      </c>
      <c r="I279" s="81" t="s">
        <v>32</v>
      </c>
      <c r="J279" s="3">
        <v>45764</v>
      </c>
      <c r="K279" s="18" t="s">
        <v>1383</v>
      </c>
      <c r="L279" s="22" t="s">
        <v>1385</v>
      </c>
    </row>
    <row r="280" spans="1:12">
      <c r="A280" s="37">
        <v>1076</v>
      </c>
      <c r="B280" s="21" t="s">
        <v>31</v>
      </c>
      <c r="C280" s="9">
        <v>13368</v>
      </c>
      <c r="D280" s="26">
        <v>45748</v>
      </c>
      <c r="E280" s="26">
        <v>45777</v>
      </c>
      <c r="F280" s="40" t="s">
        <v>11</v>
      </c>
      <c r="G280" s="19">
        <v>0.01</v>
      </c>
      <c r="H280" s="77">
        <v>1.4999999999999999E-2</v>
      </c>
      <c r="I280" s="81" t="s">
        <v>32</v>
      </c>
      <c r="J280" s="3">
        <v>45764</v>
      </c>
      <c r="K280" s="18" t="s">
        <v>1383</v>
      </c>
      <c r="L280" s="22" t="s">
        <v>1070</v>
      </c>
    </row>
    <row r="281" spans="1:12">
      <c r="A281" s="37">
        <v>1077</v>
      </c>
      <c r="B281" s="21" t="s">
        <v>31</v>
      </c>
      <c r="C281" s="9">
        <v>9648</v>
      </c>
      <c r="D281" s="26">
        <v>45748</v>
      </c>
      <c r="E281" s="26">
        <v>45777</v>
      </c>
      <c r="F281" s="40" t="s">
        <v>11</v>
      </c>
      <c r="G281" s="19">
        <v>100</v>
      </c>
      <c r="H281" s="77">
        <v>0.01</v>
      </c>
      <c r="I281" s="81" t="s">
        <v>32</v>
      </c>
      <c r="J281" s="3">
        <v>45755</v>
      </c>
      <c r="K281" s="18" t="s">
        <v>153</v>
      </c>
      <c r="L281" s="22" t="s">
        <v>1390</v>
      </c>
    </row>
    <row r="282" spans="1:12">
      <c r="A282" s="37">
        <v>1078</v>
      </c>
      <c r="B282" s="21" t="s">
        <v>31</v>
      </c>
      <c r="C282" s="9">
        <v>8437</v>
      </c>
      <c r="D282" s="26">
        <v>45748</v>
      </c>
      <c r="E282" s="26">
        <v>45777</v>
      </c>
      <c r="F282" s="40" t="s">
        <v>11</v>
      </c>
      <c r="G282" s="19">
        <v>100</v>
      </c>
      <c r="H282" s="77">
        <v>0.01</v>
      </c>
      <c r="I282" s="81" t="s">
        <v>49</v>
      </c>
      <c r="J282" s="3">
        <v>45755</v>
      </c>
      <c r="K282" s="18" t="s">
        <v>153</v>
      </c>
      <c r="L282" s="22" t="s">
        <v>1390</v>
      </c>
    </row>
    <row r="283" spans="1:12">
      <c r="A283" s="37">
        <v>1079</v>
      </c>
      <c r="B283" s="21" t="s">
        <v>31</v>
      </c>
      <c r="C283" s="9">
        <v>10734</v>
      </c>
      <c r="D283" s="26">
        <v>45748</v>
      </c>
      <c r="E283" s="26">
        <v>45777</v>
      </c>
      <c r="F283" s="40" t="s">
        <v>11</v>
      </c>
      <c r="G283" s="19">
        <v>100</v>
      </c>
      <c r="H283" s="77">
        <v>0.01</v>
      </c>
      <c r="I283" s="81" t="s">
        <v>49</v>
      </c>
      <c r="J283" s="3">
        <v>45755</v>
      </c>
      <c r="K283" s="18" t="s">
        <v>153</v>
      </c>
      <c r="L283" s="22" t="s">
        <v>1390</v>
      </c>
    </row>
    <row r="284" spans="1:12">
      <c r="A284" s="37">
        <v>1080</v>
      </c>
      <c r="B284" s="21" t="s">
        <v>31</v>
      </c>
      <c r="C284" s="9">
        <v>14750</v>
      </c>
      <c r="D284" s="26">
        <v>45748</v>
      </c>
      <c r="E284" s="26">
        <v>45777</v>
      </c>
      <c r="F284" s="40" t="s">
        <v>11</v>
      </c>
      <c r="G284" s="19">
        <v>100</v>
      </c>
      <c r="H284" s="77">
        <v>0.01</v>
      </c>
      <c r="I284" s="81" t="s">
        <v>49</v>
      </c>
      <c r="J284" s="3">
        <v>45755</v>
      </c>
      <c r="K284" s="18" t="s">
        <v>153</v>
      </c>
      <c r="L284" s="22" t="s">
        <v>1390</v>
      </c>
    </row>
    <row r="285" spans="1:12">
      <c r="A285" s="37">
        <v>1081</v>
      </c>
      <c r="B285" s="21" t="s">
        <v>31</v>
      </c>
      <c r="C285" s="9">
        <v>7640</v>
      </c>
      <c r="D285" s="26">
        <v>45748</v>
      </c>
      <c r="E285" s="26">
        <v>45777</v>
      </c>
      <c r="F285" s="40" t="s">
        <v>11</v>
      </c>
      <c r="G285" s="19">
        <v>100</v>
      </c>
      <c r="H285" s="77">
        <v>0.01</v>
      </c>
      <c r="I285" s="81" t="s">
        <v>49</v>
      </c>
      <c r="J285" s="3">
        <v>45755</v>
      </c>
      <c r="K285" s="18" t="s">
        <v>153</v>
      </c>
      <c r="L285" s="22" t="s">
        <v>1390</v>
      </c>
    </row>
    <row r="286" spans="1:12">
      <c r="A286" s="37">
        <v>1082</v>
      </c>
      <c r="B286" s="21" t="s">
        <v>31</v>
      </c>
      <c r="C286" s="9">
        <v>16153</v>
      </c>
      <c r="D286" s="26">
        <v>45748</v>
      </c>
      <c r="E286" s="26">
        <v>45777</v>
      </c>
      <c r="F286" s="40" t="s">
        <v>11</v>
      </c>
      <c r="G286" s="19">
        <v>100</v>
      </c>
      <c r="H286" s="77">
        <v>0.01</v>
      </c>
      <c r="I286" s="81" t="s">
        <v>49</v>
      </c>
      <c r="J286" s="3">
        <v>45755</v>
      </c>
      <c r="K286" s="18" t="s">
        <v>153</v>
      </c>
      <c r="L286" s="22" t="s">
        <v>1390</v>
      </c>
    </row>
    <row r="287" spans="1:12">
      <c r="A287" s="37">
        <v>1083</v>
      </c>
      <c r="B287" s="21" t="s">
        <v>31</v>
      </c>
      <c r="C287" s="9">
        <v>14750</v>
      </c>
      <c r="D287" s="26">
        <v>45748</v>
      </c>
      <c r="E287" s="26">
        <v>45777</v>
      </c>
      <c r="F287" s="40" t="s">
        <v>11</v>
      </c>
      <c r="G287" s="19">
        <v>100</v>
      </c>
      <c r="H287" s="77">
        <v>0.03</v>
      </c>
      <c r="I287" s="81" t="s">
        <v>49</v>
      </c>
      <c r="J287" s="3">
        <v>45755</v>
      </c>
      <c r="K287" s="18" t="s">
        <v>153</v>
      </c>
      <c r="L287" s="22" t="s">
        <v>1430</v>
      </c>
    </row>
    <row r="288" spans="1:12">
      <c r="A288" s="37">
        <v>1084</v>
      </c>
      <c r="B288" s="21" t="s">
        <v>31</v>
      </c>
      <c r="C288" s="9">
        <v>16153</v>
      </c>
      <c r="D288" s="26">
        <v>45748</v>
      </c>
      <c r="E288" s="26">
        <v>45777</v>
      </c>
      <c r="F288" s="40" t="s">
        <v>11</v>
      </c>
      <c r="G288" s="19">
        <v>100</v>
      </c>
      <c r="H288" s="77">
        <v>1.4999999999999999E-2</v>
      </c>
      <c r="I288" s="81" t="s">
        <v>49</v>
      </c>
      <c r="J288" s="3">
        <v>45755</v>
      </c>
      <c r="K288" s="18" t="s">
        <v>153</v>
      </c>
      <c r="L288" s="22" t="s">
        <v>1430</v>
      </c>
    </row>
    <row r="289" spans="1:12">
      <c r="A289" s="37">
        <v>1085</v>
      </c>
      <c r="B289" s="21" t="s">
        <v>31</v>
      </c>
      <c r="C289" s="9">
        <v>16591</v>
      </c>
      <c r="D289" s="26">
        <v>45748</v>
      </c>
      <c r="E289" s="26">
        <v>45777</v>
      </c>
      <c r="F289" s="40" t="s">
        <v>11</v>
      </c>
      <c r="G289" s="19">
        <v>1000</v>
      </c>
      <c r="H289" s="77">
        <v>1.4999999999999999E-2</v>
      </c>
      <c r="I289" s="81" t="s">
        <v>49</v>
      </c>
      <c r="J289" s="3">
        <v>45763</v>
      </c>
      <c r="K289" s="18" t="s">
        <v>1391</v>
      </c>
      <c r="L289" s="22" t="s">
        <v>1392</v>
      </c>
    </row>
    <row r="290" spans="1:12" ht="30">
      <c r="A290" s="37">
        <v>1086</v>
      </c>
      <c r="B290" s="21" t="s">
        <v>31</v>
      </c>
      <c r="C290" s="9" t="s">
        <v>129</v>
      </c>
      <c r="D290" s="26">
        <v>45748</v>
      </c>
      <c r="E290" s="26">
        <v>45777</v>
      </c>
      <c r="F290" s="40" t="s">
        <v>11</v>
      </c>
      <c r="G290" s="19">
        <v>300000</v>
      </c>
      <c r="H290" s="77">
        <v>2E-3</v>
      </c>
      <c r="I290" s="81" t="s">
        <v>18</v>
      </c>
      <c r="J290" s="3">
        <v>45763</v>
      </c>
      <c r="K290" s="18" t="s">
        <v>1393</v>
      </c>
      <c r="L290" s="22" t="s">
        <v>1419</v>
      </c>
    </row>
    <row r="291" spans="1:12">
      <c r="A291" s="37">
        <v>1087</v>
      </c>
      <c r="B291" s="21" t="s">
        <v>31</v>
      </c>
      <c r="C291" s="9">
        <v>16854</v>
      </c>
      <c r="D291" s="26">
        <v>45748</v>
      </c>
      <c r="E291" s="26">
        <v>45777</v>
      </c>
      <c r="F291" s="40" t="s">
        <v>11</v>
      </c>
      <c r="G291" s="19">
        <v>0.01</v>
      </c>
      <c r="H291" s="77">
        <v>4.4999999999999997E-3</v>
      </c>
      <c r="I291" s="81" t="s">
        <v>19</v>
      </c>
      <c r="J291" s="3">
        <v>45764</v>
      </c>
      <c r="K291" s="18" t="s">
        <v>1396</v>
      </c>
      <c r="L291" s="22" t="s">
        <v>107</v>
      </c>
    </row>
    <row r="292" spans="1:12">
      <c r="A292" s="37">
        <v>1088</v>
      </c>
      <c r="B292" s="21" t="s">
        <v>31</v>
      </c>
      <c r="C292" s="9">
        <v>9248</v>
      </c>
      <c r="D292" s="26">
        <v>45748</v>
      </c>
      <c r="E292" s="26">
        <v>45777</v>
      </c>
      <c r="F292" s="40" t="s">
        <v>11</v>
      </c>
      <c r="G292" s="19">
        <v>0.01</v>
      </c>
      <c r="H292" s="77">
        <v>6.4999999999999997E-3</v>
      </c>
      <c r="I292" s="81" t="s">
        <v>19</v>
      </c>
      <c r="J292" s="3">
        <v>45764</v>
      </c>
      <c r="K292" s="18" t="s">
        <v>1397</v>
      </c>
      <c r="L292" s="22" t="s">
        <v>107</v>
      </c>
    </row>
    <row r="293" spans="1:12">
      <c r="A293" s="37">
        <v>1089</v>
      </c>
      <c r="B293" s="21" t="s">
        <v>31</v>
      </c>
      <c r="C293" s="9">
        <v>1212</v>
      </c>
      <c r="D293" s="26">
        <v>45764</v>
      </c>
      <c r="E293" s="26">
        <v>45777</v>
      </c>
      <c r="F293" s="40" t="s">
        <v>11</v>
      </c>
      <c r="G293" s="19">
        <v>499999.99</v>
      </c>
      <c r="H293" s="77">
        <v>2E-3</v>
      </c>
      <c r="I293" s="81" t="s">
        <v>20</v>
      </c>
      <c r="J293" s="3">
        <v>45764</v>
      </c>
      <c r="K293" s="18" t="s">
        <v>1398</v>
      </c>
      <c r="L293" s="22" t="s">
        <v>1399</v>
      </c>
    </row>
    <row r="294" spans="1:12">
      <c r="A294" s="37">
        <v>1090</v>
      </c>
      <c r="B294" s="21" t="s">
        <v>31</v>
      </c>
      <c r="C294" s="9">
        <v>1212</v>
      </c>
      <c r="D294" s="26">
        <v>45764</v>
      </c>
      <c r="E294" s="26">
        <v>45777</v>
      </c>
      <c r="F294" s="40" t="s">
        <v>11</v>
      </c>
      <c r="G294" s="19">
        <v>500000</v>
      </c>
      <c r="H294" s="77">
        <v>5.0000000000000001E-3</v>
      </c>
      <c r="I294" s="81" t="s">
        <v>17</v>
      </c>
      <c r="J294" s="3">
        <v>45764</v>
      </c>
      <c r="K294" s="18" t="s">
        <v>1398</v>
      </c>
      <c r="L294" s="22" t="s">
        <v>1399</v>
      </c>
    </row>
    <row r="295" spans="1:12">
      <c r="A295" s="37">
        <v>1091</v>
      </c>
      <c r="B295" s="21" t="s">
        <v>31</v>
      </c>
      <c r="C295" s="9">
        <v>5599</v>
      </c>
      <c r="D295" s="26">
        <v>45764</v>
      </c>
      <c r="E295" s="26">
        <v>45777</v>
      </c>
      <c r="F295" s="40" t="s">
        <v>11</v>
      </c>
      <c r="G295" s="19">
        <v>400000</v>
      </c>
      <c r="H295" s="77">
        <v>5.0000000000000001E-3</v>
      </c>
      <c r="I295" s="81" t="s">
        <v>17</v>
      </c>
      <c r="J295" s="3">
        <v>45764</v>
      </c>
      <c r="K295" s="18" t="s">
        <v>1400</v>
      </c>
      <c r="L295" s="22" t="s">
        <v>1401</v>
      </c>
    </row>
    <row r="296" spans="1:12">
      <c r="A296" s="37">
        <v>1092</v>
      </c>
      <c r="B296" s="21" t="s">
        <v>31</v>
      </c>
      <c r="C296" s="9">
        <v>17461</v>
      </c>
      <c r="D296" s="26">
        <v>45748</v>
      </c>
      <c r="E296" s="26">
        <v>45777</v>
      </c>
      <c r="F296" s="40" t="s">
        <v>11</v>
      </c>
      <c r="G296" s="19">
        <v>1000</v>
      </c>
      <c r="H296" s="77">
        <v>7.4999999999999997E-3</v>
      </c>
      <c r="I296" s="81" t="s">
        <v>17</v>
      </c>
      <c r="J296" s="3">
        <v>45769</v>
      </c>
      <c r="K296" s="18" t="s">
        <v>1402</v>
      </c>
      <c r="L296" s="22" t="s">
        <v>107</v>
      </c>
    </row>
    <row r="297" spans="1:12">
      <c r="A297" s="37">
        <v>1093</v>
      </c>
      <c r="B297" s="21" t="s">
        <v>31</v>
      </c>
      <c r="C297" s="9">
        <v>3444</v>
      </c>
      <c r="D297" s="26">
        <v>45748</v>
      </c>
      <c r="E297" s="26">
        <v>45777</v>
      </c>
      <c r="F297" s="40" t="s">
        <v>11</v>
      </c>
      <c r="G297" s="19">
        <v>10000</v>
      </c>
      <c r="H297" s="77">
        <v>5.0000000000000001E-3</v>
      </c>
      <c r="I297" s="81" t="s">
        <v>30</v>
      </c>
      <c r="J297" s="3"/>
      <c r="K297" s="18" t="s">
        <v>1420</v>
      </c>
      <c r="L297" s="22" t="s">
        <v>1060</v>
      </c>
    </row>
    <row r="298" spans="1:12">
      <c r="A298" s="37">
        <v>1094</v>
      </c>
      <c r="B298" s="21" t="s">
        <v>31</v>
      </c>
      <c r="C298" s="9">
        <v>3444</v>
      </c>
      <c r="D298" s="26">
        <v>45748</v>
      </c>
      <c r="E298" s="26">
        <v>45777</v>
      </c>
      <c r="F298" s="40" t="s">
        <v>11</v>
      </c>
      <c r="G298" s="19">
        <v>10000</v>
      </c>
      <c r="H298" s="77">
        <v>5.0000000000000001E-3</v>
      </c>
      <c r="I298" s="81" t="s">
        <v>29</v>
      </c>
      <c r="J298" s="3"/>
      <c r="K298" s="18" t="s">
        <v>1420</v>
      </c>
      <c r="L298" s="22" t="s">
        <v>1061</v>
      </c>
    </row>
    <row r="299" spans="1:12">
      <c r="A299" s="37">
        <v>1095</v>
      </c>
      <c r="B299" s="21" t="s">
        <v>31</v>
      </c>
      <c r="C299" s="9">
        <v>3444</v>
      </c>
      <c r="D299" s="26">
        <v>45748</v>
      </c>
      <c r="E299" s="26">
        <v>45777</v>
      </c>
      <c r="F299" s="40" t="s">
        <v>11</v>
      </c>
      <c r="G299" s="19">
        <v>10000</v>
      </c>
      <c r="H299" s="77">
        <v>3.0000000000000001E-3</v>
      </c>
      <c r="I299" s="81" t="s">
        <v>29</v>
      </c>
      <c r="J299" s="3"/>
      <c r="K299" s="18" t="s">
        <v>1420</v>
      </c>
      <c r="L299" s="22" t="s">
        <v>107</v>
      </c>
    </row>
    <row r="300" spans="1:12">
      <c r="A300" s="37">
        <v>1096</v>
      </c>
      <c r="B300" s="21" t="s">
        <v>31</v>
      </c>
      <c r="C300" s="9">
        <v>10487</v>
      </c>
      <c r="D300" s="26">
        <v>45748</v>
      </c>
      <c r="E300" s="26">
        <v>45777</v>
      </c>
      <c r="F300" s="40" t="s">
        <v>11</v>
      </c>
      <c r="G300" s="19">
        <v>10000</v>
      </c>
      <c r="H300" s="77">
        <v>5.0000000000000001E-3</v>
      </c>
      <c r="I300" s="81" t="s">
        <v>29</v>
      </c>
      <c r="J300" s="3"/>
      <c r="K300" s="18" t="s">
        <v>1420</v>
      </c>
      <c r="L300" s="22" t="s">
        <v>1063</v>
      </c>
    </row>
    <row r="301" spans="1:12">
      <c r="A301" s="37">
        <v>1097</v>
      </c>
      <c r="B301" s="21" t="s">
        <v>31</v>
      </c>
      <c r="C301" s="9">
        <v>12288</v>
      </c>
      <c r="D301" s="26">
        <v>45748</v>
      </c>
      <c r="E301" s="26">
        <v>45777</v>
      </c>
      <c r="F301" s="40" t="s">
        <v>11</v>
      </c>
      <c r="G301" s="19">
        <v>0.01</v>
      </c>
      <c r="H301" s="77">
        <v>1.7999999999999999E-2</v>
      </c>
      <c r="I301" s="81" t="s">
        <v>19</v>
      </c>
      <c r="J301" s="3">
        <v>45758</v>
      </c>
      <c r="K301" s="18" t="s">
        <v>1403</v>
      </c>
      <c r="L301" s="22" t="s">
        <v>969</v>
      </c>
    </row>
    <row r="302" spans="1:12">
      <c r="A302" s="37">
        <v>1098</v>
      </c>
      <c r="B302" s="21" t="s">
        <v>31</v>
      </c>
      <c r="C302" s="9">
        <v>12288</v>
      </c>
      <c r="D302" s="26">
        <v>45748</v>
      </c>
      <c r="E302" s="26">
        <v>45754</v>
      </c>
      <c r="F302" s="40" t="s">
        <v>11</v>
      </c>
      <c r="G302" s="19">
        <v>0.01</v>
      </c>
      <c r="H302" s="77">
        <v>0.01</v>
      </c>
      <c r="I302" s="81" t="s">
        <v>14</v>
      </c>
      <c r="J302" s="3">
        <v>45758</v>
      </c>
      <c r="K302" s="18" t="s">
        <v>1403</v>
      </c>
      <c r="L302" s="22" t="s">
        <v>711</v>
      </c>
    </row>
    <row r="303" spans="1:12">
      <c r="A303" s="37">
        <v>1099</v>
      </c>
      <c r="B303" s="21" t="s">
        <v>31</v>
      </c>
      <c r="C303" s="9">
        <v>12776</v>
      </c>
      <c r="D303" s="26">
        <v>45748</v>
      </c>
      <c r="E303" s="26">
        <v>45754</v>
      </c>
      <c r="F303" s="40" t="s">
        <v>11</v>
      </c>
      <c r="G303" s="19">
        <v>0.01</v>
      </c>
      <c r="H303" s="77">
        <v>0.01</v>
      </c>
      <c r="I303" s="81" t="s">
        <v>14</v>
      </c>
      <c r="J303" s="3">
        <v>45758</v>
      </c>
      <c r="K303" s="18" t="s">
        <v>1403</v>
      </c>
      <c r="L303" s="22" t="s">
        <v>711</v>
      </c>
    </row>
    <row r="304" spans="1:12">
      <c r="A304" s="37">
        <v>1100</v>
      </c>
      <c r="B304" s="21" t="s">
        <v>31</v>
      </c>
      <c r="C304" s="9">
        <v>12932</v>
      </c>
      <c r="D304" s="26">
        <v>45748</v>
      </c>
      <c r="E304" s="26">
        <v>45777</v>
      </c>
      <c r="F304" s="40" t="s">
        <v>11</v>
      </c>
      <c r="G304" s="19">
        <v>0.01</v>
      </c>
      <c r="H304" s="77">
        <v>3.5000000000000003E-2</v>
      </c>
      <c r="I304" s="81" t="s">
        <v>14</v>
      </c>
      <c r="J304" s="3">
        <v>45758</v>
      </c>
      <c r="K304" s="18" t="s">
        <v>1403</v>
      </c>
      <c r="L304" s="22" t="s">
        <v>1404</v>
      </c>
    </row>
    <row r="305" spans="1:12">
      <c r="A305" s="37">
        <v>1101</v>
      </c>
      <c r="B305" s="21" t="s">
        <v>31</v>
      </c>
      <c r="C305" s="9">
        <v>12932</v>
      </c>
      <c r="D305" s="26">
        <v>45748</v>
      </c>
      <c r="E305" s="26">
        <v>45754</v>
      </c>
      <c r="F305" s="40" t="s">
        <v>11</v>
      </c>
      <c r="G305" s="19">
        <v>0.01</v>
      </c>
      <c r="H305" s="77">
        <v>0.01</v>
      </c>
      <c r="I305" s="81" t="s">
        <v>14</v>
      </c>
      <c r="J305" s="3">
        <v>45758</v>
      </c>
      <c r="K305" s="18" t="s">
        <v>1403</v>
      </c>
      <c r="L305" s="22" t="s">
        <v>711</v>
      </c>
    </row>
    <row r="306" spans="1:12">
      <c r="A306" s="37">
        <v>1102</v>
      </c>
      <c r="B306" s="21" t="s">
        <v>31</v>
      </c>
      <c r="C306" s="9">
        <v>16794</v>
      </c>
      <c r="D306" s="26">
        <v>45748</v>
      </c>
      <c r="E306" s="26">
        <v>45754</v>
      </c>
      <c r="F306" s="40" t="s">
        <v>11</v>
      </c>
      <c r="G306" s="19">
        <v>0.01</v>
      </c>
      <c r="H306" s="77">
        <v>5.0000000000000001E-3</v>
      </c>
      <c r="I306" s="81" t="s">
        <v>14</v>
      </c>
      <c r="J306" s="3">
        <v>45758</v>
      </c>
      <c r="K306" s="18" t="s">
        <v>1403</v>
      </c>
      <c r="L306" s="22" t="s">
        <v>711</v>
      </c>
    </row>
    <row r="307" spans="1:12">
      <c r="A307" s="37">
        <v>1103</v>
      </c>
      <c r="B307" s="21" t="s">
        <v>31</v>
      </c>
      <c r="C307" s="9">
        <v>7150</v>
      </c>
      <c r="D307" s="26">
        <v>45748</v>
      </c>
      <c r="E307" s="26">
        <v>45754</v>
      </c>
      <c r="F307" s="40" t="s">
        <v>11</v>
      </c>
      <c r="G307" s="19">
        <v>0.01</v>
      </c>
      <c r="H307" s="77">
        <v>5.0000000000000001E-3</v>
      </c>
      <c r="I307" s="81" t="s">
        <v>14</v>
      </c>
      <c r="J307" s="3">
        <v>45758</v>
      </c>
      <c r="K307" s="18" t="s">
        <v>1403</v>
      </c>
      <c r="L307" s="22" t="s">
        <v>711</v>
      </c>
    </row>
    <row r="308" spans="1:12">
      <c r="A308" s="37">
        <v>1104</v>
      </c>
      <c r="B308" s="21" t="s">
        <v>31</v>
      </c>
      <c r="C308" s="9">
        <v>7300</v>
      </c>
      <c r="D308" s="26">
        <v>45748</v>
      </c>
      <c r="E308" s="26">
        <v>45754</v>
      </c>
      <c r="F308" s="40" t="s">
        <v>11</v>
      </c>
      <c r="G308" s="19">
        <v>0.01</v>
      </c>
      <c r="H308" s="77">
        <v>5.0000000000000001E-3</v>
      </c>
      <c r="I308" s="81" t="s">
        <v>14</v>
      </c>
      <c r="J308" s="3">
        <v>45758</v>
      </c>
      <c r="K308" s="18" t="s">
        <v>1403</v>
      </c>
      <c r="L308" s="22" t="s">
        <v>711</v>
      </c>
    </row>
    <row r="309" spans="1:12">
      <c r="A309" s="37">
        <v>1105</v>
      </c>
      <c r="B309" s="21" t="s">
        <v>31</v>
      </c>
      <c r="C309" s="9">
        <v>7523</v>
      </c>
      <c r="D309" s="26">
        <v>45748</v>
      </c>
      <c r="E309" s="26">
        <v>45754</v>
      </c>
      <c r="F309" s="40" t="s">
        <v>11</v>
      </c>
      <c r="G309" s="19">
        <v>0.01</v>
      </c>
      <c r="H309" s="77">
        <v>0.01</v>
      </c>
      <c r="I309" s="81" t="s">
        <v>14</v>
      </c>
      <c r="J309" s="3">
        <v>45758</v>
      </c>
      <c r="K309" s="18" t="s">
        <v>1403</v>
      </c>
      <c r="L309" s="22" t="s">
        <v>711</v>
      </c>
    </row>
    <row r="310" spans="1:12">
      <c r="A310" s="37">
        <v>1106</v>
      </c>
      <c r="B310" s="21" t="s">
        <v>31</v>
      </c>
      <c r="C310" s="9">
        <v>8571</v>
      </c>
      <c r="D310" s="26">
        <v>45748</v>
      </c>
      <c r="E310" s="26">
        <v>45754</v>
      </c>
      <c r="F310" s="40" t="s">
        <v>11</v>
      </c>
      <c r="G310" s="19">
        <v>0.01</v>
      </c>
      <c r="H310" s="77">
        <v>5.0000000000000001E-3</v>
      </c>
      <c r="I310" s="81" t="s">
        <v>14</v>
      </c>
      <c r="J310" s="3">
        <v>45758</v>
      </c>
      <c r="K310" s="18" t="s">
        <v>1403</v>
      </c>
      <c r="L310" s="22" t="s">
        <v>711</v>
      </c>
    </row>
    <row r="311" spans="1:12">
      <c r="A311" s="37">
        <v>1107</v>
      </c>
      <c r="B311" s="21" t="s">
        <v>31</v>
      </c>
      <c r="C311" s="9">
        <v>10815</v>
      </c>
      <c r="D311" s="26">
        <v>45748</v>
      </c>
      <c r="E311" s="26">
        <v>45777</v>
      </c>
      <c r="F311" s="40" t="s">
        <v>11</v>
      </c>
      <c r="G311" s="19">
        <v>0.01</v>
      </c>
      <c r="H311" s="77">
        <v>5.0000000000000001E-3</v>
      </c>
      <c r="I311" s="81" t="s">
        <v>14</v>
      </c>
      <c r="J311" s="3">
        <v>45758</v>
      </c>
      <c r="K311" s="18" t="s">
        <v>1403</v>
      </c>
      <c r="L311" s="22" t="s">
        <v>1405</v>
      </c>
    </row>
    <row r="312" spans="1:12">
      <c r="A312" s="37">
        <v>1108</v>
      </c>
      <c r="B312" s="21" t="s">
        <v>31</v>
      </c>
      <c r="C312" s="9">
        <v>10815</v>
      </c>
      <c r="D312" s="26">
        <v>45748</v>
      </c>
      <c r="E312" s="26">
        <v>45754</v>
      </c>
      <c r="F312" s="40" t="s">
        <v>11</v>
      </c>
      <c r="G312" s="19">
        <v>0.01</v>
      </c>
      <c r="H312" s="77">
        <v>3.0000000000000001E-3</v>
      </c>
      <c r="I312" s="81" t="s">
        <v>14</v>
      </c>
      <c r="J312" s="3">
        <v>45758</v>
      </c>
      <c r="K312" s="18" t="s">
        <v>1403</v>
      </c>
      <c r="L312" s="22" t="s">
        <v>711</v>
      </c>
    </row>
    <row r="313" spans="1:12">
      <c r="A313" s="37">
        <v>1109</v>
      </c>
      <c r="B313" s="21" t="s">
        <v>31</v>
      </c>
      <c r="C313" s="9" t="s">
        <v>188</v>
      </c>
      <c r="D313" s="26">
        <v>45748</v>
      </c>
      <c r="E313" s="26">
        <v>45777</v>
      </c>
      <c r="F313" s="40" t="s">
        <v>11</v>
      </c>
      <c r="G313" s="19">
        <v>200000</v>
      </c>
      <c r="H313" s="77">
        <v>5.0000000000000001E-3</v>
      </c>
      <c r="I313" s="81" t="s">
        <v>14</v>
      </c>
      <c r="J313" s="3">
        <v>45762</v>
      </c>
      <c r="K313" s="18" t="s">
        <v>1415</v>
      </c>
      <c r="L313" s="22" t="s">
        <v>1416</v>
      </c>
    </row>
    <row r="314" spans="1:12">
      <c r="A314" s="37">
        <v>1110</v>
      </c>
      <c r="B314" s="21" t="s">
        <v>31</v>
      </c>
      <c r="C314" s="9" t="s">
        <v>188</v>
      </c>
      <c r="D314" s="26">
        <v>45748</v>
      </c>
      <c r="E314" s="26">
        <v>45777</v>
      </c>
      <c r="F314" s="40" t="s">
        <v>11</v>
      </c>
      <c r="G314" s="19">
        <v>200000</v>
      </c>
      <c r="H314" s="77">
        <v>5.0000000000000001E-3</v>
      </c>
      <c r="I314" s="81" t="s">
        <v>17</v>
      </c>
      <c r="J314" s="3">
        <v>45762</v>
      </c>
      <c r="K314" s="18" t="s">
        <v>1415</v>
      </c>
      <c r="L314" s="22" t="s">
        <v>1417</v>
      </c>
    </row>
    <row r="315" spans="1:12">
      <c r="A315" s="37">
        <v>1111</v>
      </c>
      <c r="B315" s="21" t="s">
        <v>31</v>
      </c>
      <c r="C315" s="9" t="s">
        <v>188</v>
      </c>
      <c r="D315" s="26">
        <v>45748</v>
      </c>
      <c r="E315" s="26">
        <v>45777</v>
      </c>
      <c r="F315" s="40" t="s">
        <v>11</v>
      </c>
      <c r="G315" s="19">
        <v>150000</v>
      </c>
      <c r="H315" s="77">
        <v>2.5000000000000001E-3</v>
      </c>
      <c r="I315" s="81" t="s">
        <v>17</v>
      </c>
      <c r="J315" s="3">
        <v>45762</v>
      </c>
      <c r="K315" s="18" t="s">
        <v>1415</v>
      </c>
      <c r="L315" s="22" t="s">
        <v>1418</v>
      </c>
    </row>
    <row r="316" spans="1:12">
      <c r="A316" s="37">
        <v>1112</v>
      </c>
      <c r="B316" s="21" t="s">
        <v>31</v>
      </c>
      <c r="C316" s="9">
        <v>15515</v>
      </c>
      <c r="D316" s="26">
        <v>45748</v>
      </c>
      <c r="E316" s="26">
        <v>45777</v>
      </c>
      <c r="F316" s="40" t="s">
        <v>11</v>
      </c>
      <c r="G316" s="19">
        <v>100000</v>
      </c>
      <c r="H316" s="77">
        <v>2.5000000000000001E-3</v>
      </c>
      <c r="I316" s="81" t="s">
        <v>17</v>
      </c>
      <c r="J316" s="3">
        <v>45758</v>
      </c>
      <c r="K316" s="18" t="s">
        <v>1406</v>
      </c>
      <c r="L316" s="22" t="s">
        <v>127</v>
      </c>
    </row>
    <row r="317" spans="1:12">
      <c r="A317" s="37">
        <v>1113</v>
      </c>
      <c r="B317" s="21" t="s">
        <v>31</v>
      </c>
      <c r="C317" s="9">
        <v>16403</v>
      </c>
      <c r="D317" s="26">
        <v>45748</v>
      </c>
      <c r="E317" s="26">
        <v>45777</v>
      </c>
      <c r="F317" s="40" t="s">
        <v>11</v>
      </c>
      <c r="G317" s="19">
        <v>150000</v>
      </c>
      <c r="H317" s="77">
        <v>2.5000000000000001E-3</v>
      </c>
      <c r="I317" s="81" t="s">
        <v>12</v>
      </c>
      <c r="J317" s="3">
        <v>45763</v>
      </c>
      <c r="K317" s="18" t="s">
        <v>1407</v>
      </c>
      <c r="L317" s="22" t="s">
        <v>1408</v>
      </c>
    </row>
    <row r="318" spans="1:12">
      <c r="A318" s="37">
        <v>1114</v>
      </c>
      <c r="B318" s="21" t="s">
        <v>31</v>
      </c>
      <c r="C318" s="9">
        <v>16403</v>
      </c>
      <c r="D318" s="26">
        <v>45748</v>
      </c>
      <c r="E318" s="26">
        <v>45777</v>
      </c>
      <c r="F318" s="40" t="s">
        <v>11</v>
      </c>
      <c r="G318" s="19">
        <v>100000</v>
      </c>
      <c r="H318" s="77">
        <v>3.0000000000000001E-3</v>
      </c>
      <c r="I318" s="81" t="s">
        <v>17</v>
      </c>
      <c r="J318" s="3">
        <v>45763</v>
      </c>
      <c r="K318" s="18" t="s">
        <v>1407</v>
      </c>
      <c r="L318" s="22" t="s">
        <v>1409</v>
      </c>
    </row>
    <row r="319" spans="1:12">
      <c r="A319" s="37">
        <v>1115</v>
      </c>
      <c r="B319" s="21" t="s">
        <v>31</v>
      </c>
      <c r="C319" s="9">
        <v>17375</v>
      </c>
      <c r="D319" s="26">
        <v>45748</v>
      </c>
      <c r="E319" s="26">
        <v>45777</v>
      </c>
      <c r="F319" s="40" t="s">
        <v>11</v>
      </c>
      <c r="G319" s="19">
        <v>40000</v>
      </c>
      <c r="H319" s="77">
        <v>5.0000000000000001E-3</v>
      </c>
      <c r="I319" s="81" t="s">
        <v>17</v>
      </c>
      <c r="J319" s="3">
        <v>45763</v>
      </c>
      <c r="K319" s="18" t="s">
        <v>1407</v>
      </c>
      <c r="L319" s="22" t="s">
        <v>1410</v>
      </c>
    </row>
    <row r="320" spans="1:12">
      <c r="A320" s="37">
        <v>1116</v>
      </c>
      <c r="B320" s="21" t="s">
        <v>31</v>
      </c>
      <c r="C320" s="9">
        <v>7117</v>
      </c>
      <c r="D320" s="26">
        <v>45762</v>
      </c>
      <c r="E320" s="26">
        <v>45777</v>
      </c>
      <c r="F320" s="40" t="s">
        <v>11</v>
      </c>
      <c r="G320" s="19">
        <v>70000</v>
      </c>
      <c r="H320" s="77">
        <v>5.0000000000000001E-3</v>
      </c>
      <c r="I320" s="81" t="s">
        <v>17</v>
      </c>
      <c r="J320" s="3">
        <v>45769</v>
      </c>
      <c r="K320" s="18" t="s">
        <v>1411</v>
      </c>
      <c r="L320" s="22" t="s">
        <v>1372</v>
      </c>
    </row>
    <row r="321" spans="1:12">
      <c r="A321" s="37">
        <v>1117</v>
      </c>
      <c r="B321" s="21" t="s">
        <v>31</v>
      </c>
      <c r="C321" s="9">
        <v>12340</v>
      </c>
      <c r="D321" s="26">
        <v>45748</v>
      </c>
      <c r="E321" s="26">
        <v>45777</v>
      </c>
      <c r="F321" s="40" t="s">
        <v>11</v>
      </c>
      <c r="G321" s="19" t="s">
        <v>1304</v>
      </c>
      <c r="H321" s="77" t="s">
        <v>1412</v>
      </c>
      <c r="I321" s="81" t="s">
        <v>18</v>
      </c>
      <c r="J321" s="3">
        <v>45763</v>
      </c>
      <c r="K321" s="18" t="s">
        <v>204</v>
      </c>
      <c r="L321" s="22" t="s">
        <v>1447</v>
      </c>
    </row>
    <row r="322" spans="1:12">
      <c r="A322" s="37">
        <v>1118</v>
      </c>
      <c r="B322" s="21" t="s">
        <v>31</v>
      </c>
      <c r="C322" s="9" t="s">
        <v>190</v>
      </c>
      <c r="D322" s="26">
        <v>45748</v>
      </c>
      <c r="E322" s="26">
        <v>45777</v>
      </c>
      <c r="F322" s="40" t="s">
        <v>11</v>
      </c>
      <c r="G322" s="19" t="s">
        <v>1304</v>
      </c>
      <c r="H322" s="77" t="s">
        <v>1412</v>
      </c>
      <c r="I322" s="81" t="s">
        <v>17</v>
      </c>
      <c r="J322" s="3">
        <v>45762</v>
      </c>
      <c r="K322" s="18" t="s">
        <v>1414</v>
      </c>
      <c r="L322" s="22" t="s">
        <v>1480</v>
      </c>
    </row>
    <row r="323" spans="1:12">
      <c r="A323" s="37">
        <v>1119</v>
      </c>
      <c r="B323" s="21" t="s">
        <v>31</v>
      </c>
      <c r="C323" s="9">
        <v>5713</v>
      </c>
      <c r="D323" s="26">
        <v>45764</v>
      </c>
      <c r="E323" s="26">
        <v>45777</v>
      </c>
      <c r="F323" s="40" t="s">
        <v>11</v>
      </c>
      <c r="G323" s="19">
        <v>100000</v>
      </c>
      <c r="H323" s="77">
        <v>2E-3</v>
      </c>
      <c r="I323" s="81" t="s">
        <v>17</v>
      </c>
      <c r="J323" s="3">
        <v>45769</v>
      </c>
      <c r="K323" s="18" t="s">
        <v>1432</v>
      </c>
      <c r="L323" s="22" t="s">
        <v>1433</v>
      </c>
    </row>
    <row r="324" spans="1:12">
      <c r="A324" s="37">
        <v>1121</v>
      </c>
      <c r="B324" s="21" t="s">
        <v>31</v>
      </c>
      <c r="C324" s="9">
        <v>12279</v>
      </c>
      <c r="D324" s="26">
        <v>45764</v>
      </c>
      <c r="E324" s="26">
        <v>45777</v>
      </c>
      <c r="F324" s="40" t="s">
        <v>11</v>
      </c>
      <c r="G324" s="19">
        <v>100000</v>
      </c>
      <c r="H324" s="77">
        <v>2E-3</v>
      </c>
      <c r="I324" s="81" t="s">
        <v>12</v>
      </c>
      <c r="J324" s="3">
        <v>45769</v>
      </c>
      <c r="K324" s="18" t="s">
        <v>1434</v>
      </c>
      <c r="L324" s="22" t="s">
        <v>1433</v>
      </c>
    </row>
    <row r="325" spans="1:12">
      <c r="A325" s="37">
        <v>1123</v>
      </c>
      <c r="B325" s="21" t="s">
        <v>31</v>
      </c>
      <c r="C325" s="9">
        <v>11937</v>
      </c>
      <c r="D325" s="26">
        <v>45748</v>
      </c>
      <c r="E325" s="26">
        <v>45777</v>
      </c>
      <c r="F325" s="40" t="s">
        <v>11</v>
      </c>
      <c r="G325" s="19">
        <v>0.01</v>
      </c>
      <c r="H325" s="77">
        <v>2E-3</v>
      </c>
      <c r="I325" s="81" t="s">
        <v>12</v>
      </c>
      <c r="J325" s="3">
        <v>45769</v>
      </c>
      <c r="K325" s="18" t="s">
        <v>1435</v>
      </c>
      <c r="L325" s="22" t="s">
        <v>1084</v>
      </c>
    </row>
    <row r="326" spans="1:12">
      <c r="A326" s="37">
        <v>1125</v>
      </c>
      <c r="B326" s="21" t="s">
        <v>31</v>
      </c>
      <c r="C326" s="9">
        <v>12021</v>
      </c>
      <c r="D326" s="26">
        <v>45748</v>
      </c>
      <c r="E326" s="26">
        <v>45777</v>
      </c>
      <c r="F326" s="40" t="s">
        <v>11</v>
      </c>
      <c r="G326" s="19">
        <v>0.01</v>
      </c>
      <c r="H326" s="77">
        <v>2E-3</v>
      </c>
      <c r="I326" s="81" t="s">
        <v>46</v>
      </c>
      <c r="J326" s="3">
        <v>45769</v>
      </c>
      <c r="K326" s="18" t="s">
        <v>1435</v>
      </c>
      <c r="L326" s="22" t="s">
        <v>1084</v>
      </c>
    </row>
    <row r="327" spans="1:12">
      <c r="A327" s="37">
        <v>1127</v>
      </c>
      <c r="B327" s="21" t="s">
        <v>31</v>
      </c>
      <c r="C327" s="9">
        <v>11937</v>
      </c>
      <c r="D327" s="26">
        <v>45748</v>
      </c>
      <c r="E327" s="26">
        <v>45777</v>
      </c>
      <c r="F327" s="40" t="s">
        <v>11</v>
      </c>
      <c r="G327" s="19">
        <v>0.01</v>
      </c>
      <c r="H327" s="77">
        <v>5.0000000000000001E-3</v>
      </c>
      <c r="I327" s="81" t="s">
        <v>46</v>
      </c>
      <c r="J327" s="3">
        <v>45769</v>
      </c>
      <c r="K327" s="18" t="s">
        <v>1435</v>
      </c>
      <c r="L327" s="22" t="s">
        <v>132</v>
      </c>
    </row>
    <row r="328" spans="1:12">
      <c r="A328" s="37">
        <v>1129</v>
      </c>
      <c r="B328" s="21" t="s">
        <v>31</v>
      </c>
      <c r="C328" s="9">
        <v>12021</v>
      </c>
      <c r="D328" s="26">
        <v>45748</v>
      </c>
      <c r="E328" s="26">
        <v>45777</v>
      </c>
      <c r="F328" s="40" t="s">
        <v>11</v>
      </c>
      <c r="G328" s="19">
        <v>0.01</v>
      </c>
      <c r="H328" s="77">
        <v>5.0000000000000001E-3</v>
      </c>
      <c r="I328" s="81" t="s">
        <v>46</v>
      </c>
      <c r="J328" s="3">
        <v>45769</v>
      </c>
      <c r="K328" s="18" t="s">
        <v>1435</v>
      </c>
      <c r="L328" s="22" t="s">
        <v>132</v>
      </c>
    </row>
    <row r="329" spans="1:12">
      <c r="A329" s="37">
        <v>1131</v>
      </c>
      <c r="B329" s="21" t="s">
        <v>31</v>
      </c>
      <c r="C329" s="9">
        <v>13929</v>
      </c>
      <c r="D329" s="26">
        <v>45748</v>
      </c>
      <c r="E329" s="26">
        <v>45777</v>
      </c>
      <c r="F329" s="40" t="s">
        <v>11</v>
      </c>
      <c r="G329" s="19">
        <v>150000</v>
      </c>
      <c r="H329" s="77">
        <v>3.5000000000000001E-3</v>
      </c>
      <c r="I329" s="81" t="s">
        <v>46</v>
      </c>
      <c r="J329" s="3">
        <v>45769</v>
      </c>
      <c r="K329" s="18" t="s">
        <v>1436</v>
      </c>
      <c r="L329" s="22" t="s">
        <v>990</v>
      </c>
    </row>
    <row r="330" spans="1:12" ht="30">
      <c r="A330" s="37">
        <v>1132</v>
      </c>
      <c r="B330" s="21" t="s">
        <v>31</v>
      </c>
      <c r="C330" s="9">
        <v>7545</v>
      </c>
      <c r="D330" s="26">
        <v>45748</v>
      </c>
      <c r="E330" s="26">
        <v>45777</v>
      </c>
      <c r="F330" s="40" t="s">
        <v>11</v>
      </c>
      <c r="G330" s="19">
        <v>1</v>
      </c>
      <c r="H330" s="77" t="s">
        <v>1452</v>
      </c>
      <c r="I330" s="81" t="s">
        <v>20</v>
      </c>
      <c r="J330" s="3">
        <v>45769</v>
      </c>
      <c r="K330" s="18" t="s">
        <v>1437</v>
      </c>
      <c r="L330" s="22" t="s">
        <v>1438</v>
      </c>
    </row>
    <row r="331" spans="1:12">
      <c r="A331" s="37">
        <v>1133</v>
      </c>
      <c r="B331" s="21" t="s">
        <v>31</v>
      </c>
      <c r="C331" s="9">
        <v>15980</v>
      </c>
      <c r="D331" s="26">
        <v>45748</v>
      </c>
      <c r="E331" s="26">
        <v>45777</v>
      </c>
      <c r="F331" s="40" t="s">
        <v>11</v>
      </c>
      <c r="G331" s="19">
        <v>1</v>
      </c>
      <c r="H331" s="77">
        <v>7.4999999999999997E-3</v>
      </c>
      <c r="I331" s="81" t="s">
        <v>50</v>
      </c>
      <c r="J331" s="3">
        <v>45769</v>
      </c>
      <c r="K331" s="18" t="s">
        <v>1439</v>
      </c>
      <c r="L331" s="22" t="s">
        <v>107</v>
      </c>
    </row>
    <row r="332" spans="1:12">
      <c r="A332" s="37">
        <v>1134</v>
      </c>
      <c r="B332" s="21" t="s">
        <v>31</v>
      </c>
      <c r="C332" s="9">
        <v>15366</v>
      </c>
      <c r="D332" s="26">
        <v>45769</v>
      </c>
      <c r="E332" s="26">
        <v>45777</v>
      </c>
      <c r="F332" s="40" t="s">
        <v>11</v>
      </c>
      <c r="G332" s="19">
        <v>0.01</v>
      </c>
      <c r="H332" s="77">
        <v>2.2000000000000001E-3</v>
      </c>
      <c r="I332" s="81" t="s">
        <v>20</v>
      </c>
      <c r="J332" s="3">
        <v>45769</v>
      </c>
      <c r="K332" s="18" t="s">
        <v>121</v>
      </c>
      <c r="L332" s="22" t="s">
        <v>1440</v>
      </c>
    </row>
    <row r="333" spans="1:12" ht="60">
      <c r="A333" s="37">
        <v>1135</v>
      </c>
      <c r="B333" s="21" t="s">
        <v>31</v>
      </c>
      <c r="C333" s="9">
        <v>13113</v>
      </c>
      <c r="D333" s="26">
        <v>45748</v>
      </c>
      <c r="E333" s="26">
        <v>45777</v>
      </c>
      <c r="F333" s="40" t="s">
        <v>11</v>
      </c>
      <c r="G333" s="19">
        <v>0.01</v>
      </c>
      <c r="H333" s="77">
        <v>5.0000000000000001E-3</v>
      </c>
      <c r="I333" s="81" t="s">
        <v>14</v>
      </c>
      <c r="J333" s="3">
        <v>45769</v>
      </c>
      <c r="K333" s="18" t="s">
        <v>1441</v>
      </c>
      <c r="L333" s="22" t="s">
        <v>1448</v>
      </c>
    </row>
    <row r="334" spans="1:12">
      <c r="A334" s="37">
        <v>1136</v>
      </c>
      <c r="B334" s="21" t="s">
        <v>31</v>
      </c>
      <c r="C334" s="9">
        <v>13113</v>
      </c>
      <c r="D334" s="26">
        <v>45748</v>
      </c>
      <c r="E334" s="26">
        <v>45777</v>
      </c>
      <c r="F334" s="40" t="s">
        <v>11</v>
      </c>
      <c r="G334" s="19">
        <v>0.01</v>
      </c>
      <c r="H334" s="77">
        <v>0.01</v>
      </c>
      <c r="I334" s="81" t="s">
        <v>34</v>
      </c>
      <c r="J334" s="3">
        <v>45769</v>
      </c>
      <c r="K334" s="18" t="s">
        <v>1441</v>
      </c>
      <c r="L334" s="22" t="s">
        <v>1070</v>
      </c>
    </row>
    <row r="335" spans="1:12">
      <c r="A335" s="37">
        <v>1137</v>
      </c>
      <c r="B335" s="21" t="s">
        <v>31</v>
      </c>
      <c r="C335" s="9">
        <v>17010</v>
      </c>
      <c r="D335" s="26">
        <v>45748</v>
      </c>
      <c r="E335" s="26">
        <v>45777</v>
      </c>
      <c r="F335" s="40" t="s">
        <v>11</v>
      </c>
      <c r="G335" s="19">
        <v>150000</v>
      </c>
      <c r="H335" s="77">
        <v>3.0000000000000001E-3</v>
      </c>
      <c r="I335" s="81" t="s">
        <v>34</v>
      </c>
      <c r="J335" s="3">
        <v>45769</v>
      </c>
      <c r="K335" s="18" t="s">
        <v>1442</v>
      </c>
      <c r="L335" s="22" t="s">
        <v>107</v>
      </c>
    </row>
    <row r="336" spans="1:12">
      <c r="A336" s="37">
        <v>1138</v>
      </c>
      <c r="B336" s="21" t="s">
        <v>31</v>
      </c>
      <c r="C336" s="9">
        <v>16977</v>
      </c>
      <c r="D336" s="26">
        <v>45761</v>
      </c>
      <c r="E336" s="26">
        <v>45777</v>
      </c>
      <c r="F336" s="40" t="s">
        <v>11</v>
      </c>
      <c r="G336" s="19">
        <v>0.01</v>
      </c>
      <c r="H336" s="77">
        <v>3.5000000000000003E-2</v>
      </c>
      <c r="I336" s="81" t="s">
        <v>34</v>
      </c>
      <c r="J336" s="3">
        <v>45771</v>
      </c>
      <c r="K336" s="18" t="s">
        <v>1456</v>
      </c>
      <c r="L336" s="22" t="s">
        <v>1457</v>
      </c>
    </row>
    <row r="337" spans="1:12">
      <c r="A337" s="37">
        <v>1139</v>
      </c>
      <c r="B337" s="21" t="s">
        <v>31</v>
      </c>
      <c r="C337" s="9">
        <v>10465</v>
      </c>
      <c r="D337" s="26">
        <v>45762</v>
      </c>
      <c r="E337" s="26">
        <v>45777</v>
      </c>
      <c r="F337" s="40" t="s">
        <v>11</v>
      </c>
      <c r="G337" s="19">
        <v>50000</v>
      </c>
      <c r="H337" s="77">
        <v>2E-3</v>
      </c>
      <c r="I337" s="81" t="s">
        <v>168</v>
      </c>
      <c r="J337" s="3">
        <v>45771</v>
      </c>
      <c r="K337" s="18" t="s">
        <v>1458</v>
      </c>
      <c r="L337" s="22" t="s">
        <v>1459</v>
      </c>
    </row>
    <row r="338" spans="1:12">
      <c r="A338" s="37">
        <v>1140</v>
      </c>
      <c r="B338" s="21" t="s">
        <v>31</v>
      </c>
      <c r="C338" s="9">
        <v>7809</v>
      </c>
      <c r="D338" s="26">
        <v>45762</v>
      </c>
      <c r="E338" s="26">
        <v>45777</v>
      </c>
      <c r="F338" s="40" t="s">
        <v>11</v>
      </c>
      <c r="G338" s="19">
        <v>70000</v>
      </c>
      <c r="H338" s="77">
        <v>5.0000000000000001E-3</v>
      </c>
      <c r="I338" s="81" t="s">
        <v>18</v>
      </c>
      <c r="J338" s="3">
        <v>45771</v>
      </c>
      <c r="K338" s="18" t="s">
        <v>1458</v>
      </c>
      <c r="L338" s="22" t="s">
        <v>1459</v>
      </c>
    </row>
    <row r="339" spans="1:12">
      <c r="A339" s="37">
        <v>1141</v>
      </c>
      <c r="B339" s="21" t="s">
        <v>31</v>
      </c>
      <c r="C339" s="9">
        <v>7060</v>
      </c>
      <c r="D339" s="26">
        <v>45762</v>
      </c>
      <c r="E339" s="26">
        <v>45777</v>
      </c>
      <c r="F339" s="40" t="s">
        <v>11</v>
      </c>
      <c r="G339" s="19">
        <v>50000</v>
      </c>
      <c r="H339" s="77">
        <v>3.0000000000000001E-3</v>
      </c>
      <c r="I339" s="81" t="s">
        <v>18</v>
      </c>
      <c r="J339" s="3">
        <v>45771</v>
      </c>
      <c r="K339" s="18" t="s">
        <v>1458</v>
      </c>
      <c r="L339" s="22" t="s">
        <v>1459</v>
      </c>
    </row>
    <row r="340" spans="1:12">
      <c r="A340" s="37">
        <v>1142</v>
      </c>
      <c r="B340" s="21" t="s">
        <v>31</v>
      </c>
      <c r="C340" s="9">
        <v>17340</v>
      </c>
      <c r="D340" s="26">
        <v>45748</v>
      </c>
      <c r="E340" s="26">
        <v>45777</v>
      </c>
      <c r="F340" s="40" t="s">
        <v>11</v>
      </c>
      <c r="G340" s="19">
        <v>1000</v>
      </c>
      <c r="H340" s="77">
        <v>5.0000000000000001E-3</v>
      </c>
      <c r="I340" s="81" t="s">
        <v>18</v>
      </c>
      <c r="J340" s="3">
        <v>45772</v>
      </c>
      <c r="K340" s="18" t="s">
        <v>1462</v>
      </c>
      <c r="L340" s="22" t="s">
        <v>1096</v>
      </c>
    </row>
    <row r="341" spans="1:12">
      <c r="A341" s="37">
        <v>1143</v>
      </c>
      <c r="B341" s="21" t="s">
        <v>31</v>
      </c>
      <c r="C341" s="9">
        <v>17340</v>
      </c>
      <c r="D341" s="26">
        <v>45748</v>
      </c>
      <c r="E341" s="26">
        <v>45777</v>
      </c>
      <c r="F341" s="40" t="s">
        <v>11</v>
      </c>
      <c r="G341" s="19">
        <v>1000</v>
      </c>
      <c r="H341" s="77">
        <v>1.4999999999999999E-2</v>
      </c>
      <c r="I341" s="81" t="s">
        <v>19</v>
      </c>
      <c r="J341" s="3">
        <v>45772</v>
      </c>
      <c r="K341" s="18" t="s">
        <v>1462</v>
      </c>
      <c r="L341" s="22" t="s">
        <v>1460</v>
      </c>
    </row>
    <row r="342" spans="1:12">
      <c r="A342" s="37">
        <v>1144</v>
      </c>
      <c r="B342" s="21" t="s">
        <v>31</v>
      </c>
      <c r="C342" s="9">
        <v>17340</v>
      </c>
      <c r="D342" s="26">
        <v>45748</v>
      </c>
      <c r="E342" s="26">
        <v>45777</v>
      </c>
      <c r="F342" s="40" t="s">
        <v>11</v>
      </c>
      <c r="G342" s="19">
        <v>1000</v>
      </c>
      <c r="H342" s="77">
        <v>0.01</v>
      </c>
      <c r="I342" s="81" t="s">
        <v>19</v>
      </c>
      <c r="J342" s="3">
        <v>45772</v>
      </c>
      <c r="K342" s="18" t="s">
        <v>1462</v>
      </c>
      <c r="L342" s="22" t="s">
        <v>1461</v>
      </c>
    </row>
    <row r="343" spans="1:12">
      <c r="A343" s="37">
        <v>1145</v>
      </c>
      <c r="B343" s="21" t="s">
        <v>31</v>
      </c>
      <c r="C343" s="9">
        <v>4353</v>
      </c>
      <c r="D343" s="26">
        <v>45748</v>
      </c>
      <c r="E343" s="26">
        <v>45777</v>
      </c>
      <c r="F343" s="40" t="s">
        <v>11</v>
      </c>
      <c r="G343" s="19">
        <v>1000</v>
      </c>
      <c r="H343" s="77">
        <v>5.0000000000000001E-3</v>
      </c>
      <c r="I343" s="81" t="s">
        <v>19</v>
      </c>
      <c r="J343" s="3">
        <v>45772</v>
      </c>
      <c r="K343" s="18" t="s">
        <v>1468</v>
      </c>
      <c r="L343" s="22" t="s">
        <v>1467</v>
      </c>
    </row>
    <row r="344" spans="1:12">
      <c r="A344" s="37">
        <v>1146</v>
      </c>
      <c r="B344" s="21" t="s">
        <v>31</v>
      </c>
      <c r="C344" s="9">
        <v>15503</v>
      </c>
      <c r="D344" s="26">
        <v>45772</v>
      </c>
      <c r="E344" s="26">
        <v>45777</v>
      </c>
      <c r="F344" s="40" t="s">
        <v>11</v>
      </c>
      <c r="G344" s="19">
        <v>0.01</v>
      </c>
      <c r="H344" s="77">
        <v>7.4999999999999997E-3</v>
      </c>
      <c r="I344" s="81" t="s">
        <v>25</v>
      </c>
      <c r="J344" s="3">
        <v>45772</v>
      </c>
      <c r="K344" s="18" t="s">
        <v>1470</v>
      </c>
      <c r="L344" s="22" t="s">
        <v>1493</v>
      </c>
    </row>
    <row r="345" spans="1:12">
      <c r="A345" s="37">
        <v>1147</v>
      </c>
      <c r="B345" s="21" t="s">
        <v>31</v>
      </c>
      <c r="C345" s="9">
        <v>15087</v>
      </c>
      <c r="D345" s="26">
        <v>45772</v>
      </c>
      <c r="E345" s="26">
        <v>45777</v>
      </c>
      <c r="F345" s="40" t="s">
        <v>11</v>
      </c>
      <c r="G345" s="19">
        <v>30000</v>
      </c>
      <c r="H345" s="77">
        <v>2.5000000000000001E-3</v>
      </c>
      <c r="I345" s="81" t="s">
        <v>32</v>
      </c>
      <c r="J345" s="3">
        <v>45775</v>
      </c>
      <c r="K345" s="18" t="s">
        <v>1472</v>
      </c>
      <c r="L345" s="22" t="s">
        <v>1473</v>
      </c>
    </row>
    <row r="346" spans="1:12">
      <c r="A346" s="37">
        <v>1148</v>
      </c>
      <c r="B346" s="21" t="s">
        <v>31</v>
      </c>
      <c r="C346" s="9">
        <v>1577</v>
      </c>
      <c r="D346" s="26">
        <v>45762</v>
      </c>
      <c r="E346" s="26">
        <v>45777</v>
      </c>
      <c r="F346" s="40" t="s">
        <v>11</v>
      </c>
      <c r="G346" s="19">
        <v>100</v>
      </c>
      <c r="H346" s="77">
        <v>3.0000000000000001E-3</v>
      </c>
      <c r="I346" s="81" t="s">
        <v>48</v>
      </c>
      <c r="J346" s="3">
        <v>45775</v>
      </c>
      <c r="K346" s="18" t="s">
        <v>1477</v>
      </c>
      <c r="L346" s="22" t="s">
        <v>1476</v>
      </c>
    </row>
    <row r="347" spans="1:12">
      <c r="A347" s="37">
        <v>1149</v>
      </c>
      <c r="B347" s="21" t="s">
        <v>31</v>
      </c>
      <c r="C347" s="9">
        <v>16710</v>
      </c>
      <c r="D347" s="26">
        <v>45775</v>
      </c>
      <c r="E347" s="26">
        <v>45777</v>
      </c>
      <c r="F347" s="40" t="s">
        <v>11</v>
      </c>
      <c r="G347" s="19">
        <v>1000</v>
      </c>
      <c r="H347" s="77">
        <v>5.0000000000000001E-3</v>
      </c>
      <c r="I347" s="81" t="s">
        <v>18</v>
      </c>
      <c r="J347" s="3">
        <v>45776</v>
      </c>
      <c r="K347" s="18" t="s">
        <v>1478</v>
      </c>
      <c r="L347" s="22" t="s">
        <v>1479</v>
      </c>
    </row>
    <row r="348" spans="1:12">
      <c r="A348" s="37">
        <v>1150</v>
      </c>
      <c r="B348" s="21" t="s">
        <v>31</v>
      </c>
      <c r="C348" s="9">
        <v>14722</v>
      </c>
      <c r="D348" s="26">
        <v>45754</v>
      </c>
      <c r="E348" s="26">
        <v>45777</v>
      </c>
      <c r="F348" s="40" t="s">
        <v>11</v>
      </c>
      <c r="G348" s="19">
        <v>10000</v>
      </c>
      <c r="H348" s="77">
        <v>2.5999999999999999E-3</v>
      </c>
      <c r="I348" s="81" t="s">
        <v>53</v>
      </c>
      <c r="J348" s="3">
        <v>45777</v>
      </c>
      <c r="K348" s="18" t="s">
        <v>1481</v>
      </c>
      <c r="L348" s="22" t="s">
        <v>1482</v>
      </c>
    </row>
    <row r="349" spans="1:12">
      <c r="A349" s="37">
        <v>1151</v>
      </c>
      <c r="B349" s="21" t="s">
        <v>31</v>
      </c>
      <c r="C349" s="9">
        <v>7337</v>
      </c>
      <c r="D349" s="26">
        <v>45748</v>
      </c>
      <c r="E349" s="26">
        <v>45777</v>
      </c>
      <c r="F349" s="40" t="s">
        <v>11</v>
      </c>
      <c r="G349" s="19">
        <v>0.01</v>
      </c>
      <c r="H349" s="77">
        <v>5.0000000000000001E-3</v>
      </c>
      <c r="I349" s="81" t="s">
        <v>25</v>
      </c>
      <c r="J349" s="3">
        <v>45777</v>
      </c>
      <c r="K349" s="18" t="s">
        <v>1483</v>
      </c>
      <c r="L349" s="22" t="s">
        <v>1488</v>
      </c>
    </row>
    <row r="350" spans="1:12">
      <c r="A350" s="37">
        <v>1152</v>
      </c>
      <c r="B350" s="21" t="s">
        <v>31</v>
      </c>
      <c r="C350" s="9">
        <v>15244</v>
      </c>
      <c r="D350" s="26">
        <v>45748</v>
      </c>
      <c r="E350" s="26">
        <v>45777</v>
      </c>
      <c r="F350" s="40" t="s">
        <v>11</v>
      </c>
      <c r="G350" s="19">
        <v>1000</v>
      </c>
      <c r="H350" s="77">
        <v>2.5000000000000001E-3</v>
      </c>
      <c r="I350" s="81" t="s">
        <v>12</v>
      </c>
      <c r="J350" s="3">
        <v>45779</v>
      </c>
      <c r="K350" s="18" t="s">
        <v>1491</v>
      </c>
      <c r="L350" s="22" t="s">
        <v>1490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23EE-8154-4D8E-8933-E682F5DDEEDB}">
  <dimension ref="A1:U328"/>
  <sheetViews>
    <sheetView workbookViewId="0">
      <selection activeCell="F21" sqref="F21"/>
    </sheetView>
  </sheetViews>
  <sheetFormatPr defaultRowHeight="15"/>
  <cols>
    <col min="1" max="1" width="4" bestFit="1" customWidth="1"/>
    <col min="2" max="2" width="13.42578125" bestFit="1" customWidth="1"/>
    <col min="3" max="3" width="27.140625" bestFit="1" customWidth="1"/>
    <col min="4" max="5" width="10.7109375" bestFit="1" customWidth="1"/>
    <col min="6" max="6" width="22.5703125" bestFit="1" customWidth="1"/>
    <col min="7" max="7" width="14.42578125" bestFit="1" customWidth="1"/>
    <col min="8" max="8" width="18.7109375" bestFit="1" customWidth="1"/>
    <col min="9" max="9" width="27.42578125" bestFit="1" customWidth="1"/>
    <col min="10" max="10" width="21" bestFit="1" customWidth="1"/>
    <col min="11" max="11" width="123.28515625" bestFit="1" customWidth="1"/>
    <col min="12" max="12" width="150.710937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231</v>
      </c>
      <c r="B2" s="52" t="s">
        <v>568</v>
      </c>
      <c r="C2" s="53" t="s">
        <v>754</v>
      </c>
      <c r="D2" s="54">
        <v>45689</v>
      </c>
      <c r="E2" s="54">
        <v>45747</v>
      </c>
      <c r="F2" s="59" t="s">
        <v>11</v>
      </c>
      <c r="G2" s="55">
        <v>1300000</v>
      </c>
      <c r="H2" s="56">
        <v>1E-3</v>
      </c>
      <c r="I2" s="53" t="s">
        <v>29</v>
      </c>
      <c r="J2" s="54">
        <v>45700</v>
      </c>
      <c r="K2" s="57" t="s">
        <v>566</v>
      </c>
      <c r="L2" s="58" t="s">
        <v>753</v>
      </c>
    </row>
    <row r="3" spans="1:21">
      <c r="A3" s="37">
        <v>467</v>
      </c>
      <c r="B3" s="21" t="s">
        <v>28</v>
      </c>
      <c r="C3" s="7" t="s">
        <v>985</v>
      </c>
      <c r="D3" s="26">
        <v>45717</v>
      </c>
      <c r="E3" s="26">
        <v>45747</v>
      </c>
      <c r="F3" s="6" t="s">
        <v>11</v>
      </c>
      <c r="G3" s="25">
        <v>0.01</v>
      </c>
      <c r="H3" s="72">
        <v>1E-3</v>
      </c>
      <c r="I3" s="66" t="s">
        <v>29</v>
      </c>
      <c r="J3" s="4">
        <v>45580</v>
      </c>
      <c r="K3" s="18" t="s">
        <v>191</v>
      </c>
      <c r="L3" s="73" t="s">
        <v>193</v>
      </c>
    </row>
    <row r="4" spans="1:21">
      <c r="A4" s="37">
        <v>468</v>
      </c>
      <c r="B4" s="21" t="s">
        <v>28</v>
      </c>
      <c r="C4" s="7" t="s">
        <v>286</v>
      </c>
      <c r="D4" s="26">
        <v>45717</v>
      </c>
      <c r="E4" s="26">
        <v>45747</v>
      </c>
      <c r="F4" s="6" t="s">
        <v>11</v>
      </c>
      <c r="G4" s="25">
        <v>800000</v>
      </c>
      <c r="H4" s="72">
        <v>1E-3</v>
      </c>
      <c r="I4" s="66" t="s">
        <v>17</v>
      </c>
      <c r="J4" s="4">
        <v>45666</v>
      </c>
      <c r="K4" s="18" t="s">
        <v>189</v>
      </c>
      <c r="L4" s="73" t="s">
        <v>675</v>
      </c>
    </row>
    <row r="5" spans="1:21">
      <c r="A5" s="37">
        <v>469</v>
      </c>
      <c r="B5" s="21" t="s">
        <v>28</v>
      </c>
      <c r="C5" s="9">
        <v>4629</v>
      </c>
      <c r="D5" s="26">
        <v>45686</v>
      </c>
      <c r="E5" s="26">
        <v>45691</v>
      </c>
      <c r="F5" s="40" t="s">
        <v>197</v>
      </c>
      <c r="G5" s="25">
        <v>0.01</v>
      </c>
      <c r="H5" s="72">
        <v>5.0000000000000001E-3</v>
      </c>
      <c r="I5" s="66" t="s">
        <v>46</v>
      </c>
      <c r="J5" s="4">
        <v>45688</v>
      </c>
      <c r="K5" s="18" t="s">
        <v>676</v>
      </c>
      <c r="L5" s="22" t="s">
        <v>677</v>
      </c>
    </row>
    <row r="6" spans="1:21">
      <c r="A6" s="37">
        <v>470</v>
      </c>
      <c r="B6" s="21" t="s">
        <v>28</v>
      </c>
      <c r="C6" s="9">
        <v>11652</v>
      </c>
      <c r="D6" s="26">
        <v>45686</v>
      </c>
      <c r="E6" s="26">
        <v>45691</v>
      </c>
      <c r="F6" s="40" t="s">
        <v>197</v>
      </c>
      <c r="G6" s="25">
        <v>0.01</v>
      </c>
      <c r="H6" s="72">
        <v>5.0000000000000001E-3</v>
      </c>
      <c r="I6" s="66" t="s">
        <v>46</v>
      </c>
      <c r="J6" s="4">
        <v>45688</v>
      </c>
      <c r="K6" s="18" t="s">
        <v>676</v>
      </c>
      <c r="L6" s="22" t="s">
        <v>677</v>
      </c>
    </row>
    <row r="7" spans="1:21">
      <c r="A7" s="37">
        <v>471</v>
      </c>
      <c r="B7" s="21" t="s">
        <v>28</v>
      </c>
      <c r="C7" s="9">
        <v>12340</v>
      </c>
      <c r="D7" s="26">
        <v>45717</v>
      </c>
      <c r="E7" s="26">
        <v>45747</v>
      </c>
      <c r="F7" s="40" t="s">
        <v>11</v>
      </c>
      <c r="G7" s="25">
        <v>300000</v>
      </c>
      <c r="H7" s="72">
        <v>1E-3</v>
      </c>
      <c r="I7" s="66" t="s">
        <v>17</v>
      </c>
      <c r="J7" s="4">
        <v>45705</v>
      </c>
      <c r="K7" s="18" t="s">
        <v>204</v>
      </c>
      <c r="L7" s="22" t="s">
        <v>1006</v>
      </c>
    </row>
    <row r="8" spans="1:21">
      <c r="A8" s="37">
        <v>472</v>
      </c>
      <c r="B8" s="21" t="s">
        <v>28</v>
      </c>
      <c r="C8" s="9">
        <v>12340</v>
      </c>
      <c r="D8" s="26">
        <v>45717</v>
      </c>
      <c r="E8" s="26">
        <v>45747</v>
      </c>
      <c r="F8" s="40" t="s">
        <v>11</v>
      </c>
      <c r="G8" s="25">
        <v>500000</v>
      </c>
      <c r="H8" s="72">
        <v>2E-3</v>
      </c>
      <c r="I8" s="66" t="s">
        <v>17</v>
      </c>
      <c r="J8" s="4">
        <v>45705</v>
      </c>
      <c r="K8" s="18" t="s">
        <v>204</v>
      </c>
      <c r="L8" s="22" t="s">
        <v>1006</v>
      </c>
    </row>
    <row r="9" spans="1:21">
      <c r="A9" s="37">
        <v>473</v>
      </c>
      <c r="B9" s="21" t="s">
        <v>28</v>
      </c>
      <c r="C9" s="9">
        <v>16905</v>
      </c>
      <c r="D9" s="26">
        <v>45717</v>
      </c>
      <c r="E9" s="26">
        <v>45747</v>
      </c>
      <c r="F9" s="40" t="s">
        <v>11</v>
      </c>
      <c r="G9" s="25">
        <v>100000</v>
      </c>
      <c r="H9" s="72">
        <v>5.0000000000000001E-3</v>
      </c>
      <c r="I9" s="66" t="s">
        <v>13</v>
      </c>
      <c r="J9" s="4">
        <v>45707</v>
      </c>
      <c r="K9" s="18" t="s">
        <v>720</v>
      </c>
      <c r="L9" s="22" t="s">
        <v>107</v>
      </c>
    </row>
    <row r="10" spans="1:21">
      <c r="A10" s="37">
        <v>474</v>
      </c>
      <c r="B10" s="21" t="s">
        <v>28</v>
      </c>
      <c r="C10" s="9">
        <v>16516</v>
      </c>
      <c r="D10" s="26">
        <v>45717</v>
      </c>
      <c r="E10" s="26">
        <v>45747</v>
      </c>
      <c r="F10" s="40" t="s">
        <v>11</v>
      </c>
      <c r="G10" s="25">
        <v>50000</v>
      </c>
      <c r="H10" s="72">
        <v>3.0000000000000001E-3</v>
      </c>
      <c r="I10" s="66" t="s">
        <v>13</v>
      </c>
      <c r="J10" s="4">
        <v>45709</v>
      </c>
      <c r="K10" s="18" t="s">
        <v>738</v>
      </c>
      <c r="L10" s="22" t="s">
        <v>107</v>
      </c>
    </row>
    <row r="11" spans="1:21">
      <c r="A11" s="37">
        <v>475</v>
      </c>
      <c r="B11" s="21" t="s">
        <v>28</v>
      </c>
      <c r="C11" s="9">
        <v>12805</v>
      </c>
      <c r="D11" s="26">
        <v>45717</v>
      </c>
      <c r="E11" s="26">
        <v>45747</v>
      </c>
      <c r="F11" s="40" t="s">
        <v>11</v>
      </c>
      <c r="G11" s="25">
        <v>200000</v>
      </c>
      <c r="H11" s="72">
        <v>2E-3</v>
      </c>
      <c r="I11" s="66" t="s">
        <v>19</v>
      </c>
      <c r="J11" s="4">
        <v>45713</v>
      </c>
      <c r="K11" s="18" t="s">
        <v>768</v>
      </c>
      <c r="L11" s="22" t="s">
        <v>107</v>
      </c>
    </row>
    <row r="12" spans="1:21">
      <c r="A12" s="37">
        <v>476</v>
      </c>
      <c r="B12" s="21" t="s">
        <v>28</v>
      </c>
      <c r="C12" s="9">
        <v>6340</v>
      </c>
      <c r="D12" s="26">
        <v>45708</v>
      </c>
      <c r="E12" s="26">
        <v>45746</v>
      </c>
      <c r="F12" s="40" t="s">
        <v>11</v>
      </c>
      <c r="G12" s="25">
        <v>200000</v>
      </c>
      <c r="H12" s="72">
        <v>2.5000000000000001E-3</v>
      </c>
      <c r="I12" s="66" t="s">
        <v>13</v>
      </c>
      <c r="J12" s="4">
        <v>45714</v>
      </c>
      <c r="K12" s="18" t="s">
        <v>769</v>
      </c>
      <c r="L12" s="22" t="s">
        <v>107</v>
      </c>
    </row>
    <row r="13" spans="1:21">
      <c r="A13" s="37">
        <v>477</v>
      </c>
      <c r="B13" s="21" t="s">
        <v>28</v>
      </c>
      <c r="C13" s="9">
        <v>6340</v>
      </c>
      <c r="D13" s="26">
        <v>45708</v>
      </c>
      <c r="E13" s="26">
        <v>45746</v>
      </c>
      <c r="F13" s="40" t="s">
        <v>11</v>
      </c>
      <c r="G13" s="25">
        <v>300000</v>
      </c>
      <c r="H13" s="72">
        <v>3.0000000000000001E-3</v>
      </c>
      <c r="I13" s="66" t="s">
        <v>13</v>
      </c>
      <c r="J13" s="4">
        <v>45714</v>
      </c>
      <c r="K13" s="18" t="s">
        <v>769</v>
      </c>
      <c r="L13" s="22" t="s">
        <v>107</v>
      </c>
    </row>
    <row r="14" spans="1:21">
      <c r="A14" s="37">
        <v>478</v>
      </c>
      <c r="B14" s="21" t="s">
        <v>28</v>
      </c>
      <c r="C14" s="9">
        <v>15557</v>
      </c>
      <c r="D14" s="26">
        <v>45715</v>
      </c>
      <c r="E14" s="26">
        <v>45743</v>
      </c>
      <c r="F14" s="40" t="s">
        <v>11</v>
      </c>
      <c r="G14" s="25">
        <v>0.01</v>
      </c>
      <c r="H14" s="72">
        <v>5.0000000000000001E-3</v>
      </c>
      <c r="I14" s="66" t="s">
        <v>19</v>
      </c>
      <c r="J14" s="4">
        <v>45715</v>
      </c>
      <c r="K14" s="18" t="s">
        <v>770</v>
      </c>
      <c r="L14" s="22" t="s">
        <v>128</v>
      </c>
    </row>
    <row r="15" spans="1:21">
      <c r="A15" s="37">
        <v>479</v>
      </c>
      <c r="B15" s="21" t="s">
        <v>28</v>
      </c>
      <c r="C15" s="9">
        <v>16958</v>
      </c>
      <c r="D15" s="26">
        <v>45717</v>
      </c>
      <c r="E15" s="26">
        <v>45747</v>
      </c>
      <c r="F15" s="40" t="s">
        <v>11</v>
      </c>
      <c r="G15" s="25">
        <v>0.01</v>
      </c>
      <c r="H15" s="72">
        <v>7.4999999999999997E-3</v>
      </c>
      <c r="I15" s="66" t="s">
        <v>12</v>
      </c>
      <c r="J15" s="4">
        <v>45716</v>
      </c>
      <c r="K15" s="18" t="s">
        <v>771</v>
      </c>
      <c r="L15" s="22" t="s">
        <v>107</v>
      </c>
    </row>
    <row r="16" spans="1:21">
      <c r="A16" s="37">
        <v>480</v>
      </c>
      <c r="B16" s="21" t="s">
        <v>28</v>
      </c>
      <c r="C16" s="9">
        <v>8835</v>
      </c>
      <c r="D16" s="26">
        <v>45717</v>
      </c>
      <c r="E16" s="26">
        <v>45747</v>
      </c>
      <c r="F16" s="40" t="s">
        <v>11</v>
      </c>
      <c r="G16" s="25">
        <v>0.01</v>
      </c>
      <c r="H16" s="72" t="s">
        <v>774</v>
      </c>
      <c r="I16" s="66" t="s">
        <v>20</v>
      </c>
      <c r="J16" s="4">
        <v>45716</v>
      </c>
      <c r="K16" s="18" t="s">
        <v>772</v>
      </c>
      <c r="L16" s="22" t="s">
        <v>773</v>
      </c>
    </row>
    <row r="17" spans="1:12" ht="45">
      <c r="A17" s="37">
        <v>481</v>
      </c>
      <c r="B17" s="21" t="s">
        <v>28</v>
      </c>
      <c r="C17" s="9">
        <v>16844</v>
      </c>
      <c r="D17" s="26">
        <v>45717</v>
      </c>
      <c r="E17" s="26">
        <v>45747</v>
      </c>
      <c r="F17" s="40" t="s">
        <v>11</v>
      </c>
      <c r="G17" s="25">
        <v>0.01</v>
      </c>
      <c r="H17" s="72">
        <v>5.0000000000000001E-3</v>
      </c>
      <c r="I17" s="66" t="s">
        <v>13</v>
      </c>
      <c r="J17" s="4">
        <v>45716</v>
      </c>
      <c r="K17" s="18" t="s">
        <v>775</v>
      </c>
      <c r="L17" s="22" t="s">
        <v>776</v>
      </c>
    </row>
    <row r="18" spans="1:12" ht="45">
      <c r="A18" s="37">
        <v>482</v>
      </c>
      <c r="B18" s="21" t="s">
        <v>28</v>
      </c>
      <c r="C18" s="9">
        <v>16726</v>
      </c>
      <c r="D18" s="26">
        <v>45717</v>
      </c>
      <c r="E18" s="26">
        <v>45747</v>
      </c>
      <c r="F18" s="40" t="s">
        <v>11</v>
      </c>
      <c r="G18" s="25">
        <v>0.01</v>
      </c>
      <c r="H18" s="72">
        <v>5.0000000000000001E-3</v>
      </c>
      <c r="I18" s="66" t="s">
        <v>13</v>
      </c>
      <c r="J18" s="4">
        <v>45716</v>
      </c>
      <c r="K18" s="18" t="s">
        <v>777</v>
      </c>
      <c r="L18" s="22" t="s">
        <v>776</v>
      </c>
    </row>
    <row r="19" spans="1:12">
      <c r="A19" s="37">
        <v>483</v>
      </c>
      <c r="B19" s="21" t="s">
        <v>28</v>
      </c>
      <c r="C19" s="9">
        <v>17026</v>
      </c>
      <c r="D19" s="26">
        <v>45717</v>
      </c>
      <c r="E19" s="26">
        <v>45747</v>
      </c>
      <c r="F19" s="40" t="s">
        <v>11</v>
      </c>
      <c r="G19" s="25">
        <v>200000</v>
      </c>
      <c r="H19" s="72">
        <v>5.0000000000000001E-3</v>
      </c>
      <c r="I19" s="66" t="s">
        <v>13</v>
      </c>
      <c r="J19" s="4">
        <v>45716</v>
      </c>
      <c r="K19" s="18" t="s">
        <v>778</v>
      </c>
      <c r="L19" s="22" t="s">
        <v>107</v>
      </c>
    </row>
    <row r="20" spans="1:12">
      <c r="A20" s="37">
        <v>484</v>
      </c>
      <c r="B20" s="21" t="s">
        <v>28</v>
      </c>
      <c r="C20" s="9">
        <v>17026</v>
      </c>
      <c r="D20" s="26">
        <v>45717</v>
      </c>
      <c r="E20" s="26">
        <v>45747</v>
      </c>
      <c r="F20" s="40" t="s">
        <v>11</v>
      </c>
      <c r="G20" s="25">
        <v>100000</v>
      </c>
      <c r="H20" s="72">
        <v>3.0000000000000001E-3</v>
      </c>
      <c r="I20" s="66" t="s">
        <v>13</v>
      </c>
      <c r="J20" s="4">
        <v>45716</v>
      </c>
      <c r="K20" s="18" t="s">
        <v>778</v>
      </c>
      <c r="L20" s="22" t="s">
        <v>107</v>
      </c>
    </row>
    <row r="21" spans="1:12">
      <c r="A21" s="37">
        <v>485</v>
      </c>
      <c r="B21" s="21" t="s">
        <v>28</v>
      </c>
      <c r="C21" s="9">
        <v>15292</v>
      </c>
      <c r="D21" s="26">
        <v>45717</v>
      </c>
      <c r="E21" s="26">
        <v>45747</v>
      </c>
      <c r="F21" s="40" t="s">
        <v>11</v>
      </c>
      <c r="G21" s="25">
        <v>10000</v>
      </c>
      <c r="H21" s="72">
        <v>3.0000000000000001E-3</v>
      </c>
      <c r="I21" s="66" t="s">
        <v>95</v>
      </c>
      <c r="J21" s="4">
        <v>45721</v>
      </c>
      <c r="K21" s="18" t="s">
        <v>779</v>
      </c>
      <c r="L21" s="22" t="s">
        <v>989</v>
      </c>
    </row>
    <row r="22" spans="1:12">
      <c r="A22" s="37">
        <v>486</v>
      </c>
      <c r="B22" s="21" t="s">
        <v>28</v>
      </c>
      <c r="C22" s="9" t="s">
        <v>781</v>
      </c>
      <c r="D22" s="26">
        <v>45717</v>
      </c>
      <c r="E22" s="26">
        <v>45747</v>
      </c>
      <c r="F22" s="40" t="s">
        <v>11</v>
      </c>
      <c r="G22" s="25">
        <v>50000</v>
      </c>
      <c r="H22" s="72">
        <v>0.01</v>
      </c>
      <c r="I22" s="66" t="s">
        <v>13</v>
      </c>
      <c r="J22" s="4">
        <v>45716</v>
      </c>
      <c r="K22" s="18" t="s">
        <v>780</v>
      </c>
      <c r="L22" s="22" t="s">
        <v>782</v>
      </c>
    </row>
    <row r="23" spans="1:12">
      <c r="A23" s="37">
        <v>487</v>
      </c>
      <c r="B23" s="21" t="s">
        <v>28</v>
      </c>
      <c r="C23" s="9">
        <v>16995</v>
      </c>
      <c r="D23" s="26">
        <v>45717</v>
      </c>
      <c r="E23" s="26">
        <v>45747</v>
      </c>
      <c r="F23" s="40" t="s">
        <v>11</v>
      </c>
      <c r="G23" s="25">
        <v>400000</v>
      </c>
      <c r="H23" s="72">
        <v>5.0000000000000001E-3</v>
      </c>
      <c r="I23" s="66" t="s">
        <v>13</v>
      </c>
      <c r="J23" s="4">
        <v>45716</v>
      </c>
      <c r="K23" s="18" t="s">
        <v>783</v>
      </c>
      <c r="L23" s="22" t="s">
        <v>107</v>
      </c>
    </row>
    <row r="24" spans="1:12">
      <c r="A24" s="37">
        <v>488</v>
      </c>
      <c r="B24" s="21" t="s">
        <v>28</v>
      </c>
      <c r="C24" s="9">
        <v>16995</v>
      </c>
      <c r="D24" s="26">
        <v>45717</v>
      </c>
      <c r="E24" s="26">
        <v>45747</v>
      </c>
      <c r="F24" s="40" t="s">
        <v>11</v>
      </c>
      <c r="G24" s="25">
        <v>300000</v>
      </c>
      <c r="H24" s="72">
        <v>3.0000000000000001E-3</v>
      </c>
      <c r="I24" s="66" t="s">
        <v>13</v>
      </c>
      <c r="J24" s="4">
        <v>45716</v>
      </c>
      <c r="K24" s="18" t="s">
        <v>783</v>
      </c>
      <c r="L24" s="22" t="s">
        <v>107</v>
      </c>
    </row>
    <row r="25" spans="1:12">
      <c r="A25" s="37">
        <v>489</v>
      </c>
      <c r="B25" s="21" t="s">
        <v>28</v>
      </c>
      <c r="C25" s="9">
        <v>16995</v>
      </c>
      <c r="D25" s="26">
        <v>45717</v>
      </c>
      <c r="E25" s="26">
        <v>45747</v>
      </c>
      <c r="F25" s="40" t="s">
        <v>11</v>
      </c>
      <c r="G25" s="25">
        <v>200000</v>
      </c>
      <c r="H25" s="72">
        <v>1E-3</v>
      </c>
      <c r="I25" s="66" t="s">
        <v>13</v>
      </c>
      <c r="J25" s="4">
        <v>45716</v>
      </c>
      <c r="K25" s="18" t="s">
        <v>783</v>
      </c>
      <c r="L25" s="22" t="s">
        <v>107</v>
      </c>
    </row>
    <row r="26" spans="1:12">
      <c r="A26" s="37">
        <v>490</v>
      </c>
      <c r="B26" s="21" t="s">
        <v>28</v>
      </c>
      <c r="C26" s="9">
        <v>7274</v>
      </c>
      <c r="D26" s="26">
        <v>45717</v>
      </c>
      <c r="E26" s="26">
        <v>45747</v>
      </c>
      <c r="F26" s="40" t="s">
        <v>11</v>
      </c>
      <c r="G26" s="25">
        <v>0.01</v>
      </c>
      <c r="H26" s="72">
        <v>7.4999999999999997E-3</v>
      </c>
      <c r="I26" s="66" t="s">
        <v>30</v>
      </c>
      <c r="J26" s="4">
        <v>45713</v>
      </c>
      <c r="K26" s="18" t="s">
        <v>784</v>
      </c>
      <c r="L26" s="22" t="s">
        <v>128</v>
      </c>
    </row>
    <row r="27" spans="1:12">
      <c r="A27" s="37">
        <v>491</v>
      </c>
      <c r="B27" s="21" t="s">
        <v>28</v>
      </c>
      <c r="C27" s="9">
        <v>10293</v>
      </c>
      <c r="D27" s="26">
        <v>45717</v>
      </c>
      <c r="E27" s="26">
        <v>45747</v>
      </c>
      <c r="F27" s="40" t="s">
        <v>11</v>
      </c>
      <c r="G27" s="25">
        <v>1000</v>
      </c>
      <c r="H27" s="72">
        <v>5.0000000000000001E-3</v>
      </c>
      <c r="I27" s="66" t="s">
        <v>27</v>
      </c>
      <c r="J27" s="4">
        <v>45713</v>
      </c>
      <c r="K27" s="18" t="s">
        <v>794</v>
      </c>
      <c r="L27" s="22" t="s">
        <v>795</v>
      </c>
    </row>
    <row r="28" spans="1:12">
      <c r="A28" s="37">
        <v>492</v>
      </c>
      <c r="B28" s="21" t="s">
        <v>28</v>
      </c>
      <c r="C28" s="9">
        <v>14291</v>
      </c>
      <c r="D28" s="26">
        <v>45717</v>
      </c>
      <c r="E28" s="26">
        <v>45747</v>
      </c>
      <c r="F28" s="40" t="s">
        <v>11</v>
      </c>
      <c r="G28" s="25">
        <v>0.01</v>
      </c>
      <c r="H28" s="72">
        <v>2.5000000000000001E-3</v>
      </c>
      <c r="I28" s="66" t="s">
        <v>95</v>
      </c>
      <c r="J28" s="4">
        <v>45721</v>
      </c>
      <c r="K28" s="18" t="s">
        <v>796</v>
      </c>
      <c r="L28" s="22" t="s">
        <v>107</v>
      </c>
    </row>
    <row r="29" spans="1:12">
      <c r="A29" s="37">
        <v>493</v>
      </c>
      <c r="B29" s="21" t="s">
        <v>28</v>
      </c>
      <c r="C29" s="9">
        <v>1427</v>
      </c>
      <c r="D29" s="26">
        <v>45717</v>
      </c>
      <c r="E29" s="26">
        <v>45747</v>
      </c>
      <c r="F29" s="40" t="s">
        <v>11</v>
      </c>
      <c r="G29" s="25">
        <v>0.01</v>
      </c>
      <c r="H29" s="72">
        <v>4.4999999999999997E-3</v>
      </c>
      <c r="I29" s="66" t="s">
        <v>19</v>
      </c>
      <c r="J29" s="4">
        <v>45721</v>
      </c>
      <c r="K29" s="18" t="s">
        <v>797</v>
      </c>
      <c r="L29" s="22" t="s">
        <v>128</v>
      </c>
    </row>
    <row r="30" spans="1:12">
      <c r="A30" s="37">
        <v>494</v>
      </c>
      <c r="B30" s="21" t="s">
        <v>28</v>
      </c>
      <c r="C30" s="9">
        <v>11301</v>
      </c>
      <c r="D30" s="26">
        <v>45717</v>
      </c>
      <c r="E30" s="26">
        <v>45747</v>
      </c>
      <c r="F30" s="40" t="s">
        <v>11</v>
      </c>
      <c r="G30" s="25">
        <v>0.01</v>
      </c>
      <c r="H30" s="72">
        <v>2.5000000000000001E-3</v>
      </c>
      <c r="I30" s="66" t="s">
        <v>95</v>
      </c>
      <c r="J30" s="4">
        <v>45721</v>
      </c>
      <c r="K30" s="18" t="s">
        <v>799</v>
      </c>
      <c r="L30" s="22" t="s">
        <v>107</v>
      </c>
    </row>
    <row r="31" spans="1:12">
      <c r="A31" s="37">
        <v>495</v>
      </c>
      <c r="B31" s="21" t="s">
        <v>28</v>
      </c>
      <c r="C31" s="9">
        <v>7274</v>
      </c>
      <c r="D31" s="26">
        <v>45717</v>
      </c>
      <c r="E31" s="26">
        <v>45747</v>
      </c>
      <c r="F31" s="40" t="s">
        <v>11</v>
      </c>
      <c r="G31" s="25">
        <v>0.01</v>
      </c>
      <c r="H31" s="72">
        <v>5.0000000000000001E-3</v>
      </c>
      <c r="I31" s="66" t="s">
        <v>30</v>
      </c>
      <c r="J31" s="4">
        <v>45721</v>
      </c>
      <c r="K31" s="18" t="s">
        <v>800</v>
      </c>
      <c r="L31" s="22" t="s">
        <v>801</v>
      </c>
    </row>
    <row r="32" spans="1:12">
      <c r="A32" s="37">
        <v>496</v>
      </c>
      <c r="B32" s="21" t="s">
        <v>28</v>
      </c>
      <c r="C32" s="9">
        <v>14876</v>
      </c>
      <c r="D32" s="26">
        <v>45717</v>
      </c>
      <c r="E32" s="26">
        <v>45747</v>
      </c>
      <c r="F32" s="40" t="s">
        <v>11</v>
      </c>
      <c r="G32" s="25">
        <v>0.01</v>
      </c>
      <c r="H32" s="72">
        <v>5.0000000000000001E-3</v>
      </c>
      <c r="I32" s="66" t="s">
        <v>30</v>
      </c>
      <c r="J32" s="4">
        <v>45721</v>
      </c>
      <c r="K32" s="18" t="s">
        <v>800</v>
      </c>
      <c r="L32" s="22" t="s">
        <v>801</v>
      </c>
    </row>
    <row r="33" spans="1:12">
      <c r="A33" s="37">
        <v>497</v>
      </c>
      <c r="B33" s="21" t="s">
        <v>28</v>
      </c>
      <c r="C33" s="9">
        <v>8816</v>
      </c>
      <c r="D33" s="26">
        <v>45717</v>
      </c>
      <c r="E33" s="26">
        <v>45747</v>
      </c>
      <c r="F33" s="40" t="s">
        <v>11</v>
      </c>
      <c r="G33" s="25">
        <v>1000000</v>
      </c>
      <c r="H33" s="72">
        <v>1E-3</v>
      </c>
      <c r="I33" s="66" t="s">
        <v>95</v>
      </c>
      <c r="J33" s="4">
        <v>45721</v>
      </c>
      <c r="K33" s="18" t="s">
        <v>802</v>
      </c>
      <c r="L33" s="22" t="s">
        <v>988</v>
      </c>
    </row>
    <row r="34" spans="1:12">
      <c r="A34" s="37">
        <v>498</v>
      </c>
      <c r="B34" s="21" t="s">
        <v>28</v>
      </c>
      <c r="C34" s="9">
        <v>13007</v>
      </c>
      <c r="D34" s="26">
        <v>45717</v>
      </c>
      <c r="E34" s="26">
        <v>45747</v>
      </c>
      <c r="F34" s="40" t="s">
        <v>11</v>
      </c>
      <c r="G34" s="25">
        <v>0.01</v>
      </c>
      <c r="H34" s="72">
        <v>2.5000000000000001E-3</v>
      </c>
      <c r="I34" s="66" t="s">
        <v>95</v>
      </c>
      <c r="J34" s="4">
        <v>45721</v>
      </c>
      <c r="K34" s="18" t="s">
        <v>803</v>
      </c>
      <c r="L34" s="22" t="s">
        <v>107</v>
      </c>
    </row>
    <row r="35" spans="1:12">
      <c r="A35" s="37">
        <v>499</v>
      </c>
      <c r="B35" s="21" t="s">
        <v>28</v>
      </c>
      <c r="C35" s="9">
        <v>13016</v>
      </c>
      <c r="D35" s="26">
        <v>45717</v>
      </c>
      <c r="E35" s="26">
        <v>45747</v>
      </c>
      <c r="F35" s="40" t="s">
        <v>11</v>
      </c>
      <c r="G35" s="25">
        <v>100000</v>
      </c>
      <c r="H35" s="72">
        <v>2E-3</v>
      </c>
      <c r="I35" s="66" t="s">
        <v>29</v>
      </c>
      <c r="J35" s="4">
        <v>45721</v>
      </c>
      <c r="K35" s="18" t="s">
        <v>804</v>
      </c>
      <c r="L35" s="22" t="s">
        <v>128</v>
      </c>
    </row>
    <row r="36" spans="1:12">
      <c r="A36" s="37">
        <v>500</v>
      </c>
      <c r="B36" s="21" t="s">
        <v>28</v>
      </c>
      <c r="C36" s="9">
        <v>13016</v>
      </c>
      <c r="D36" s="26">
        <v>45717</v>
      </c>
      <c r="E36" s="26">
        <v>45747</v>
      </c>
      <c r="F36" s="40" t="s">
        <v>11</v>
      </c>
      <c r="G36" s="25">
        <v>87500</v>
      </c>
      <c r="H36" s="72">
        <v>1.5E-3</v>
      </c>
      <c r="I36" s="66" t="s">
        <v>29</v>
      </c>
      <c r="J36" s="4">
        <v>45721</v>
      </c>
      <c r="K36" s="18" t="s">
        <v>804</v>
      </c>
      <c r="L36" s="22" t="s">
        <v>128</v>
      </c>
    </row>
    <row r="37" spans="1:12">
      <c r="A37" s="37">
        <v>501</v>
      </c>
      <c r="B37" s="21" t="s">
        <v>28</v>
      </c>
      <c r="C37" s="9">
        <v>13016</v>
      </c>
      <c r="D37" s="26">
        <v>45717</v>
      </c>
      <c r="E37" s="26">
        <v>45747</v>
      </c>
      <c r="F37" s="40" t="s">
        <v>11</v>
      </c>
      <c r="G37" s="25">
        <v>75000</v>
      </c>
      <c r="H37" s="72">
        <v>1E-3</v>
      </c>
      <c r="I37" s="66" t="s">
        <v>29</v>
      </c>
      <c r="J37" s="4">
        <v>45721</v>
      </c>
      <c r="K37" s="18" t="s">
        <v>804</v>
      </c>
      <c r="L37" s="22" t="s">
        <v>128</v>
      </c>
    </row>
    <row r="38" spans="1:12">
      <c r="A38" s="37">
        <v>502</v>
      </c>
      <c r="B38" s="21" t="s">
        <v>28</v>
      </c>
      <c r="C38" s="9">
        <v>16572</v>
      </c>
      <c r="D38" s="26">
        <v>45721</v>
      </c>
      <c r="E38" s="26">
        <v>45747</v>
      </c>
      <c r="F38" s="40" t="s">
        <v>11</v>
      </c>
      <c r="G38" s="25">
        <v>0.01</v>
      </c>
      <c r="H38" s="72">
        <v>3.0000000000000001E-3</v>
      </c>
      <c r="I38" s="66" t="s">
        <v>12</v>
      </c>
      <c r="J38" s="4">
        <v>45721</v>
      </c>
      <c r="K38" s="18" t="s">
        <v>715</v>
      </c>
      <c r="L38" s="22" t="s">
        <v>805</v>
      </c>
    </row>
    <row r="39" spans="1:12">
      <c r="A39" s="37">
        <v>503</v>
      </c>
      <c r="B39" s="21" t="s">
        <v>28</v>
      </c>
      <c r="C39" s="9">
        <v>4097</v>
      </c>
      <c r="D39" s="26">
        <v>45717</v>
      </c>
      <c r="E39" s="26">
        <v>45747</v>
      </c>
      <c r="F39" s="40" t="s">
        <v>11</v>
      </c>
      <c r="G39" s="25">
        <v>10000</v>
      </c>
      <c r="H39" s="72">
        <v>3.0000000000000001E-3</v>
      </c>
      <c r="I39" s="66" t="s">
        <v>95</v>
      </c>
      <c r="J39" s="4">
        <v>45722</v>
      </c>
      <c r="K39" s="18" t="s">
        <v>806</v>
      </c>
      <c r="L39" s="22" t="s">
        <v>989</v>
      </c>
    </row>
    <row r="40" spans="1:12">
      <c r="A40" s="37">
        <v>504</v>
      </c>
      <c r="B40" s="21" t="s">
        <v>28</v>
      </c>
      <c r="C40" s="9">
        <v>13446</v>
      </c>
      <c r="D40" s="26">
        <v>45717</v>
      </c>
      <c r="E40" s="26">
        <v>45747</v>
      </c>
      <c r="F40" s="40" t="s">
        <v>11</v>
      </c>
      <c r="G40" s="25">
        <v>0.01</v>
      </c>
      <c r="H40" s="72">
        <v>5.0000000000000001E-3</v>
      </c>
      <c r="I40" s="66" t="s">
        <v>39</v>
      </c>
      <c r="J40" s="4">
        <v>45722</v>
      </c>
      <c r="K40" s="18" t="s">
        <v>807</v>
      </c>
      <c r="L40" s="22" t="s">
        <v>789</v>
      </c>
    </row>
    <row r="41" spans="1:12">
      <c r="A41" s="37">
        <v>505</v>
      </c>
      <c r="B41" s="21" t="s">
        <v>28</v>
      </c>
      <c r="C41" s="9">
        <v>14363</v>
      </c>
      <c r="D41" s="26">
        <v>45717</v>
      </c>
      <c r="E41" s="26">
        <v>45747</v>
      </c>
      <c r="F41" s="40" t="s">
        <v>11</v>
      </c>
      <c r="G41" s="25">
        <v>1000</v>
      </c>
      <c r="H41" s="72">
        <v>1.4999999999999999E-2</v>
      </c>
      <c r="I41" s="66" t="s">
        <v>15</v>
      </c>
      <c r="J41" s="4">
        <v>45722</v>
      </c>
      <c r="K41" s="18" t="s">
        <v>808</v>
      </c>
      <c r="L41" s="22" t="s">
        <v>428</v>
      </c>
    </row>
    <row r="42" spans="1:12">
      <c r="A42" s="37">
        <v>506</v>
      </c>
      <c r="B42" s="21" t="s">
        <v>28</v>
      </c>
      <c r="C42" s="9">
        <v>15244</v>
      </c>
      <c r="D42" s="26">
        <v>45717</v>
      </c>
      <c r="E42" s="26">
        <v>45747</v>
      </c>
      <c r="F42" s="40" t="s">
        <v>11</v>
      </c>
      <c r="G42" s="25">
        <v>1000</v>
      </c>
      <c r="H42" s="72">
        <v>2.5000000000000001E-3</v>
      </c>
      <c r="I42" s="66" t="s">
        <v>12</v>
      </c>
      <c r="J42" s="4">
        <v>45722</v>
      </c>
      <c r="K42" s="18" t="s">
        <v>734</v>
      </c>
      <c r="L42" s="22" t="s">
        <v>131</v>
      </c>
    </row>
    <row r="43" spans="1:12">
      <c r="A43" s="37">
        <v>507</v>
      </c>
      <c r="B43" s="21" t="s">
        <v>28</v>
      </c>
      <c r="C43" s="9">
        <v>17069</v>
      </c>
      <c r="D43" s="26">
        <v>45717</v>
      </c>
      <c r="E43" s="26">
        <v>45747</v>
      </c>
      <c r="F43" s="40" t="s">
        <v>11</v>
      </c>
      <c r="G43" s="25">
        <v>50000</v>
      </c>
      <c r="H43" s="72">
        <v>2E-3</v>
      </c>
      <c r="I43" s="66" t="s">
        <v>34</v>
      </c>
      <c r="J43" s="4">
        <v>45722</v>
      </c>
      <c r="K43" s="18" t="s">
        <v>809</v>
      </c>
      <c r="L43" s="22" t="s">
        <v>107</v>
      </c>
    </row>
    <row r="44" spans="1:12">
      <c r="A44" s="37">
        <v>508</v>
      </c>
      <c r="B44" s="21" t="s">
        <v>28</v>
      </c>
      <c r="C44" s="9">
        <v>8880</v>
      </c>
      <c r="D44" s="26">
        <v>45717</v>
      </c>
      <c r="E44" s="26">
        <v>45747</v>
      </c>
      <c r="F44" s="40" t="s">
        <v>11</v>
      </c>
      <c r="G44" s="25">
        <v>50000</v>
      </c>
      <c r="H44" s="72">
        <v>2E-3</v>
      </c>
      <c r="I44" s="66" t="s">
        <v>34</v>
      </c>
      <c r="J44" s="4">
        <v>45722</v>
      </c>
      <c r="K44" s="18" t="s">
        <v>810</v>
      </c>
      <c r="L44" s="22" t="s">
        <v>107</v>
      </c>
    </row>
    <row r="45" spans="1:12">
      <c r="A45" s="37">
        <v>509</v>
      </c>
      <c r="B45" s="21" t="s">
        <v>28</v>
      </c>
      <c r="C45" s="9">
        <v>16982</v>
      </c>
      <c r="D45" s="26">
        <v>45717</v>
      </c>
      <c r="E45" s="26">
        <v>45747</v>
      </c>
      <c r="F45" s="40" t="s">
        <v>11</v>
      </c>
      <c r="G45" s="25">
        <v>0.01</v>
      </c>
      <c r="H45" s="72">
        <v>2.5000000000000001E-3</v>
      </c>
      <c r="I45" s="66" t="s">
        <v>34</v>
      </c>
      <c r="J45" s="4">
        <v>45722</v>
      </c>
      <c r="K45" s="18" t="s">
        <v>811</v>
      </c>
      <c r="L45" s="22" t="s">
        <v>107</v>
      </c>
    </row>
    <row r="46" spans="1:12">
      <c r="A46" s="37">
        <v>510</v>
      </c>
      <c r="B46" s="21" t="s">
        <v>28</v>
      </c>
      <c r="C46" s="9">
        <v>16982</v>
      </c>
      <c r="D46" s="26">
        <v>45717</v>
      </c>
      <c r="E46" s="26">
        <v>45747</v>
      </c>
      <c r="F46" s="40" t="s">
        <v>11</v>
      </c>
      <c r="G46" s="25">
        <v>0.01</v>
      </c>
      <c r="H46" s="72">
        <v>2.5000000000000001E-3</v>
      </c>
      <c r="I46" s="66" t="s">
        <v>34</v>
      </c>
      <c r="J46" s="4">
        <v>45722</v>
      </c>
      <c r="K46" s="18" t="s">
        <v>811</v>
      </c>
      <c r="L46" s="22" t="s">
        <v>812</v>
      </c>
    </row>
    <row r="47" spans="1:12">
      <c r="A47" s="37">
        <v>511</v>
      </c>
      <c r="B47" s="21" t="s">
        <v>28</v>
      </c>
      <c r="C47" s="9">
        <v>6995</v>
      </c>
      <c r="D47" s="26">
        <v>45717</v>
      </c>
      <c r="E47" s="26">
        <v>45747</v>
      </c>
      <c r="F47" s="40" t="s">
        <v>11</v>
      </c>
      <c r="G47" s="25">
        <v>0.01</v>
      </c>
      <c r="H47" s="72">
        <v>2E-3</v>
      </c>
      <c r="I47" s="66" t="s">
        <v>34</v>
      </c>
      <c r="J47" s="4">
        <v>45722</v>
      </c>
      <c r="K47" s="18" t="s">
        <v>813</v>
      </c>
      <c r="L47" s="22" t="s">
        <v>107</v>
      </c>
    </row>
    <row r="48" spans="1:12">
      <c r="A48" s="37">
        <v>512</v>
      </c>
      <c r="B48" s="21" t="s">
        <v>28</v>
      </c>
      <c r="C48" s="9">
        <v>6995</v>
      </c>
      <c r="D48" s="26">
        <v>45717</v>
      </c>
      <c r="E48" s="26">
        <v>45747</v>
      </c>
      <c r="F48" s="40" t="s">
        <v>11</v>
      </c>
      <c r="G48" s="25">
        <v>0.01</v>
      </c>
      <c r="H48" s="72">
        <v>5.0000000000000001E-3</v>
      </c>
      <c r="I48" s="66" t="s">
        <v>34</v>
      </c>
      <c r="J48" s="4">
        <v>45722</v>
      </c>
      <c r="K48" s="18" t="s">
        <v>813</v>
      </c>
      <c r="L48" s="22" t="s">
        <v>814</v>
      </c>
    </row>
    <row r="49" spans="1:12">
      <c r="A49" s="37">
        <v>513</v>
      </c>
      <c r="B49" s="21" t="s">
        <v>28</v>
      </c>
      <c r="C49" s="9">
        <v>17101</v>
      </c>
      <c r="D49" s="26">
        <v>45717</v>
      </c>
      <c r="E49" s="26">
        <v>45747</v>
      </c>
      <c r="F49" s="40" t="s">
        <v>11</v>
      </c>
      <c r="G49" s="25">
        <v>0.01</v>
      </c>
      <c r="H49" s="72">
        <v>2.5000000000000001E-3</v>
      </c>
      <c r="I49" s="66" t="s">
        <v>95</v>
      </c>
      <c r="J49" s="4">
        <v>45722</v>
      </c>
      <c r="K49" s="18" t="s">
        <v>815</v>
      </c>
      <c r="L49" s="22" t="s">
        <v>107</v>
      </c>
    </row>
    <row r="50" spans="1:12">
      <c r="A50" s="37">
        <v>514</v>
      </c>
      <c r="B50" s="21" t="s">
        <v>28</v>
      </c>
      <c r="C50" s="9">
        <v>10426</v>
      </c>
      <c r="D50" s="26">
        <v>45717</v>
      </c>
      <c r="E50" s="26">
        <v>45747</v>
      </c>
      <c r="F50" s="40" t="s">
        <v>11</v>
      </c>
      <c r="G50" s="25">
        <v>0.01</v>
      </c>
      <c r="H50" s="72">
        <v>2E-3</v>
      </c>
      <c r="I50" s="66" t="s">
        <v>34</v>
      </c>
      <c r="J50" s="4">
        <v>45722</v>
      </c>
      <c r="K50" s="18" t="s">
        <v>816</v>
      </c>
      <c r="L50" s="22" t="s">
        <v>107</v>
      </c>
    </row>
    <row r="51" spans="1:12">
      <c r="A51" s="37">
        <v>515</v>
      </c>
      <c r="B51" s="21" t="s">
        <v>28</v>
      </c>
      <c r="C51" s="9">
        <v>10426</v>
      </c>
      <c r="D51" s="26">
        <v>45717</v>
      </c>
      <c r="E51" s="26">
        <v>45747</v>
      </c>
      <c r="F51" s="40" t="s">
        <v>11</v>
      </c>
      <c r="G51" s="25">
        <v>0.01</v>
      </c>
      <c r="H51" s="72">
        <v>5.0000000000000001E-3</v>
      </c>
      <c r="I51" s="66" t="s">
        <v>34</v>
      </c>
      <c r="J51" s="4">
        <v>45722</v>
      </c>
      <c r="K51" s="18" t="s">
        <v>816</v>
      </c>
      <c r="L51" s="22" t="s">
        <v>814</v>
      </c>
    </row>
    <row r="52" spans="1:12">
      <c r="A52" s="37">
        <v>516</v>
      </c>
      <c r="B52" s="21" t="s">
        <v>28</v>
      </c>
      <c r="C52" s="9">
        <v>6719</v>
      </c>
      <c r="D52" s="26">
        <v>45717</v>
      </c>
      <c r="E52" s="26">
        <v>45747</v>
      </c>
      <c r="F52" s="40" t="s">
        <v>11</v>
      </c>
      <c r="G52" s="25">
        <v>0.01</v>
      </c>
      <c r="H52" s="72">
        <v>3.0000000000000001E-3</v>
      </c>
      <c r="I52" s="66" t="s">
        <v>19</v>
      </c>
      <c r="J52" s="4">
        <v>45722</v>
      </c>
      <c r="K52" s="18" t="s">
        <v>255</v>
      </c>
      <c r="L52" s="22" t="s">
        <v>817</v>
      </c>
    </row>
    <row r="53" spans="1:12">
      <c r="A53" s="37">
        <v>517</v>
      </c>
      <c r="B53" s="21" t="s">
        <v>28</v>
      </c>
      <c r="C53" s="9" t="s">
        <v>818</v>
      </c>
      <c r="D53" s="26">
        <v>45717</v>
      </c>
      <c r="E53" s="26">
        <v>45747</v>
      </c>
      <c r="F53" s="40" t="s">
        <v>11</v>
      </c>
      <c r="G53" s="25">
        <v>0.01</v>
      </c>
      <c r="H53" s="72">
        <v>5.0000000000000001E-3</v>
      </c>
      <c r="I53" s="66" t="s">
        <v>32</v>
      </c>
      <c r="J53" s="4">
        <v>45723</v>
      </c>
      <c r="K53" s="18" t="s">
        <v>558</v>
      </c>
      <c r="L53" s="22" t="s">
        <v>993</v>
      </c>
    </row>
    <row r="54" spans="1:12">
      <c r="A54" s="37">
        <v>518</v>
      </c>
      <c r="B54" s="21" t="s">
        <v>28</v>
      </c>
      <c r="C54" s="9" t="s">
        <v>489</v>
      </c>
      <c r="D54" s="26">
        <v>45717</v>
      </c>
      <c r="E54" s="26">
        <v>45747</v>
      </c>
      <c r="F54" s="40" t="s">
        <v>11</v>
      </c>
      <c r="G54" s="25">
        <v>0.01</v>
      </c>
      <c r="H54" s="72">
        <v>3.0000000000000001E-3</v>
      </c>
      <c r="I54" s="66" t="s">
        <v>19</v>
      </c>
      <c r="J54" s="4">
        <v>45723</v>
      </c>
      <c r="K54" s="18" t="s">
        <v>488</v>
      </c>
      <c r="L54" s="22" t="s">
        <v>819</v>
      </c>
    </row>
    <row r="55" spans="1:12">
      <c r="A55" s="37">
        <v>519</v>
      </c>
      <c r="B55" s="21" t="s">
        <v>28</v>
      </c>
      <c r="C55" s="9">
        <v>16763</v>
      </c>
      <c r="D55" s="26">
        <v>45717</v>
      </c>
      <c r="E55" s="26">
        <v>45747</v>
      </c>
      <c r="F55" s="40" t="s">
        <v>11</v>
      </c>
      <c r="G55" s="25">
        <v>0.01</v>
      </c>
      <c r="H55" s="72">
        <v>0.01</v>
      </c>
      <c r="I55" s="66" t="s">
        <v>168</v>
      </c>
      <c r="J55" s="4">
        <v>45723</v>
      </c>
      <c r="K55" s="18" t="s">
        <v>820</v>
      </c>
      <c r="L55" s="22" t="s">
        <v>821</v>
      </c>
    </row>
    <row r="56" spans="1:12">
      <c r="A56" s="37">
        <v>520</v>
      </c>
      <c r="B56" s="21" t="s">
        <v>28</v>
      </c>
      <c r="C56" s="9" t="s">
        <v>822</v>
      </c>
      <c r="D56" s="26">
        <v>45717</v>
      </c>
      <c r="E56" s="26">
        <v>45747</v>
      </c>
      <c r="F56" s="40" t="s">
        <v>11</v>
      </c>
      <c r="G56" s="25">
        <v>1</v>
      </c>
      <c r="H56" s="72">
        <v>7.0000000000000001E-3</v>
      </c>
      <c r="I56" s="66" t="s">
        <v>20</v>
      </c>
      <c r="J56" s="4">
        <v>45722</v>
      </c>
      <c r="K56" s="18" t="s">
        <v>748</v>
      </c>
      <c r="L56" s="22" t="s">
        <v>823</v>
      </c>
    </row>
    <row r="57" spans="1:12">
      <c r="A57" s="37">
        <v>521</v>
      </c>
      <c r="B57" s="21" t="s">
        <v>28</v>
      </c>
      <c r="C57" s="9">
        <v>15980</v>
      </c>
      <c r="D57" s="26">
        <v>45717</v>
      </c>
      <c r="E57" s="26">
        <v>45747</v>
      </c>
      <c r="F57" s="40" t="s">
        <v>11</v>
      </c>
      <c r="G57" s="25">
        <v>1</v>
      </c>
      <c r="H57" s="72">
        <v>7.4999999999999997E-3</v>
      </c>
      <c r="I57" s="66" t="s">
        <v>20</v>
      </c>
      <c r="J57" s="4">
        <v>45723</v>
      </c>
      <c r="K57" s="18" t="s">
        <v>824</v>
      </c>
      <c r="L57" s="22" t="s">
        <v>107</v>
      </c>
    </row>
    <row r="58" spans="1:12">
      <c r="A58" s="37">
        <v>522</v>
      </c>
      <c r="B58" s="21" t="s">
        <v>28</v>
      </c>
      <c r="C58" s="9">
        <v>13131</v>
      </c>
      <c r="D58" s="26">
        <v>45717</v>
      </c>
      <c r="E58" s="26">
        <v>45747</v>
      </c>
      <c r="F58" s="40" t="s">
        <v>11</v>
      </c>
      <c r="G58" s="25">
        <v>200000</v>
      </c>
      <c r="H58" s="72">
        <v>3.0000000000000001E-3</v>
      </c>
      <c r="I58" s="66" t="s">
        <v>18</v>
      </c>
      <c r="J58" s="4">
        <v>45723</v>
      </c>
      <c r="K58" s="18" t="s">
        <v>825</v>
      </c>
      <c r="L58" s="22" t="s">
        <v>826</v>
      </c>
    </row>
    <row r="59" spans="1:12">
      <c r="A59" s="37">
        <v>523</v>
      </c>
      <c r="B59" s="21" t="s">
        <v>28</v>
      </c>
      <c r="C59" s="9">
        <v>16868</v>
      </c>
      <c r="D59" s="26">
        <v>45717</v>
      </c>
      <c r="E59" s="26">
        <v>45747</v>
      </c>
      <c r="F59" s="40" t="s">
        <v>11</v>
      </c>
      <c r="G59" s="25">
        <v>1000000</v>
      </c>
      <c r="H59" s="72">
        <v>2.5000000000000001E-3</v>
      </c>
      <c r="I59" s="66" t="s">
        <v>168</v>
      </c>
      <c r="J59" s="4">
        <v>45723</v>
      </c>
      <c r="K59" s="18" t="s">
        <v>827</v>
      </c>
      <c r="L59" s="22" t="s">
        <v>128</v>
      </c>
    </row>
    <row r="60" spans="1:12">
      <c r="A60" s="37">
        <v>524</v>
      </c>
      <c r="B60" s="21" t="s">
        <v>28</v>
      </c>
      <c r="C60" s="9">
        <v>17017</v>
      </c>
      <c r="D60" s="26">
        <v>45717</v>
      </c>
      <c r="E60" s="26">
        <v>45747</v>
      </c>
      <c r="F60" s="40" t="s">
        <v>11</v>
      </c>
      <c r="G60" s="25">
        <v>1500000</v>
      </c>
      <c r="H60" s="72">
        <v>2.5000000000000001E-3</v>
      </c>
      <c r="I60" s="66" t="s">
        <v>168</v>
      </c>
      <c r="J60" s="4">
        <v>45723</v>
      </c>
      <c r="K60" s="18" t="s">
        <v>828</v>
      </c>
      <c r="L60" s="22" t="s">
        <v>107</v>
      </c>
    </row>
    <row r="61" spans="1:12">
      <c r="A61" s="37">
        <v>525</v>
      </c>
      <c r="B61" s="21" t="s">
        <v>28</v>
      </c>
      <c r="C61" s="9" t="s">
        <v>1117</v>
      </c>
      <c r="D61" s="26">
        <v>45717</v>
      </c>
      <c r="E61" s="26">
        <v>45747</v>
      </c>
      <c r="F61" s="40" t="s">
        <v>11</v>
      </c>
      <c r="G61" s="25">
        <v>500000</v>
      </c>
      <c r="H61" s="72">
        <v>1.5E-3</v>
      </c>
      <c r="I61" s="66" t="s">
        <v>32</v>
      </c>
      <c r="J61" s="4">
        <v>45723</v>
      </c>
      <c r="K61" s="18" t="s">
        <v>231</v>
      </c>
      <c r="L61" s="22" t="s">
        <v>829</v>
      </c>
    </row>
    <row r="62" spans="1:12">
      <c r="A62" s="37">
        <v>526</v>
      </c>
      <c r="B62" s="21" t="s">
        <v>28</v>
      </c>
      <c r="C62" s="9">
        <v>6736</v>
      </c>
      <c r="D62" s="26">
        <v>45717</v>
      </c>
      <c r="E62" s="26">
        <v>45747</v>
      </c>
      <c r="F62" s="40" t="s">
        <v>11</v>
      </c>
      <c r="G62" s="25">
        <v>50000</v>
      </c>
      <c r="H62" s="72">
        <v>3.0000000000000001E-3</v>
      </c>
      <c r="I62" s="66" t="s">
        <v>13</v>
      </c>
      <c r="J62" s="4">
        <v>45723</v>
      </c>
      <c r="K62" s="18" t="s">
        <v>830</v>
      </c>
      <c r="L62" s="22" t="s">
        <v>107</v>
      </c>
    </row>
    <row r="63" spans="1:12">
      <c r="A63" s="37">
        <v>527</v>
      </c>
      <c r="B63" s="21" t="s">
        <v>28</v>
      </c>
      <c r="C63" s="9">
        <v>695</v>
      </c>
      <c r="D63" s="26">
        <v>45717</v>
      </c>
      <c r="E63" s="26">
        <v>45747</v>
      </c>
      <c r="F63" s="40" t="s">
        <v>11</v>
      </c>
      <c r="G63" s="25">
        <v>0.01</v>
      </c>
      <c r="H63" s="72">
        <v>2E-3</v>
      </c>
      <c r="I63" s="66" t="s">
        <v>19</v>
      </c>
      <c r="J63" s="4">
        <v>45726</v>
      </c>
      <c r="K63" s="18" t="s">
        <v>260</v>
      </c>
      <c r="L63" s="22" t="s">
        <v>834</v>
      </c>
    </row>
    <row r="64" spans="1:12">
      <c r="A64" s="37">
        <v>528</v>
      </c>
      <c r="B64" s="21" t="s">
        <v>28</v>
      </c>
      <c r="C64" s="9">
        <v>3496</v>
      </c>
      <c r="D64" s="26">
        <v>45717</v>
      </c>
      <c r="E64" s="26">
        <v>45747</v>
      </c>
      <c r="F64" s="40" t="s">
        <v>11</v>
      </c>
      <c r="G64" s="25">
        <v>1</v>
      </c>
      <c r="H64" s="72">
        <v>2.5000000000000001E-3</v>
      </c>
      <c r="I64" s="66" t="s">
        <v>29</v>
      </c>
      <c r="J64" s="4">
        <v>45726</v>
      </c>
      <c r="K64" s="18" t="s">
        <v>835</v>
      </c>
      <c r="L64" s="22" t="s">
        <v>107</v>
      </c>
    </row>
    <row r="65" spans="1:12">
      <c r="A65" s="37">
        <v>529</v>
      </c>
      <c r="B65" s="21" t="s">
        <v>28</v>
      </c>
      <c r="C65" s="9">
        <v>8687</v>
      </c>
      <c r="D65" s="26">
        <v>45717</v>
      </c>
      <c r="E65" s="26">
        <v>45747</v>
      </c>
      <c r="F65" s="40" t="s">
        <v>11</v>
      </c>
      <c r="G65" s="25">
        <v>0.01</v>
      </c>
      <c r="H65" s="72">
        <v>1E-3</v>
      </c>
      <c r="I65" s="66" t="s">
        <v>14</v>
      </c>
      <c r="J65" s="4">
        <v>45726</v>
      </c>
      <c r="K65" s="18" t="s">
        <v>538</v>
      </c>
      <c r="L65" s="22" t="s">
        <v>128</v>
      </c>
    </row>
    <row r="66" spans="1:12">
      <c r="A66" s="37">
        <v>530</v>
      </c>
      <c r="B66" s="21" t="s">
        <v>28</v>
      </c>
      <c r="C66" s="9">
        <v>10461</v>
      </c>
      <c r="D66" s="26">
        <v>45717</v>
      </c>
      <c r="E66" s="26">
        <v>45747</v>
      </c>
      <c r="F66" s="40" t="s">
        <v>11</v>
      </c>
      <c r="G66" s="25">
        <v>0.01</v>
      </c>
      <c r="H66" s="72">
        <v>0.01</v>
      </c>
      <c r="I66" s="66" t="s">
        <v>14</v>
      </c>
      <c r="J66" s="4">
        <v>45726</v>
      </c>
      <c r="K66" s="18" t="s">
        <v>538</v>
      </c>
      <c r="L66" s="22" t="s">
        <v>836</v>
      </c>
    </row>
    <row r="67" spans="1:12">
      <c r="A67" s="37">
        <v>531</v>
      </c>
      <c r="B67" s="21" t="s">
        <v>28</v>
      </c>
      <c r="C67" s="9">
        <v>12385</v>
      </c>
      <c r="D67" s="26">
        <v>45717</v>
      </c>
      <c r="E67" s="26">
        <v>45747</v>
      </c>
      <c r="F67" s="40" t="s">
        <v>11</v>
      </c>
      <c r="G67" s="25">
        <v>0.01</v>
      </c>
      <c r="H67" s="72">
        <v>0.01</v>
      </c>
      <c r="I67" s="66" t="s">
        <v>46</v>
      </c>
      <c r="J67" s="4">
        <v>45726</v>
      </c>
      <c r="K67" s="18" t="s">
        <v>538</v>
      </c>
      <c r="L67" s="22" t="s">
        <v>836</v>
      </c>
    </row>
    <row r="68" spans="1:12">
      <c r="A68" s="37">
        <v>532</v>
      </c>
      <c r="B68" s="21" t="s">
        <v>28</v>
      </c>
      <c r="C68" s="9">
        <v>12385</v>
      </c>
      <c r="D68" s="26">
        <v>45717</v>
      </c>
      <c r="E68" s="26">
        <v>45747</v>
      </c>
      <c r="F68" s="40" t="s">
        <v>11</v>
      </c>
      <c r="G68" s="25">
        <v>0.01</v>
      </c>
      <c r="H68" s="72">
        <v>5.0000000000000001E-3</v>
      </c>
      <c r="I68" s="66" t="s">
        <v>46</v>
      </c>
      <c r="J68" s="4">
        <v>45726</v>
      </c>
      <c r="K68" s="18" t="s">
        <v>538</v>
      </c>
      <c r="L68" s="22" t="s">
        <v>128</v>
      </c>
    </row>
    <row r="69" spans="1:12">
      <c r="A69" s="37">
        <v>533</v>
      </c>
      <c r="B69" s="21" t="s">
        <v>28</v>
      </c>
      <c r="C69" s="9">
        <v>12385</v>
      </c>
      <c r="D69" s="26">
        <v>45717</v>
      </c>
      <c r="E69" s="26">
        <v>45747</v>
      </c>
      <c r="F69" s="40" t="s">
        <v>11</v>
      </c>
      <c r="G69" s="25">
        <v>0.01</v>
      </c>
      <c r="H69" s="72">
        <v>0.01</v>
      </c>
      <c r="I69" s="66" t="s">
        <v>46</v>
      </c>
      <c r="J69" s="4">
        <v>45726</v>
      </c>
      <c r="K69" s="18" t="s">
        <v>538</v>
      </c>
      <c r="L69" s="22" t="s">
        <v>837</v>
      </c>
    </row>
    <row r="70" spans="1:12">
      <c r="A70" s="37">
        <v>534</v>
      </c>
      <c r="B70" s="21" t="s">
        <v>28</v>
      </c>
      <c r="C70" s="9">
        <v>1818</v>
      </c>
      <c r="D70" s="26">
        <v>45717</v>
      </c>
      <c r="E70" s="26">
        <v>45747</v>
      </c>
      <c r="F70" s="40" t="s">
        <v>11</v>
      </c>
      <c r="G70" s="25">
        <v>500000</v>
      </c>
      <c r="H70" s="72">
        <v>2E-3</v>
      </c>
      <c r="I70" s="66" t="s">
        <v>19</v>
      </c>
      <c r="J70" s="4">
        <v>45726</v>
      </c>
      <c r="K70" s="18" t="s">
        <v>838</v>
      </c>
      <c r="L70" s="22" t="s">
        <v>63</v>
      </c>
    </row>
    <row r="71" spans="1:12">
      <c r="A71" s="37">
        <v>535</v>
      </c>
      <c r="B71" s="21" t="s">
        <v>28</v>
      </c>
      <c r="C71" s="9">
        <v>11547</v>
      </c>
      <c r="D71" s="26">
        <v>45717</v>
      </c>
      <c r="E71" s="26">
        <v>45747</v>
      </c>
      <c r="F71" s="40" t="s">
        <v>11</v>
      </c>
      <c r="G71" s="25">
        <v>160000</v>
      </c>
      <c r="H71" s="72">
        <v>5.0000000000000001E-3</v>
      </c>
      <c r="I71" s="66" t="s">
        <v>39</v>
      </c>
      <c r="J71" s="4">
        <v>45728</v>
      </c>
      <c r="K71" s="18" t="s">
        <v>862</v>
      </c>
      <c r="L71" s="37" t="s">
        <v>1081</v>
      </c>
    </row>
    <row r="72" spans="1:12">
      <c r="A72" s="37">
        <v>536</v>
      </c>
      <c r="B72" s="21" t="s">
        <v>28</v>
      </c>
      <c r="C72" s="9">
        <v>10822</v>
      </c>
      <c r="D72" s="26">
        <v>45717</v>
      </c>
      <c r="E72" s="26">
        <v>45747</v>
      </c>
      <c r="F72" s="40" t="s">
        <v>11</v>
      </c>
      <c r="G72" s="25">
        <v>200000</v>
      </c>
      <c r="H72" s="72">
        <v>5.0000000000000001E-3</v>
      </c>
      <c r="I72" s="66" t="s">
        <v>39</v>
      </c>
      <c r="J72" s="4">
        <v>45728</v>
      </c>
      <c r="K72" s="18" t="s">
        <v>862</v>
      </c>
      <c r="L72" s="37" t="s">
        <v>1081</v>
      </c>
    </row>
    <row r="73" spans="1:12">
      <c r="A73" s="37">
        <v>537</v>
      </c>
      <c r="B73" s="21" t="s">
        <v>28</v>
      </c>
      <c r="C73" s="9">
        <v>6462</v>
      </c>
      <c r="D73" s="26">
        <v>45717</v>
      </c>
      <c r="E73" s="26">
        <v>45747</v>
      </c>
      <c r="F73" s="40" t="s">
        <v>11</v>
      </c>
      <c r="G73" s="25">
        <v>130000</v>
      </c>
      <c r="H73" s="72">
        <v>5.0000000000000001E-3</v>
      </c>
      <c r="I73" s="66" t="s">
        <v>39</v>
      </c>
      <c r="J73" s="4">
        <v>45728</v>
      </c>
      <c r="K73" s="18" t="s">
        <v>862</v>
      </c>
      <c r="L73" s="37" t="s">
        <v>1081</v>
      </c>
    </row>
    <row r="74" spans="1:12">
      <c r="A74" s="37">
        <v>538</v>
      </c>
      <c r="B74" s="21" t="s">
        <v>28</v>
      </c>
      <c r="C74" s="9">
        <v>8843</v>
      </c>
      <c r="D74" s="26">
        <v>45717</v>
      </c>
      <c r="E74" s="26">
        <v>45747</v>
      </c>
      <c r="F74" s="40" t="s">
        <v>11</v>
      </c>
      <c r="G74" s="25">
        <v>100000</v>
      </c>
      <c r="H74" s="72">
        <v>5.0000000000000001E-3</v>
      </c>
      <c r="I74" s="66" t="s">
        <v>39</v>
      </c>
      <c r="J74" s="4">
        <v>45728</v>
      </c>
      <c r="K74" s="18" t="s">
        <v>229</v>
      </c>
      <c r="L74" s="37" t="s">
        <v>1081</v>
      </c>
    </row>
    <row r="75" spans="1:12">
      <c r="A75" s="37">
        <v>539</v>
      </c>
      <c r="B75" s="21" t="s">
        <v>28</v>
      </c>
      <c r="C75" s="9">
        <v>9207</v>
      </c>
      <c r="D75" s="26">
        <v>45719</v>
      </c>
      <c r="E75" s="26">
        <v>45747</v>
      </c>
      <c r="F75" s="40" t="s">
        <v>11</v>
      </c>
      <c r="G75" s="25">
        <v>0.01</v>
      </c>
      <c r="H75" s="72">
        <v>5.0000000000000001E-3</v>
      </c>
      <c r="I75" s="66" t="s">
        <v>19</v>
      </c>
      <c r="J75" s="4">
        <v>45728</v>
      </c>
      <c r="K75" s="18" t="s">
        <v>863</v>
      </c>
      <c r="L75" s="22" t="s">
        <v>107</v>
      </c>
    </row>
    <row r="76" spans="1:12">
      <c r="A76" s="37">
        <v>540</v>
      </c>
      <c r="B76" s="21" t="s">
        <v>28</v>
      </c>
      <c r="C76" s="9">
        <v>15942</v>
      </c>
      <c r="D76" s="26">
        <v>45719</v>
      </c>
      <c r="E76" s="26">
        <v>45747</v>
      </c>
      <c r="F76" s="40" t="s">
        <v>11</v>
      </c>
      <c r="G76" s="25">
        <v>0.01</v>
      </c>
      <c r="H76" s="72">
        <v>5.0000000000000001E-3</v>
      </c>
      <c r="I76" s="66" t="s">
        <v>19</v>
      </c>
      <c r="J76" s="4">
        <v>45728</v>
      </c>
      <c r="K76" s="18" t="s">
        <v>863</v>
      </c>
      <c r="L76" s="22" t="s">
        <v>107</v>
      </c>
    </row>
    <row r="77" spans="1:12">
      <c r="A77" s="37">
        <v>541</v>
      </c>
      <c r="B77" s="21" t="s">
        <v>28</v>
      </c>
      <c r="C77" s="9">
        <v>15896</v>
      </c>
      <c r="D77" s="26">
        <v>45719</v>
      </c>
      <c r="E77" s="26">
        <v>45747</v>
      </c>
      <c r="F77" s="40" t="s">
        <v>11</v>
      </c>
      <c r="G77" s="25">
        <v>0.01</v>
      </c>
      <c r="H77" s="72">
        <v>5.0000000000000001E-3</v>
      </c>
      <c r="I77" s="66" t="s">
        <v>19</v>
      </c>
      <c r="J77" s="4">
        <v>45728</v>
      </c>
      <c r="K77" s="18" t="s">
        <v>863</v>
      </c>
      <c r="L77" s="22" t="s">
        <v>107</v>
      </c>
    </row>
    <row r="78" spans="1:12">
      <c r="A78" s="37">
        <v>542</v>
      </c>
      <c r="B78" s="21" t="s">
        <v>28</v>
      </c>
      <c r="C78" s="9">
        <v>16893</v>
      </c>
      <c r="D78" s="26">
        <v>45719</v>
      </c>
      <c r="E78" s="26">
        <v>45747</v>
      </c>
      <c r="F78" s="40" t="s">
        <v>11</v>
      </c>
      <c r="G78" s="25">
        <v>0.01</v>
      </c>
      <c r="H78" s="72">
        <v>5.0000000000000001E-3</v>
      </c>
      <c r="I78" s="66" t="s">
        <v>19</v>
      </c>
      <c r="J78" s="4">
        <v>45728</v>
      </c>
      <c r="K78" s="18" t="s">
        <v>863</v>
      </c>
      <c r="L78" s="22" t="s">
        <v>107</v>
      </c>
    </row>
    <row r="79" spans="1:12">
      <c r="A79" s="37">
        <v>543</v>
      </c>
      <c r="B79" s="21" t="s">
        <v>28</v>
      </c>
      <c r="C79" s="9">
        <v>13667</v>
      </c>
      <c r="D79" s="26">
        <v>45717</v>
      </c>
      <c r="E79" s="26">
        <v>45747</v>
      </c>
      <c r="F79" s="40" t="s">
        <v>11</v>
      </c>
      <c r="G79" s="25">
        <v>150000</v>
      </c>
      <c r="H79" s="72">
        <v>5.0000000000000001E-3</v>
      </c>
      <c r="I79" s="66" t="s">
        <v>39</v>
      </c>
      <c r="J79" s="4">
        <v>45728</v>
      </c>
      <c r="K79" s="18" t="s">
        <v>864</v>
      </c>
      <c r="L79" s="37" t="s">
        <v>1081</v>
      </c>
    </row>
    <row r="80" spans="1:12">
      <c r="A80" s="37">
        <v>544</v>
      </c>
      <c r="B80" s="21" t="s">
        <v>28</v>
      </c>
      <c r="C80" s="9">
        <v>16988</v>
      </c>
      <c r="D80" s="26">
        <v>45726</v>
      </c>
      <c r="E80" s="26">
        <v>45747</v>
      </c>
      <c r="F80" s="40" t="s">
        <v>11</v>
      </c>
      <c r="G80" s="25">
        <v>0.1</v>
      </c>
      <c r="H80" s="72">
        <v>7.4999999999999997E-3</v>
      </c>
      <c r="I80" s="66" t="s">
        <v>168</v>
      </c>
      <c r="J80" s="4">
        <v>45728</v>
      </c>
      <c r="K80" s="18" t="s">
        <v>865</v>
      </c>
      <c r="L80" s="22" t="s">
        <v>107</v>
      </c>
    </row>
    <row r="81" spans="1:12">
      <c r="A81" s="37">
        <v>545</v>
      </c>
      <c r="B81" s="21" t="s">
        <v>28</v>
      </c>
      <c r="C81" s="9">
        <v>15730</v>
      </c>
      <c r="D81" s="26">
        <v>45717</v>
      </c>
      <c r="E81" s="26">
        <v>45747</v>
      </c>
      <c r="F81" s="40" t="s">
        <v>11</v>
      </c>
      <c r="G81" s="25">
        <v>300000</v>
      </c>
      <c r="H81" s="72">
        <v>3.0000000000000001E-3</v>
      </c>
      <c r="I81" s="66" t="s">
        <v>13</v>
      </c>
      <c r="J81" s="4">
        <v>45728</v>
      </c>
      <c r="K81" s="18" t="s">
        <v>867</v>
      </c>
      <c r="L81" s="22" t="s">
        <v>107</v>
      </c>
    </row>
    <row r="82" spans="1:12">
      <c r="A82" s="37">
        <v>546</v>
      </c>
      <c r="B82" s="21" t="s">
        <v>28</v>
      </c>
      <c r="C82" s="9">
        <v>15730</v>
      </c>
      <c r="D82" s="26">
        <v>45717</v>
      </c>
      <c r="E82" s="26">
        <v>45747</v>
      </c>
      <c r="F82" s="40" t="s">
        <v>11</v>
      </c>
      <c r="G82" s="25">
        <v>400000</v>
      </c>
      <c r="H82" s="72">
        <v>4.0000000000000001E-3</v>
      </c>
      <c r="I82" s="66" t="s">
        <v>13</v>
      </c>
      <c r="J82" s="4">
        <v>45728</v>
      </c>
      <c r="K82" s="18" t="s">
        <v>867</v>
      </c>
      <c r="L82" s="22" t="s">
        <v>107</v>
      </c>
    </row>
    <row r="83" spans="1:12">
      <c r="A83" s="37">
        <v>547</v>
      </c>
      <c r="B83" s="21" t="s">
        <v>28</v>
      </c>
      <c r="C83" s="9">
        <v>15730</v>
      </c>
      <c r="D83" s="26">
        <v>45717</v>
      </c>
      <c r="E83" s="26">
        <v>45747</v>
      </c>
      <c r="F83" s="40" t="s">
        <v>11</v>
      </c>
      <c r="G83" s="25">
        <v>500000</v>
      </c>
      <c r="H83" s="72">
        <v>5.0000000000000001E-3</v>
      </c>
      <c r="I83" s="66" t="s">
        <v>13</v>
      </c>
      <c r="J83" s="4">
        <v>45728</v>
      </c>
      <c r="K83" s="18" t="s">
        <v>867</v>
      </c>
      <c r="L83" s="22" t="s">
        <v>107</v>
      </c>
    </row>
    <row r="84" spans="1:12">
      <c r="A84" s="37">
        <v>548</v>
      </c>
      <c r="B84" s="21" t="s">
        <v>28</v>
      </c>
      <c r="C84" s="9">
        <v>15730</v>
      </c>
      <c r="D84" s="26">
        <v>45717</v>
      </c>
      <c r="E84" s="26">
        <v>45747</v>
      </c>
      <c r="F84" s="40" t="s">
        <v>11</v>
      </c>
      <c r="G84" s="25">
        <v>700000</v>
      </c>
      <c r="H84" s="72">
        <v>7.0000000000000001E-3</v>
      </c>
      <c r="I84" s="66" t="s">
        <v>13</v>
      </c>
      <c r="J84" s="4">
        <v>45728</v>
      </c>
      <c r="K84" s="18" t="s">
        <v>867</v>
      </c>
      <c r="L84" s="22" t="s">
        <v>107</v>
      </c>
    </row>
    <row r="85" spans="1:12">
      <c r="A85" s="37">
        <v>549</v>
      </c>
      <c r="B85" s="21" t="s">
        <v>28</v>
      </c>
      <c r="C85" s="9" t="s">
        <v>126</v>
      </c>
      <c r="D85" s="26">
        <v>45717</v>
      </c>
      <c r="E85" s="26">
        <v>45747</v>
      </c>
      <c r="F85" s="40" t="s">
        <v>11</v>
      </c>
      <c r="G85" s="25">
        <v>500000</v>
      </c>
      <c r="H85" s="72">
        <v>1E-3</v>
      </c>
      <c r="I85" s="66" t="s">
        <v>32</v>
      </c>
      <c r="J85" s="4">
        <v>45728</v>
      </c>
      <c r="K85" s="18" t="s">
        <v>868</v>
      </c>
      <c r="L85" s="22" t="s">
        <v>869</v>
      </c>
    </row>
    <row r="86" spans="1:12">
      <c r="A86" s="37">
        <v>550</v>
      </c>
      <c r="B86" s="21" t="s">
        <v>28</v>
      </c>
      <c r="C86" s="9">
        <v>13560</v>
      </c>
      <c r="D86" s="26">
        <v>45717</v>
      </c>
      <c r="E86" s="26">
        <v>45747</v>
      </c>
      <c r="F86" s="40" t="s">
        <v>11</v>
      </c>
      <c r="G86" s="25">
        <v>200000</v>
      </c>
      <c r="H86" s="72">
        <v>7.4999999999999997E-3</v>
      </c>
      <c r="I86" s="66" t="s">
        <v>20</v>
      </c>
      <c r="J86" s="4">
        <v>45728</v>
      </c>
      <c r="K86" s="18" t="s">
        <v>870</v>
      </c>
      <c r="L86" s="22" t="s">
        <v>107</v>
      </c>
    </row>
    <row r="87" spans="1:12">
      <c r="A87" s="37">
        <v>551</v>
      </c>
      <c r="B87" s="21" t="s">
        <v>28</v>
      </c>
      <c r="C87" s="9">
        <v>13750</v>
      </c>
      <c r="D87" s="26">
        <v>45717</v>
      </c>
      <c r="E87" s="26">
        <v>45747</v>
      </c>
      <c r="F87" s="40" t="s">
        <v>11</v>
      </c>
      <c r="G87" s="25">
        <v>200000</v>
      </c>
      <c r="H87" s="72">
        <v>7.4999999999999997E-3</v>
      </c>
      <c r="I87" s="66" t="s">
        <v>20</v>
      </c>
      <c r="J87" s="4">
        <v>45728</v>
      </c>
      <c r="K87" s="18" t="s">
        <v>870</v>
      </c>
      <c r="L87" s="22" t="s">
        <v>107</v>
      </c>
    </row>
    <row r="88" spans="1:12">
      <c r="A88" s="37">
        <v>552</v>
      </c>
      <c r="B88" s="21" t="s">
        <v>28</v>
      </c>
      <c r="C88" s="9">
        <v>9248</v>
      </c>
      <c r="D88" s="26">
        <v>45717</v>
      </c>
      <c r="E88" s="26">
        <v>45747</v>
      </c>
      <c r="F88" s="40" t="s">
        <v>11</v>
      </c>
      <c r="G88" s="25">
        <v>0.01</v>
      </c>
      <c r="H88" s="72">
        <v>5.0000000000000001E-3</v>
      </c>
      <c r="I88" s="66" t="s">
        <v>20</v>
      </c>
      <c r="J88" s="4">
        <v>45728</v>
      </c>
      <c r="K88" s="18" t="s">
        <v>871</v>
      </c>
      <c r="L88" s="22" t="s">
        <v>1082</v>
      </c>
    </row>
    <row r="89" spans="1:12">
      <c r="A89" s="37">
        <v>553</v>
      </c>
      <c r="B89" s="21" t="s">
        <v>28</v>
      </c>
      <c r="C89" s="9">
        <v>9248</v>
      </c>
      <c r="D89" s="26">
        <v>45717</v>
      </c>
      <c r="E89" s="26">
        <v>45747</v>
      </c>
      <c r="F89" s="40" t="s">
        <v>11</v>
      </c>
      <c r="G89" s="25">
        <v>0.01</v>
      </c>
      <c r="H89" s="72">
        <v>5.0000000000000001E-3</v>
      </c>
      <c r="I89" s="66" t="s">
        <v>20</v>
      </c>
      <c r="J89" s="4">
        <v>45728</v>
      </c>
      <c r="K89" s="18" t="s">
        <v>871</v>
      </c>
      <c r="L89" s="22" t="s">
        <v>107</v>
      </c>
    </row>
    <row r="90" spans="1:12">
      <c r="A90" s="37">
        <v>554</v>
      </c>
      <c r="B90" s="21" t="s">
        <v>28</v>
      </c>
      <c r="C90" s="9" t="s">
        <v>336</v>
      </c>
      <c r="D90" s="26">
        <v>45717</v>
      </c>
      <c r="E90" s="26">
        <v>45747</v>
      </c>
      <c r="F90" s="40" t="s">
        <v>11</v>
      </c>
      <c r="G90" s="25">
        <v>0.01</v>
      </c>
      <c r="H90" s="72">
        <v>6.0000000000000001E-3</v>
      </c>
      <c r="I90" s="66" t="s">
        <v>20</v>
      </c>
      <c r="J90" s="4">
        <v>45728</v>
      </c>
      <c r="K90" s="18" t="s">
        <v>871</v>
      </c>
      <c r="L90" s="22" t="s">
        <v>107</v>
      </c>
    </row>
    <row r="91" spans="1:12">
      <c r="A91" s="37">
        <v>555</v>
      </c>
      <c r="B91" s="21" t="s">
        <v>28</v>
      </c>
      <c r="C91" s="9" t="s">
        <v>113</v>
      </c>
      <c r="D91" s="26">
        <v>45717</v>
      </c>
      <c r="E91" s="26">
        <v>45747</v>
      </c>
      <c r="F91" s="40" t="s">
        <v>11</v>
      </c>
      <c r="G91" s="25">
        <v>0.01</v>
      </c>
      <c r="H91" s="72">
        <v>2.5000000000000001E-3</v>
      </c>
      <c r="I91" s="66" t="s">
        <v>20</v>
      </c>
      <c r="J91" s="4">
        <v>45728</v>
      </c>
      <c r="K91" s="18" t="s">
        <v>871</v>
      </c>
      <c r="L91" s="22" t="s">
        <v>107</v>
      </c>
    </row>
    <row r="92" spans="1:12">
      <c r="A92" s="37">
        <v>556</v>
      </c>
      <c r="B92" s="21" t="s">
        <v>28</v>
      </c>
      <c r="C92" s="9" t="s">
        <v>872</v>
      </c>
      <c r="D92" s="26">
        <v>45717</v>
      </c>
      <c r="E92" s="26">
        <v>45747</v>
      </c>
      <c r="F92" s="40" t="s">
        <v>11</v>
      </c>
      <c r="G92" s="25">
        <v>0.01</v>
      </c>
      <c r="H92" s="72">
        <v>5.0000000000000001E-3</v>
      </c>
      <c r="I92" s="66" t="s">
        <v>20</v>
      </c>
      <c r="J92" s="4">
        <v>45728</v>
      </c>
      <c r="K92" s="18" t="s">
        <v>871</v>
      </c>
      <c r="L92" s="22" t="s">
        <v>107</v>
      </c>
    </row>
    <row r="93" spans="1:12">
      <c r="A93" s="37">
        <v>557</v>
      </c>
      <c r="B93" s="21" t="s">
        <v>28</v>
      </c>
      <c r="C93" s="9">
        <v>11730</v>
      </c>
      <c r="D93" s="26">
        <v>45717</v>
      </c>
      <c r="E93" s="26">
        <v>45747</v>
      </c>
      <c r="F93" s="40" t="s">
        <v>11</v>
      </c>
      <c r="G93" s="25">
        <v>0.01</v>
      </c>
      <c r="H93" s="72">
        <v>0.01</v>
      </c>
      <c r="I93" s="66" t="s">
        <v>14</v>
      </c>
      <c r="J93" s="4">
        <v>45726</v>
      </c>
      <c r="K93" s="18" t="s">
        <v>873</v>
      </c>
      <c r="L93" s="22" t="s">
        <v>876</v>
      </c>
    </row>
    <row r="94" spans="1:12">
      <c r="A94" s="37">
        <v>558</v>
      </c>
      <c r="B94" s="21" t="s">
        <v>28</v>
      </c>
      <c r="C94" s="9">
        <v>8447</v>
      </c>
      <c r="D94" s="26">
        <v>45717</v>
      </c>
      <c r="E94" s="26">
        <v>45747</v>
      </c>
      <c r="F94" s="40" t="s">
        <v>11</v>
      </c>
      <c r="G94" s="25">
        <v>0.01</v>
      </c>
      <c r="H94" s="72">
        <v>0.01</v>
      </c>
      <c r="I94" s="66" t="s">
        <v>14</v>
      </c>
      <c r="J94" s="4">
        <v>45726</v>
      </c>
      <c r="K94" s="18" t="s">
        <v>873</v>
      </c>
      <c r="L94" s="22" t="s">
        <v>894</v>
      </c>
    </row>
    <row r="95" spans="1:12">
      <c r="A95" s="37">
        <v>559</v>
      </c>
      <c r="B95" s="21" t="s">
        <v>28</v>
      </c>
      <c r="C95" s="9" t="s">
        <v>874</v>
      </c>
      <c r="D95" s="26">
        <v>45717</v>
      </c>
      <c r="E95" s="26">
        <v>45747</v>
      </c>
      <c r="F95" s="40" t="s">
        <v>11</v>
      </c>
      <c r="G95" s="25">
        <v>0.01</v>
      </c>
      <c r="H95" s="72">
        <v>0.01</v>
      </c>
      <c r="I95" s="66" t="s">
        <v>14</v>
      </c>
      <c r="J95" s="4">
        <v>45726</v>
      </c>
      <c r="K95" s="18" t="s">
        <v>873</v>
      </c>
      <c r="L95" s="22" t="s">
        <v>876</v>
      </c>
    </row>
    <row r="96" spans="1:12">
      <c r="A96" s="37">
        <v>560</v>
      </c>
      <c r="B96" s="21" t="s">
        <v>28</v>
      </c>
      <c r="C96" s="9" t="s">
        <v>875</v>
      </c>
      <c r="D96" s="26">
        <v>45717</v>
      </c>
      <c r="E96" s="26">
        <v>45747</v>
      </c>
      <c r="F96" s="40" t="s">
        <v>11</v>
      </c>
      <c r="G96" s="25">
        <v>0.01</v>
      </c>
      <c r="H96" s="72">
        <v>0.01</v>
      </c>
      <c r="I96" s="66" t="s">
        <v>14</v>
      </c>
      <c r="J96" s="4">
        <v>45726</v>
      </c>
      <c r="K96" s="18" t="s">
        <v>873</v>
      </c>
      <c r="L96" s="22" t="s">
        <v>876</v>
      </c>
    </row>
    <row r="97" spans="1:12">
      <c r="A97" s="37">
        <v>561</v>
      </c>
      <c r="B97" s="21" t="s">
        <v>28</v>
      </c>
      <c r="C97" s="9">
        <v>9212</v>
      </c>
      <c r="D97" s="26">
        <v>45717</v>
      </c>
      <c r="E97" s="26">
        <v>45747</v>
      </c>
      <c r="F97" s="40" t="s">
        <v>11</v>
      </c>
      <c r="G97" s="25">
        <v>0.01</v>
      </c>
      <c r="H97" s="72">
        <v>0.01</v>
      </c>
      <c r="I97" s="66" t="s">
        <v>14</v>
      </c>
      <c r="J97" s="4">
        <v>45726</v>
      </c>
      <c r="K97" s="18" t="s">
        <v>873</v>
      </c>
      <c r="L97" s="22" t="s">
        <v>877</v>
      </c>
    </row>
    <row r="98" spans="1:12">
      <c r="A98" s="37">
        <v>562</v>
      </c>
      <c r="B98" s="21" t="s">
        <v>28</v>
      </c>
      <c r="C98" s="9">
        <v>9212</v>
      </c>
      <c r="D98" s="26">
        <v>45717</v>
      </c>
      <c r="E98" s="26">
        <v>45747</v>
      </c>
      <c r="F98" s="40" t="s">
        <v>11</v>
      </c>
      <c r="G98" s="25">
        <v>0.01</v>
      </c>
      <c r="H98" s="72">
        <v>6.0000000000000001E-3</v>
      </c>
      <c r="I98" s="66" t="s">
        <v>14</v>
      </c>
      <c r="J98" s="4">
        <v>45726</v>
      </c>
      <c r="K98" s="18" t="s">
        <v>873</v>
      </c>
      <c r="L98" s="22" t="s">
        <v>107</v>
      </c>
    </row>
    <row r="99" spans="1:12">
      <c r="A99" s="37">
        <v>563</v>
      </c>
      <c r="B99" s="21" t="s">
        <v>28</v>
      </c>
      <c r="C99" s="9">
        <v>14194</v>
      </c>
      <c r="D99" s="26">
        <v>45717</v>
      </c>
      <c r="E99" s="26">
        <v>45747</v>
      </c>
      <c r="F99" s="40" t="s">
        <v>11</v>
      </c>
      <c r="G99" s="25">
        <v>1</v>
      </c>
      <c r="H99" s="72">
        <v>5.0000000000000001E-3</v>
      </c>
      <c r="I99" s="66" t="s">
        <v>20</v>
      </c>
      <c r="J99" s="4">
        <v>45728</v>
      </c>
      <c r="K99" s="18" t="s">
        <v>878</v>
      </c>
      <c r="L99" s="22" t="s">
        <v>107</v>
      </c>
    </row>
    <row r="100" spans="1:12">
      <c r="A100" s="37">
        <v>564</v>
      </c>
      <c r="B100" s="21" t="s">
        <v>28</v>
      </c>
      <c r="C100" s="9">
        <v>4629</v>
      </c>
      <c r="D100" s="26">
        <v>45717</v>
      </c>
      <c r="E100" s="26">
        <v>45747</v>
      </c>
      <c r="F100" s="40" t="s">
        <v>11</v>
      </c>
      <c r="G100" s="25">
        <v>0.01</v>
      </c>
      <c r="H100" s="72">
        <v>0.01</v>
      </c>
      <c r="I100" s="66" t="s">
        <v>46</v>
      </c>
      <c r="J100" s="4">
        <v>45728</v>
      </c>
      <c r="K100" s="18" t="s">
        <v>551</v>
      </c>
      <c r="L100" s="22" t="s">
        <v>445</v>
      </c>
    </row>
    <row r="101" spans="1:12">
      <c r="A101" s="37">
        <v>565</v>
      </c>
      <c r="B101" s="21" t="s">
        <v>28</v>
      </c>
      <c r="C101" s="9">
        <v>11652</v>
      </c>
      <c r="D101" s="26">
        <v>45717</v>
      </c>
      <c r="E101" s="26">
        <v>45747</v>
      </c>
      <c r="F101" s="40" t="s">
        <v>11</v>
      </c>
      <c r="G101" s="25">
        <v>0.01</v>
      </c>
      <c r="H101" s="72">
        <v>0.01</v>
      </c>
      <c r="I101" s="66" t="s">
        <v>46</v>
      </c>
      <c r="J101" s="4">
        <v>45728</v>
      </c>
      <c r="K101" s="18" t="s">
        <v>551</v>
      </c>
      <c r="L101" s="22" t="s">
        <v>445</v>
      </c>
    </row>
    <row r="102" spans="1:12">
      <c r="A102" s="37">
        <v>566</v>
      </c>
      <c r="B102" s="21" t="s">
        <v>28</v>
      </c>
      <c r="C102" s="9">
        <v>14533</v>
      </c>
      <c r="D102" s="26">
        <v>45717</v>
      </c>
      <c r="E102" s="26">
        <v>45747</v>
      </c>
      <c r="F102" s="40" t="s">
        <v>11</v>
      </c>
      <c r="G102" s="25">
        <v>0.01</v>
      </c>
      <c r="H102" s="72">
        <v>0.01</v>
      </c>
      <c r="I102" s="66" t="s">
        <v>46</v>
      </c>
      <c r="J102" s="4">
        <v>45728</v>
      </c>
      <c r="K102" s="18" t="s">
        <v>551</v>
      </c>
      <c r="L102" s="22" t="s">
        <v>445</v>
      </c>
    </row>
    <row r="103" spans="1:12">
      <c r="A103" s="37">
        <v>567</v>
      </c>
      <c r="B103" s="21" t="s">
        <v>28</v>
      </c>
      <c r="C103" s="9">
        <v>16839</v>
      </c>
      <c r="D103" s="26">
        <v>45717</v>
      </c>
      <c r="E103" s="26">
        <v>45747</v>
      </c>
      <c r="F103" s="40" t="s">
        <v>11</v>
      </c>
      <c r="G103" s="25">
        <v>0.01</v>
      </c>
      <c r="H103" s="72">
        <v>0.01</v>
      </c>
      <c r="I103" s="66" t="s">
        <v>46</v>
      </c>
      <c r="J103" s="4">
        <v>45728</v>
      </c>
      <c r="K103" s="18" t="s">
        <v>551</v>
      </c>
      <c r="L103" s="22" t="s">
        <v>445</v>
      </c>
    </row>
    <row r="104" spans="1:12">
      <c r="A104" s="37">
        <v>568</v>
      </c>
      <c r="B104" s="21" t="s">
        <v>28</v>
      </c>
      <c r="C104" s="9">
        <v>16775</v>
      </c>
      <c r="D104" s="26">
        <v>45717</v>
      </c>
      <c r="E104" s="26">
        <v>45747</v>
      </c>
      <c r="F104" s="40" t="s">
        <v>11</v>
      </c>
      <c r="G104" s="25">
        <v>0.01</v>
      </c>
      <c r="H104" s="72">
        <v>0.01</v>
      </c>
      <c r="I104" s="66" t="s">
        <v>46</v>
      </c>
      <c r="J104" s="4">
        <v>45728</v>
      </c>
      <c r="K104" s="18" t="s">
        <v>551</v>
      </c>
      <c r="L104" s="22" t="s">
        <v>445</v>
      </c>
    </row>
    <row r="105" spans="1:12">
      <c r="A105" s="37">
        <v>569</v>
      </c>
      <c r="B105" s="21" t="s">
        <v>28</v>
      </c>
      <c r="C105" s="9">
        <v>10090</v>
      </c>
      <c r="D105" s="26">
        <v>45733</v>
      </c>
      <c r="E105" s="26">
        <v>45747</v>
      </c>
      <c r="F105" s="40" t="s">
        <v>11</v>
      </c>
      <c r="G105" s="25">
        <v>0.01</v>
      </c>
      <c r="H105" s="72">
        <v>0.01</v>
      </c>
      <c r="I105" s="66" t="s">
        <v>46</v>
      </c>
      <c r="J105" s="4">
        <v>45728</v>
      </c>
      <c r="K105" s="18" t="s">
        <v>551</v>
      </c>
      <c r="L105" s="22" t="s">
        <v>445</v>
      </c>
    </row>
    <row r="106" spans="1:12">
      <c r="A106" s="37">
        <v>570</v>
      </c>
      <c r="B106" s="21" t="s">
        <v>28</v>
      </c>
      <c r="C106" s="9">
        <v>11652</v>
      </c>
      <c r="D106" s="26">
        <v>45717</v>
      </c>
      <c r="E106" s="26">
        <v>45747</v>
      </c>
      <c r="F106" s="40" t="s">
        <v>11</v>
      </c>
      <c r="G106" s="25">
        <v>0.01</v>
      </c>
      <c r="H106" s="72">
        <v>2.5000000000000001E-3</v>
      </c>
      <c r="I106" s="66" t="s">
        <v>46</v>
      </c>
      <c r="J106" s="4">
        <v>45728</v>
      </c>
      <c r="K106" s="18" t="s">
        <v>762</v>
      </c>
      <c r="L106" s="22" t="s">
        <v>896</v>
      </c>
    </row>
    <row r="107" spans="1:12">
      <c r="A107" s="37">
        <v>571</v>
      </c>
      <c r="B107" s="21" t="s">
        <v>28</v>
      </c>
      <c r="C107" s="9">
        <v>5144</v>
      </c>
      <c r="D107" s="26">
        <v>45717</v>
      </c>
      <c r="E107" s="26">
        <v>45747</v>
      </c>
      <c r="F107" s="40" t="s">
        <v>11</v>
      </c>
      <c r="G107" s="25">
        <v>50000</v>
      </c>
      <c r="H107" s="72">
        <v>2.5000000000000001E-3</v>
      </c>
      <c r="I107" s="66" t="s">
        <v>18</v>
      </c>
      <c r="J107" s="4">
        <v>45728</v>
      </c>
      <c r="K107" s="18" t="s">
        <v>562</v>
      </c>
      <c r="L107" s="22" t="s">
        <v>1027</v>
      </c>
    </row>
    <row r="108" spans="1:12">
      <c r="A108" s="37">
        <v>572</v>
      </c>
      <c r="B108" s="21" t="s">
        <v>28</v>
      </c>
      <c r="C108" s="9">
        <v>15143</v>
      </c>
      <c r="D108" s="26">
        <v>45717</v>
      </c>
      <c r="E108" s="26">
        <v>45747</v>
      </c>
      <c r="F108" s="40" t="s">
        <v>11</v>
      </c>
      <c r="G108" s="25">
        <v>200000</v>
      </c>
      <c r="H108" s="72">
        <v>2E-3</v>
      </c>
      <c r="I108" s="66" t="s">
        <v>101</v>
      </c>
      <c r="J108" s="4">
        <v>45728</v>
      </c>
      <c r="K108" s="18" t="s">
        <v>504</v>
      </c>
      <c r="L108" s="22" t="s">
        <v>895</v>
      </c>
    </row>
    <row r="109" spans="1:12">
      <c r="A109" s="37">
        <v>573</v>
      </c>
      <c r="B109" s="21" t="s">
        <v>28</v>
      </c>
      <c r="C109" s="9" t="s">
        <v>205</v>
      </c>
      <c r="D109" s="26">
        <v>45717</v>
      </c>
      <c r="E109" s="26">
        <v>45747</v>
      </c>
      <c r="F109" s="40" t="s">
        <v>11</v>
      </c>
      <c r="G109" s="25">
        <v>0.01</v>
      </c>
      <c r="H109" s="72">
        <v>7.4999999999999997E-3</v>
      </c>
      <c r="I109" s="66" t="s">
        <v>24</v>
      </c>
      <c r="J109" s="4">
        <v>45728</v>
      </c>
      <c r="K109" s="18" t="s">
        <v>879</v>
      </c>
      <c r="L109" s="22" t="s">
        <v>1086</v>
      </c>
    </row>
    <row r="110" spans="1:12">
      <c r="A110" s="37">
        <v>574</v>
      </c>
      <c r="B110" s="21" t="s">
        <v>28</v>
      </c>
      <c r="C110" s="9">
        <v>16537</v>
      </c>
      <c r="D110" s="26">
        <v>45717</v>
      </c>
      <c r="E110" s="26">
        <v>45747</v>
      </c>
      <c r="F110" s="40" t="s">
        <v>11</v>
      </c>
      <c r="G110" s="25" t="s">
        <v>881</v>
      </c>
      <c r="H110" s="72">
        <v>2.5000000000000001E-3</v>
      </c>
      <c r="I110" s="66" t="s">
        <v>168</v>
      </c>
      <c r="J110" s="4">
        <v>45728</v>
      </c>
      <c r="K110" s="18" t="s">
        <v>880</v>
      </c>
      <c r="L110" s="22" t="s">
        <v>990</v>
      </c>
    </row>
    <row r="111" spans="1:12">
      <c r="A111" s="37">
        <v>575</v>
      </c>
      <c r="B111" s="21" t="s">
        <v>28</v>
      </c>
      <c r="C111" s="9" t="s">
        <v>207</v>
      </c>
      <c r="D111" s="26">
        <v>45717</v>
      </c>
      <c r="E111" s="26">
        <v>45747</v>
      </c>
      <c r="F111" s="40" t="s">
        <v>11</v>
      </c>
      <c r="G111" s="25">
        <v>0.01</v>
      </c>
      <c r="H111" s="72">
        <v>5.0000000000000001E-3</v>
      </c>
      <c r="I111" s="66" t="s">
        <v>24</v>
      </c>
      <c r="J111" s="4">
        <v>45728</v>
      </c>
      <c r="K111" s="18" t="s">
        <v>882</v>
      </c>
      <c r="L111" s="22" t="s">
        <v>1008</v>
      </c>
    </row>
    <row r="112" spans="1:12">
      <c r="A112" s="37">
        <v>576</v>
      </c>
      <c r="B112" s="21" t="s">
        <v>28</v>
      </c>
      <c r="C112" s="9">
        <v>3566</v>
      </c>
      <c r="D112" s="26">
        <v>45717</v>
      </c>
      <c r="E112" s="26">
        <v>45747</v>
      </c>
      <c r="F112" s="40" t="s">
        <v>11</v>
      </c>
      <c r="G112" s="25">
        <v>1000000</v>
      </c>
      <c r="H112" s="72">
        <v>7.0000000000000001E-3</v>
      </c>
      <c r="I112" s="66" t="s">
        <v>20</v>
      </c>
      <c r="J112" s="4">
        <v>45728</v>
      </c>
      <c r="K112" s="18" t="s">
        <v>883</v>
      </c>
      <c r="L112" s="22" t="s">
        <v>107</v>
      </c>
    </row>
    <row r="113" spans="1:12">
      <c r="A113" s="37">
        <v>577</v>
      </c>
      <c r="B113" s="21" t="s">
        <v>28</v>
      </c>
      <c r="C113" s="9">
        <v>15664</v>
      </c>
      <c r="D113" s="26">
        <v>45717</v>
      </c>
      <c r="E113" s="26">
        <v>45747</v>
      </c>
      <c r="F113" s="40" t="s">
        <v>11</v>
      </c>
      <c r="G113" s="25">
        <v>50000</v>
      </c>
      <c r="H113" s="72">
        <v>2.5000000000000001E-3</v>
      </c>
      <c r="I113" s="66" t="s">
        <v>18</v>
      </c>
      <c r="J113" s="4">
        <v>45727</v>
      </c>
      <c r="K113" s="18" t="s">
        <v>884</v>
      </c>
      <c r="L113" s="22" t="s">
        <v>1028</v>
      </c>
    </row>
    <row r="114" spans="1:12">
      <c r="A114" s="37">
        <v>578</v>
      </c>
      <c r="B114" s="21" t="s">
        <v>28</v>
      </c>
      <c r="C114" s="9">
        <v>13900</v>
      </c>
      <c r="D114" s="26">
        <v>45717</v>
      </c>
      <c r="E114" s="26">
        <v>45747</v>
      </c>
      <c r="F114" s="40" t="s">
        <v>11</v>
      </c>
      <c r="G114" s="25">
        <v>0.01</v>
      </c>
      <c r="H114" s="72">
        <v>1E-3</v>
      </c>
      <c r="I114" s="66" t="s">
        <v>14</v>
      </c>
      <c r="J114" s="4">
        <v>45727</v>
      </c>
      <c r="K114" s="18" t="s">
        <v>565</v>
      </c>
      <c r="L114" s="22" t="s">
        <v>107</v>
      </c>
    </row>
    <row r="115" spans="1:12">
      <c r="A115" s="37">
        <v>579</v>
      </c>
      <c r="B115" s="21" t="s">
        <v>28</v>
      </c>
      <c r="C115" s="9">
        <v>5146</v>
      </c>
      <c r="D115" s="26">
        <v>45717</v>
      </c>
      <c r="E115" s="26">
        <v>45747</v>
      </c>
      <c r="F115" s="40" t="s">
        <v>11</v>
      </c>
      <c r="G115" s="25">
        <v>100000</v>
      </c>
      <c r="H115" s="72">
        <v>3.0000000000000001E-3</v>
      </c>
      <c r="I115" s="66" t="s">
        <v>18</v>
      </c>
      <c r="J115" s="4">
        <v>45727</v>
      </c>
      <c r="K115" s="18" t="s">
        <v>227</v>
      </c>
      <c r="L115" s="22" t="s">
        <v>610</v>
      </c>
    </row>
    <row r="116" spans="1:12">
      <c r="A116" s="37">
        <v>580</v>
      </c>
      <c r="B116" s="21" t="s">
        <v>28</v>
      </c>
      <c r="C116" s="9">
        <v>16024</v>
      </c>
      <c r="D116" s="26">
        <v>45717</v>
      </c>
      <c r="E116" s="26">
        <v>45747</v>
      </c>
      <c r="F116" s="40" t="s">
        <v>11</v>
      </c>
      <c r="G116" s="25">
        <v>100</v>
      </c>
      <c r="H116" s="72">
        <v>4.0000000000000001E-3</v>
      </c>
      <c r="I116" s="66" t="s">
        <v>13</v>
      </c>
      <c r="J116" s="4">
        <v>45727</v>
      </c>
      <c r="K116" s="18" t="s">
        <v>202</v>
      </c>
      <c r="L116" s="22" t="s">
        <v>203</v>
      </c>
    </row>
    <row r="117" spans="1:12" ht="30">
      <c r="A117" s="37">
        <v>581</v>
      </c>
      <c r="B117" s="21" t="s">
        <v>28</v>
      </c>
      <c r="C117" s="9">
        <v>7566</v>
      </c>
      <c r="D117" s="26">
        <v>45717</v>
      </c>
      <c r="E117" s="26">
        <v>45747</v>
      </c>
      <c r="F117" s="40" t="s">
        <v>11</v>
      </c>
      <c r="G117" s="25">
        <v>100</v>
      </c>
      <c r="H117" s="72">
        <v>2E-3</v>
      </c>
      <c r="I117" s="66" t="s">
        <v>13</v>
      </c>
      <c r="J117" s="4">
        <v>45727</v>
      </c>
      <c r="K117" s="18" t="s">
        <v>885</v>
      </c>
      <c r="L117" s="22" t="s">
        <v>761</v>
      </c>
    </row>
    <row r="118" spans="1:12">
      <c r="A118" s="37">
        <v>582</v>
      </c>
      <c r="B118" s="21" t="s">
        <v>28</v>
      </c>
      <c r="C118" s="9">
        <v>15293</v>
      </c>
      <c r="D118" s="26">
        <v>45717</v>
      </c>
      <c r="E118" s="26">
        <v>45747</v>
      </c>
      <c r="F118" s="40" t="s">
        <v>11</v>
      </c>
      <c r="G118" s="25">
        <v>1000</v>
      </c>
      <c r="H118" s="72">
        <v>0.01</v>
      </c>
      <c r="I118" s="66" t="s">
        <v>18</v>
      </c>
      <c r="J118" s="4">
        <v>45727</v>
      </c>
      <c r="K118" s="18" t="s">
        <v>647</v>
      </c>
      <c r="L118" s="22" t="s">
        <v>886</v>
      </c>
    </row>
    <row r="119" spans="1:12">
      <c r="A119" s="37">
        <v>583</v>
      </c>
      <c r="B119" s="21" t="s">
        <v>28</v>
      </c>
      <c r="C119" s="9" t="s">
        <v>149</v>
      </c>
      <c r="D119" s="26">
        <v>45717</v>
      </c>
      <c r="E119" s="26">
        <v>45747</v>
      </c>
      <c r="F119" s="40" t="s">
        <v>11</v>
      </c>
      <c r="G119" s="25">
        <v>1000</v>
      </c>
      <c r="H119" s="72">
        <v>7.4999999999999997E-3</v>
      </c>
      <c r="I119" s="66" t="s">
        <v>27</v>
      </c>
      <c r="J119" s="4">
        <v>45727</v>
      </c>
      <c r="K119" s="18" t="s">
        <v>887</v>
      </c>
      <c r="L119" s="22" t="s">
        <v>107</v>
      </c>
    </row>
    <row r="120" spans="1:12">
      <c r="A120" s="37">
        <v>584</v>
      </c>
      <c r="B120" s="21" t="s">
        <v>28</v>
      </c>
      <c r="C120" s="9">
        <v>17062</v>
      </c>
      <c r="D120" s="26">
        <v>45717</v>
      </c>
      <c r="E120" s="26">
        <v>45747</v>
      </c>
      <c r="F120" s="40" t="s">
        <v>11</v>
      </c>
      <c r="G120" s="25">
        <v>300000</v>
      </c>
      <c r="H120" s="72">
        <v>3.0000000000000001E-3</v>
      </c>
      <c r="I120" s="66" t="s">
        <v>13</v>
      </c>
      <c r="J120" s="4">
        <v>45727</v>
      </c>
      <c r="K120" s="18" t="s">
        <v>888</v>
      </c>
      <c r="L120" s="22" t="s">
        <v>107</v>
      </c>
    </row>
    <row r="121" spans="1:12">
      <c r="A121" s="37">
        <v>585</v>
      </c>
      <c r="B121" s="21" t="s">
        <v>28</v>
      </c>
      <c r="C121" s="9">
        <v>17062</v>
      </c>
      <c r="D121" s="26">
        <v>45717</v>
      </c>
      <c r="E121" s="26">
        <v>45747</v>
      </c>
      <c r="F121" s="40" t="s">
        <v>11</v>
      </c>
      <c r="G121" s="25">
        <v>400000</v>
      </c>
      <c r="H121" s="72">
        <v>4.0000000000000001E-3</v>
      </c>
      <c r="I121" s="66" t="s">
        <v>13</v>
      </c>
      <c r="J121" s="4">
        <v>45727</v>
      </c>
      <c r="K121" s="18" t="s">
        <v>888</v>
      </c>
      <c r="L121" s="22" t="s">
        <v>107</v>
      </c>
    </row>
    <row r="122" spans="1:12">
      <c r="A122" s="37">
        <v>586</v>
      </c>
      <c r="B122" s="21" t="s">
        <v>28</v>
      </c>
      <c r="C122" s="9">
        <v>17062</v>
      </c>
      <c r="D122" s="26">
        <v>45717</v>
      </c>
      <c r="E122" s="26">
        <v>45747</v>
      </c>
      <c r="F122" s="40" t="s">
        <v>11</v>
      </c>
      <c r="G122" s="25">
        <v>500000</v>
      </c>
      <c r="H122" s="72">
        <v>5.0000000000000001E-3</v>
      </c>
      <c r="I122" s="66" t="s">
        <v>13</v>
      </c>
      <c r="J122" s="4">
        <v>45727</v>
      </c>
      <c r="K122" s="18" t="s">
        <v>888</v>
      </c>
      <c r="L122" s="22" t="s">
        <v>107</v>
      </c>
    </row>
    <row r="123" spans="1:12">
      <c r="A123" s="37">
        <v>587</v>
      </c>
      <c r="B123" s="21" t="s">
        <v>28</v>
      </c>
      <c r="C123" s="9">
        <v>6458</v>
      </c>
      <c r="D123" s="26">
        <v>45717</v>
      </c>
      <c r="E123" s="26">
        <v>45747</v>
      </c>
      <c r="F123" s="40" t="s">
        <v>197</v>
      </c>
      <c r="G123" s="25">
        <v>10</v>
      </c>
      <c r="H123" s="72">
        <v>2E-3</v>
      </c>
      <c r="I123" s="66" t="s">
        <v>13</v>
      </c>
      <c r="J123" s="4">
        <v>45727</v>
      </c>
      <c r="K123" s="18" t="s">
        <v>889</v>
      </c>
      <c r="L123" s="22" t="s">
        <v>890</v>
      </c>
    </row>
    <row r="124" spans="1:12">
      <c r="A124" s="37">
        <v>588</v>
      </c>
      <c r="B124" s="21" t="s">
        <v>28</v>
      </c>
      <c r="C124" s="9">
        <v>14496</v>
      </c>
      <c r="D124" s="26">
        <v>45717</v>
      </c>
      <c r="E124" s="26">
        <v>45747</v>
      </c>
      <c r="F124" s="40" t="s">
        <v>11</v>
      </c>
      <c r="G124" s="25">
        <v>0.01</v>
      </c>
      <c r="H124" s="72">
        <v>5.0000000000000001E-3</v>
      </c>
      <c r="I124" s="66" t="s">
        <v>22</v>
      </c>
      <c r="J124" s="4">
        <v>45727</v>
      </c>
      <c r="K124" s="18" t="s">
        <v>891</v>
      </c>
      <c r="L124" s="22" t="s">
        <v>107</v>
      </c>
    </row>
    <row r="125" spans="1:12">
      <c r="A125" s="37">
        <v>589</v>
      </c>
      <c r="B125" s="21" t="s">
        <v>28</v>
      </c>
      <c r="C125" s="9">
        <v>5948</v>
      </c>
      <c r="D125" s="26">
        <v>45717</v>
      </c>
      <c r="E125" s="26">
        <v>45747</v>
      </c>
      <c r="F125" s="40" t="s">
        <v>11</v>
      </c>
      <c r="G125" s="25">
        <v>200000</v>
      </c>
      <c r="H125" s="74">
        <v>300</v>
      </c>
      <c r="I125" s="66" t="s">
        <v>46</v>
      </c>
      <c r="J125" s="4">
        <v>45727</v>
      </c>
      <c r="K125" s="18" t="s">
        <v>892</v>
      </c>
      <c r="L125" s="22" t="s">
        <v>1091</v>
      </c>
    </row>
    <row r="126" spans="1:12">
      <c r="A126" s="37">
        <v>590</v>
      </c>
      <c r="B126" s="21" t="s">
        <v>28</v>
      </c>
      <c r="C126" s="9">
        <v>5725</v>
      </c>
      <c r="D126" s="26">
        <v>45717</v>
      </c>
      <c r="E126" s="26">
        <v>45747</v>
      </c>
      <c r="F126" s="40" t="s">
        <v>11</v>
      </c>
      <c r="G126" s="25">
        <v>200000</v>
      </c>
      <c r="H126" s="74">
        <v>300</v>
      </c>
      <c r="I126" s="66" t="s">
        <v>46</v>
      </c>
      <c r="J126" s="4">
        <v>45727</v>
      </c>
      <c r="K126" s="18" t="s">
        <v>892</v>
      </c>
      <c r="L126" s="22" t="s">
        <v>1091</v>
      </c>
    </row>
    <row r="127" spans="1:12">
      <c r="A127" s="37">
        <v>591</v>
      </c>
      <c r="B127" s="21" t="s">
        <v>28</v>
      </c>
      <c r="C127" s="9">
        <v>14382</v>
      </c>
      <c r="D127" s="26">
        <v>45717</v>
      </c>
      <c r="E127" s="26">
        <v>45747</v>
      </c>
      <c r="F127" s="40" t="s">
        <v>11</v>
      </c>
      <c r="G127" s="25">
        <v>200000</v>
      </c>
      <c r="H127" s="74">
        <v>300</v>
      </c>
      <c r="I127" s="66" t="s">
        <v>46</v>
      </c>
      <c r="J127" s="4">
        <v>45727</v>
      </c>
      <c r="K127" s="18" t="s">
        <v>892</v>
      </c>
      <c r="L127" s="22" t="s">
        <v>1091</v>
      </c>
    </row>
    <row r="128" spans="1:12">
      <c r="A128" s="37">
        <v>592</v>
      </c>
      <c r="B128" s="21" t="s">
        <v>28</v>
      </c>
      <c r="C128" s="9">
        <v>10400</v>
      </c>
      <c r="D128" s="26">
        <v>45717</v>
      </c>
      <c r="E128" s="26">
        <v>45747</v>
      </c>
      <c r="F128" s="40" t="s">
        <v>11</v>
      </c>
      <c r="G128" s="25">
        <v>200000</v>
      </c>
      <c r="H128" s="74">
        <v>300</v>
      </c>
      <c r="I128" s="66" t="s">
        <v>46</v>
      </c>
      <c r="J128" s="4">
        <v>45727</v>
      </c>
      <c r="K128" s="18" t="s">
        <v>892</v>
      </c>
      <c r="L128" s="22" t="s">
        <v>1091</v>
      </c>
    </row>
    <row r="129" spans="1:12">
      <c r="A129" s="37">
        <v>593</v>
      </c>
      <c r="B129" s="21" t="s">
        <v>28</v>
      </c>
      <c r="C129" s="9">
        <v>5596</v>
      </c>
      <c r="D129" s="26">
        <v>45717</v>
      </c>
      <c r="E129" s="26">
        <v>45747</v>
      </c>
      <c r="F129" s="40" t="s">
        <v>11</v>
      </c>
      <c r="G129" s="25">
        <v>200000</v>
      </c>
      <c r="H129" s="74">
        <v>300</v>
      </c>
      <c r="I129" s="66" t="s">
        <v>46</v>
      </c>
      <c r="J129" s="4">
        <v>45727</v>
      </c>
      <c r="K129" s="18" t="s">
        <v>892</v>
      </c>
      <c r="L129" s="22" t="s">
        <v>1091</v>
      </c>
    </row>
    <row r="130" spans="1:12">
      <c r="A130" s="37">
        <v>594</v>
      </c>
      <c r="B130" s="21" t="s">
        <v>28</v>
      </c>
      <c r="C130" s="9">
        <v>10443</v>
      </c>
      <c r="D130" s="26">
        <v>45717</v>
      </c>
      <c r="E130" s="26">
        <v>45747</v>
      </c>
      <c r="F130" s="40" t="s">
        <v>11</v>
      </c>
      <c r="G130" s="25">
        <v>200000</v>
      </c>
      <c r="H130" s="74">
        <v>300</v>
      </c>
      <c r="I130" s="66" t="s">
        <v>46</v>
      </c>
      <c r="J130" s="4">
        <v>45727</v>
      </c>
      <c r="K130" s="18" t="s">
        <v>892</v>
      </c>
      <c r="L130" s="22" t="s">
        <v>1091</v>
      </c>
    </row>
    <row r="131" spans="1:12">
      <c r="A131" s="37">
        <v>595</v>
      </c>
      <c r="B131" s="21" t="s">
        <v>28</v>
      </c>
      <c r="C131" s="9">
        <v>3741</v>
      </c>
      <c r="D131" s="26">
        <v>45717</v>
      </c>
      <c r="E131" s="26">
        <v>45747</v>
      </c>
      <c r="F131" s="40" t="s">
        <v>11</v>
      </c>
      <c r="G131" s="25">
        <v>200000</v>
      </c>
      <c r="H131" s="74">
        <v>300</v>
      </c>
      <c r="I131" s="66" t="s">
        <v>46</v>
      </c>
      <c r="J131" s="4">
        <v>45727</v>
      </c>
      <c r="K131" s="18" t="s">
        <v>892</v>
      </c>
      <c r="L131" s="22" t="s">
        <v>1091</v>
      </c>
    </row>
    <row r="132" spans="1:12">
      <c r="A132" s="37">
        <v>596</v>
      </c>
      <c r="B132" s="21" t="s">
        <v>28</v>
      </c>
      <c r="C132" s="9">
        <v>10211</v>
      </c>
      <c r="D132" s="26">
        <v>45717</v>
      </c>
      <c r="E132" s="26">
        <v>45747</v>
      </c>
      <c r="F132" s="40" t="s">
        <v>11</v>
      </c>
      <c r="G132" s="25">
        <v>200000</v>
      </c>
      <c r="H132" s="74">
        <v>300</v>
      </c>
      <c r="I132" s="66" t="s">
        <v>46</v>
      </c>
      <c r="J132" s="4">
        <v>45727</v>
      </c>
      <c r="K132" s="18" t="s">
        <v>892</v>
      </c>
      <c r="L132" s="22" t="s">
        <v>1091</v>
      </c>
    </row>
    <row r="133" spans="1:12">
      <c r="A133" s="37">
        <v>597</v>
      </c>
      <c r="B133" s="21" t="s">
        <v>28</v>
      </c>
      <c r="C133" s="9">
        <v>16979</v>
      </c>
      <c r="D133" s="26">
        <v>45717</v>
      </c>
      <c r="E133" s="26">
        <v>45747</v>
      </c>
      <c r="F133" s="40" t="s">
        <v>11</v>
      </c>
      <c r="G133" s="25">
        <v>30000</v>
      </c>
      <c r="H133" s="72">
        <v>5.0000000000000001E-3</v>
      </c>
      <c r="I133" s="66" t="s">
        <v>19</v>
      </c>
      <c r="J133" s="4">
        <v>45726</v>
      </c>
      <c r="K133" s="18" t="s">
        <v>897</v>
      </c>
      <c r="L133" s="22" t="s">
        <v>898</v>
      </c>
    </row>
    <row r="134" spans="1:12">
      <c r="A134" s="37">
        <v>598</v>
      </c>
      <c r="B134" s="21" t="s">
        <v>28</v>
      </c>
      <c r="C134" s="9">
        <v>7677</v>
      </c>
      <c r="D134" s="26">
        <v>45717</v>
      </c>
      <c r="E134" s="26">
        <v>45747</v>
      </c>
      <c r="F134" s="40" t="s">
        <v>11</v>
      </c>
      <c r="G134" s="25">
        <v>100</v>
      </c>
      <c r="H134" s="72">
        <v>1E-3</v>
      </c>
      <c r="I134" s="66" t="s">
        <v>13</v>
      </c>
      <c r="J134" s="4">
        <v>45729</v>
      </c>
      <c r="K134" s="18" t="s">
        <v>899</v>
      </c>
      <c r="L134" s="22" t="s">
        <v>128</v>
      </c>
    </row>
    <row r="135" spans="1:12">
      <c r="A135" s="37">
        <v>599</v>
      </c>
      <c r="B135" s="21" t="s">
        <v>28</v>
      </c>
      <c r="C135" s="9">
        <v>15233</v>
      </c>
      <c r="D135" s="26">
        <v>45717</v>
      </c>
      <c r="E135" s="26">
        <v>45747</v>
      </c>
      <c r="F135" s="40" t="s">
        <v>11</v>
      </c>
      <c r="G135" s="25">
        <v>50000</v>
      </c>
      <c r="H135" s="72">
        <v>3.0000000000000001E-3</v>
      </c>
      <c r="I135" s="66" t="s">
        <v>18</v>
      </c>
      <c r="J135" s="4">
        <v>45729</v>
      </c>
      <c r="K135" s="18" t="s">
        <v>900</v>
      </c>
      <c r="L135" s="22" t="s">
        <v>926</v>
      </c>
    </row>
    <row r="136" spans="1:12">
      <c r="A136" s="37">
        <v>600</v>
      </c>
      <c r="B136" s="21" t="s">
        <v>28</v>
      </c>
      <c r="C136" s="9">
        <v>16358</v>
      </c>
      <c r="D136" s="26">
        <v>45717</v>
      </c>
      <c r="E136" s="26">
        <v>45747</v>
      </c>
      <c r="F136" s="40" t="s">
        <v>11</v>
      </c>
      <c r="G136" s="25">
        <v>100000</v>
      </c>
      <c r="H136" s="72">
        <v>6.0000000000000001E-3</v>
      </c>
      <c r="I136" s="66" t="s">
        <v>168</v>
      </c>
      <c r="J136" s="4">
        <v>45729</v>
      </c>
      <c r="K136" s="18" t="s">
        <v>901</v>
      </c>
      <c r="L136" s="22" t="s">
        <v>107</v>
      </c>
    </row>
    <row r="137" spans="1:12">
      <c r="A137" s="37">
        <v>601</v>
      </c>
      <c r="B137" s="21" t="s">
        <v>28</v>
      </c>
      <c r="C137" s="9">
        <v>12310</v>
      </c>
      <c r="D137" s="26">
        <v>45717</v>
      </c>
      <c r="E137" s="26">
        <v>45747</v>
      </c>
      <c r="F137" s="40" t="s">
        <v>11</v>
      </c>
      <c r="G137" s="25">
        <v>50000</v>
      </c>
      <c r="H137" s="72">
        <v>5.0000000000000001E-3</v>
      </c>
      <c r="I137" s="66" t="s">
        <v>13</v>
      </c>
      <c r="J137" s="4">
        <v>45727</v>
      </c>
      <c r="K137" s="18" t="s">
        <v>902</v>
      </c>
      <c r="L137" s="22" t="s">
        <v>107</v>
      </c>
    </row>
    <row r="138" spans="1:12">
      <c r="A138" s="37">
        <v>602</v>
      </c>
      <c r="B138" s="21" t="s">
        <v>28</v>
      </c>
      <c r="C138" s="9" t="s">
        <v>904</v>
      </c>
      <c r="D138" s="26">
        <v>45717</v>
      </c>
      <c r="E138" s="26">
        <v>45747</v>
      </c>
      <c r="F138" s="40" t="s">
        <v>11</v>
      </c>
      <c r="G138" s="25">
        <v>1000</v>
      </c>
      <c r="H138" s="72">
        <v>5.0000000000000001E-3</v>
      </c>
      <c r="I138" s="66" t="s">
        <v>27</v>
      </c>
      <c r="J138" s="4">
        <v>45727</v>
      </c>
      <c r="K138" s="18" t="s">
        <v>925</v>
      </c>
      <c r="L138" s="22" t="s">
        <v>107</v>
      </c>
    </row>
    <row r="139" spans="1:12">
      <c r="A139" s="37">
        <v>603</v>
      </c>
      <c r="B139" s="21" t="s">
        <v>28</v>
      </c>
      <c r="C139" s="9">
        <v>5804</v>
      </c>
      <c r="D139" s="26">
        <v>45717</v>
      </c>
      <c r="E139" s="26">
        <v>45747</v>
      </c>
      <c r="F139" s="40" t="s">
        <v>11</v>
      </c>
      <c r="G139" s="25">
        <v>1000</v>
      </c>
      <c r="H139" s="72">
        <v>5.0000000000000001E-3</v>
      </c>
      <c r="I139" s="66" t="s">
        <v>27</v>
      </c>
      <c r="J139" s="4">
        <v>45727</v>
      </c>
      <c r="K139" s="18" t="s">
        <v>903</v>
      </c>
      <c r="L139" s="22" t="s">
        <v>905</v>
      </c>
    </row>
    <row r="140" spans="1:12">
      <c r="A140" s="37">
        <v>604</v>
      </c>
      <c r="B140" s="21" t="s">
        <v>28</v>
      </c>
      <c r="C140" s="9" t="s">
        <v>904</v>
      </c>
      <c r="D140" s="26">
        <v>45717</v>
      </c>
      <c r="E140" s="26">
        <v>45747</v>
      </c>
      <c r="F140" s="40" t="s">
        <v>11</v>
      </c>
      <c r="G140" s="25">
        <v>0.01</v>
      </c>
      <c r="H140" s="72">
        <v>0.02</v>
      </c>
      <c r="I140" s="66" t="s">
        <v>27</v>
      </c>
      <c r="J140" s="4">
        <v>45727</v>
      </c>
      <c r="K140" s="18" t="s">
        <v>903</v>
      </c>
      <c r="L140" s="22" t="s">
        <v>906</v>
      </c>
    </row>
    <row r="141" spans="1:12">
      <c r="A141" s="37">
        <v>605</v>
      </c>
      <c r="B141" s="21" t="s">
        <v>28</v>
      </c>
      <c r="C141" s="9">
        <v>14905</v>
      </c>
      <c r="D141" s="26">
        <v>45717</v>
      </c>
      <c r="E141" s="26">
        <v>45747</v>
      </c>
      <c r="F141" s="40" t="s">
        <v>11</v>
      </c>
      <c r="G141" s="25">
        <v>200000</v>
      </c>
      <c r="H141" s="72">
        <v>2E-3</v>
      </c>
      <c r="I141" s="66" t="s">
        <v>20</v>
      </c>
      <c r="J141" s="4">
        <v>45729</v>
      </c>
      <c r="K141" s="18" t="s">
        <v>907</v>
      </c>
      <c r="L141" s="22" t="s">
        <v>181</v>
      </c>
    </row>
    <row r="142" spans="1:12">
      <c r="A142" s="37">
        <v>606</v>
      </c>
      <c r="B142" s="21" t="s">
        <v>28</v>
      </c>
      <c r="C142" s="9" t="s">
        <v>909</v>
      </c>
      <c r="D142" s="26">
        <v>45717</v>
      </c>
      <c r="E142" s="26">
        <v>45747</v>
      </c>
      <c r="F142" s="40" t="s">
        <v>11</v>
      </c>
      <c r="G142" s="25" t="s">
        <v>910</v>
      </c>
      <c r="H142" s="72">
        <v>2.5000000000000001E-3</v>
      </c>
      <c r="I142" s="66" t="s">
        <v>168</v>
      </c>
      <c r="J142" s="4">
        <v>45729</v>
      </c>
      <c r="K142" s="18" t="s">
        <v>908</v>
      </c>
      <c r="L142" s="22" t="s">
        <v>991</v>
      </c>
    </row>
    <row r="143" spans="1:12">
      <c r="A143" s="37">
        <v>607</v>
      </c>
      <c r="B143" s="21" t="s">
        <v>28</v>
      </c>
      <c r="C143" s="9" t="s">
        <v>912</v>
      </c>
      <c r="D143" s="26">
        <v>45717</v>
      </c>
      <c r="E143" s="26">
        <v>45747</v>
      </c>
      <c r="F143" s="40" t="s">
        <v>11</v>
      </c>
      <c r="G143" s="25" t="s">
        <v>910</v>
      </c>
      <c r="H143" s="72">
        <v>2.5000000000000001E-3</v>
      </c>
      <c r="I143" s="66" t="s">
        <v>168</v>
      </c>
      <c r="J143" s="4">
        <v>45729</v>
      </c>
      <c r="K143" s="18" t="s">
        <v>911</v>
      </c>
      <c r="L143" s="22" t="s">
        <v>1012</v>
      </c>
    </row>
    <row r="144" spans="1:12">
      <c r="A144" s="37">
        <v>608</v>
      </c>
      <c r="B144" s="21" t="s">
        <v>28</v>
      </c>
      <c r="C144" s="9">
        <v>9931</v>
      </c>
      <c r="D144" s="26">
        <v>45717</v>
      </c>
      <c r="E144" s="26">
        <v>45747</v>
      </c>
      <c r="F144" s="40" t="s">
        <v>11</v>
      </c>
      <c r="G144" s="25">
        <v>0.01</v>
      </c>
      <c r="H144" s="72">
        <v>1.5E-3</v>
      </c>
      <c r="I144" s="66" t="s">
        <v>19</v>
      </c>
      <c r="J144" s="4">
        <v>45729</v>
      </c>
      <c r="K144" s="18" t="s">
        <v>913</v>
      </c>
      <c r="L144" s="22" t="s">
        <v>107</v>
      </c>
    </row>
    <row r="145" spans="1:12">
      <c r="A145" s="37">
        <v>609</v>
      </c>
      <c r="B145" s="21" t="s">
        <v>28</v>
      </c>
      <c r="C145" s="9">
        <v>16761</v>
      </c>
      <c r="D145" s="26">
        <v>45717</v>
      </c>
      <c r="E145" s="26">
        <v>45747</v>
      </c>
      <c r="F145" s="40" t="s">
        <v>11</v>
      </c>
      <c r="G145" s="25">
        <v>0.01</v>
      </c>
      <c r="H145" s="72">
        <v>1.5E-3</v>
      </c>
      <c r="I145" s="66" t="s">
        <v>19</v>
      </c>
      <c r="J145" s="4">
        <v>45730</v>
      </c>
      <c r="K145" s="18" t="s">
        <v>914</v>
      </c>
      <c r="L145" s="22" t="s">
        <v>107</v>
      </c>
    </row>
    <row r="146" spans="1:12">
      <c r="A146" s="37">
        <v>610</v>
      </c>
      <c r="B146" s="21" t="s">
        <v>28</v>
      </c>
      <c r="C146" s="9" t="s">
        <v>916</v>
      </c>
      <c r="D146" s="26">
        <v>45717</v>
      </c>
      <c r="E146" s="26">
        <v>45747</v>
      </c>
      <c r="F146" s="40" t="s">
        <v>11</v>
      </c>
      <c r="G146" s="25">
        <v>100000</v>
      </c>
      <c r="H146" s="72">
        <v>2.5000000000000001E-3</v>
      </c>
      <c r="I146" s="66" t="s">
        <v>18</v>
      </c>
      <c r="J146" s="4">
        <v>45726</v>
      </c>
      <c r="K146" s="18" t="s">
        <v>915</v>
      </c>
      <c r="L146" s="22" t="s">
        <v>927</v>
      </c>
    </row>
    <row r="147" spans="1:12">
      <c r="A147" s="37">
        <v>611</v>
      </c>
      <c r="B147" s="21" t="s">
        <v>28</v>
      </c>
      <c r="C147" s="9">
        <v>13977</v>
      </c>
      <c r="D147" s="26">
        <v>45717</v>
      </c>
      <c r="E147" s="26">
        <v>45747</v>
      </c>
      <c r="F147" s="40" t="s">
        <v>11</v>
      </c>
      <c r="G147" s="25">
        <v>100</v>
      </c>
      <c r="H147" s="72">
        <v>1.5E-3</v>
      </c>
      <c r="I147" s="66" t="s">
        <v>49</v>
      </c>
      <c r="J147" s="4">
        <v>45726</v>
      </c>
      <c r="K147" s="18" t="s">
        <v>917</v>
      </c>
      <c r="L147" s="22" t="s">
        <v>107</v>
      </c>
    </row>
    <row r="148" spans="1:12" ht="45">
      <c r="A148" s="37">
        <v>612</v>
      </c>
      <c r="B148" s="21" t="s">
        <v>28</v>
      </c>
      <c r="C148" s="9" t="s">
        <v>612</v>
      </c>
      <c r="D148" s="26">
        <v>45717</v>
      </c>
      <c r="E148" s="26">
        <v>45747</v>
      </c>
      <c r="F148" s="40" t="s">
        <v>11</v>
      </c>
      <c r="G148" s="25">
        <v>10000</v>
      </c>
      <c r="H148" s="72">
        <v>0.01</v>
      </c>
      <c r="I148" s="66" t="s">
        <v>27</v>
      </c>
      <c r="J148" s="4">
        <v>45726</v>
      </c>
      <c r="K148" s="18" t="s">
        <v>918</v>
      </c>
      <c r="L148" s="22" t="s">
        <v>919</v>
      </c>
    </row>
    <row r="149" spans="1:12">
      <c r="A149" s="37">
        <v>613</v>
      </c>
      <c r="B149" s="21" t="s">
        <v>28</v>
      </c>
      <c r="C149" s="9">
        <v>16474</v>
      </c>
      <c r="D149" s="26">
        <v>45717</v>
      </c>
      <c r="E149" s="26">
        <v>45747</v>
      </c>
      <c r="F149" s="40" t="s">
        <v>11</v>
      </c>
      <c r="G149" s="25">
        <v>400000</v>
      </c>
      <c r="H149" s="72">
        <v>5.0000000000000001E-3</v>
      </c>
      <c r="I149" s="66" t="s">
        <v>168</v>
      </c>
      <c r="J149" s="4">
        <v>45726</v>
      </c>
      <c r="K149" s="18" t="s">
        <v>920</v>
      </c>
      <c r="L149" s="22" t="s">
        <v>127</v>
      </c>
    </row>
    <row r="150" spans="1:12">
      <c r="A150" s="37">
        <v>614</v>
      </c>
      <c r="B150" s="21" t="s">
        <v>28</v>
      </c>
      <c r="C150" s="9">
        <v>16892</v>
      </c>
      <c r="D150" s="26">
        <v>45717</v>
      </c>
      <c r="E150" s="26">
        <v>45747</v>
      </c>
      <c r="F150" s="40" t="s">
        <v>11</v>
      </c>
      <c r="G150" s="25">
        <v>0.01</v>
      </c>
      <c r="H150" s="72">
        <v>3.0000000000000001E-3</v>
      </c>
      <c r="I150" s="66" t="s">
        <v>19</v>
      </c>
      <c r="J150" s="4">
        <v>45726</v>
      </c>
      <c r="K150" s="18" t="s">
        <v>921</v>
      </c>
      <c r="L150" s="22" t="s">
        <v>107</v>
      </c>
    </row>
    <row r="151" spans="1:12">
      <c r="A151" s="37">
        <v>615</v>
      </c>
      <c r="B151" s="21" t="s">
        <v>28</v>
      </c>
      <c r="C151" s="9">
        <v>15632</v>
      </c>
      <c r="D151" s="26">
        <v>45717</v>
      </c>
      <c r="E151" s="26">
        <v>45747</v>
      </c>
      <c r="F151" s="40" t="s">
        <v>11</v>
      </c>
      <c r="G151" s="25">
        <v>0.01</v>
      </c>
      <c r="H151" s="72">
        <v>3.0000000000000001E-3</v>
      </c>
      <c r="I151" s="66" t="s">
        <v>19</v>
      </c>
      <c r="J151" s="4">
        <v>45726</v>
      </c>
      <c r="K151" s="18" t="s">
        <v>921</v>
      </c>
      <c r="L151" s="22" t="s">
        <v>107</v>
      </c>
    </row>
    <row r="152" spans="1:12">
      <c r="A152" s="37">
        <v>616</v>
      </c>
      <c r="B152" s="21" t="s">
        <v>28</v>
      </c>
      <c r="C152" s="9">
        <v>12732</v>
      </c>
      <c r="D152" s="26">
        <v>45717</v>
      </c>
      <c r="E152" s="26">
        <v>45747</v>
      </c>
      <c r="F152" s="40" t="s">
        <v>11</v>
      </c>
      <c r="G152" s="25">
        <v>0.01</v>
      </c>
      <c r="H152" s="72">
        <v>2E-3</v>
      </c>
      <c r="I152" s="66" t="s">
        <v>29</v>
      </c>
      <c r="J152" s="4">
        <v>45726</v>
      </c>
      <c r="K152" s="18" t="s">
        <v>921</v>
      </c>
      <c r="L152" s="22" t="s">
        <v>107</v>
      </c>
    </row>
    <row r="153" spans="1:12">
      <c r="A153" s="37">
        <v>617</v>
      </c>
      <c r="B153" s="21" t="s">
        <v>28</v>
      </c>
      <c r="C153" s="9">
        <v>4367</v>
      </c>
      <c r="D153" s="26">
        <v>45717</v>
      </c>
      <c r="E153" s="26">
        <v>45747</v>
      </c>
      <c r="F153" s="40" t="s">
        <v>11</v>
      </c>
      <c r="G153" s="25">
        <v>0.01</v>
      </c>
      <c r="H153" s="72">
        <v>5.0000000000000001E-3</v>
      </c>
      <c r="I153" s="66" t="s">
        <v>19</v>
      </c>
      <c r="J153" s="4">
        <v>45726</v>
      </c>
      <c r="K153" s="18" t="s">
        <v>922</v>
      </c>
      <c r="L153" s="22" t="s">
        <v>107</v>
      </c>
    </row>
    <row r="154" spans="1:12">
      <c r="A154" s="37">
        <v>618</v>
      </c>
      <c r="B154" s="21" t="s">
        <v>28</v>
      </c>
      <c r="C154" s="9">
        <v>15516</v>
      </c>
      <c r="D154" s="26">
        <v>45717</v>
      </c>
      <c r="E154" s="26">
        <v>45747</v>
      </c>
      <c r="F154" s="40" t="s">
        <v>11</v>
      </c>
      <c r="G154" s="25">
        <v>0.01</v>
      </c>
      <c r="H154" s="72">
        <v>4.0000000000000001E-3</v>
      </c>
      <c r="I154" s="66" t="s">
        <v>19</v>
      </c>
      <c r="J154" s="4">
        <v>45726</v>
      </c>
      <c r="K154" s="18" t="s">
        <v>923</v>
      </c>
      <c r="L154" s="22" t="s">
        <v>107</v>
      </c>
    </row>
    <row r="155" spans="1:12">
      <c r="A155" s="37">
        <v>619</v>
      </c>
      <c r="B155" s="21" t="s">
        <v>28</v>
      </c>
      <c r="C155" s="9">
        <v>16871</v>
      </c>
      <c r="D155" s="26">
        <v>45717</v>
      </c>
      <c r="E155" s="26">
        <v>45747</v>
      </c>
      <c r="F155" s="40" t="s">
        <v>11</v>
      </c>
      <c r="G155" s="25">
        <v>500000</v>
      </c>
      <c r="H155" s="72">
        <v>7.4999999999999997E-3</v>
      </c>
      <c r="I155" s="66" t="s">
        <v>39</v>
      </c>
      <c r="J155" s="4">
        <v>45726</v>
      </c>
      <c r="K155" s="18" t="s">
        <v>924</v>
      </c>
      <c r="L155" s="22" t="s">
        <v>107</v>
      </c>
    </row>
    <row r="156" spans="1:12">
      <c r="A156" s="37">
        <v>620</v>
      </c>
      <c r="B156" s="21" t="s">
        <v>28</v>
      </c>
      <c r="C156" s="9">
        <v>15874</v>
      </c>
      <c r="D156" s="26">
        <v>45717</v>
      </c>
      <c r="E156" s="26">
        <v>45747</v>
      </c>
      <c r="F156" s="40" t="s">
        <v>11</v>
      </c>
      <c r="G156" s="25">
        <v>0.01</v>
      </c>
      <c r="H156" s="72">
        <v>5.0000000000000001E-3</v>
      </c>
      <c r="I156" s="66" t="s">
        <v>19</v>
      </c>
      <c r="J156" s="4">
        <v>45730</v>
      </c>
      <c r="K156" s="18" t="s">
        <v>928</v>
      </c>
      <c r="L156" s="22" t="s">
        <v>929</v>
      </c>
    </row>
    <row r="157" spans="1:12">
      <c r="A157" s="37">
        <v>621</v>
      </c>
      <c r="B157" s="21" t="s">
        <v>28</v>
      </c>
      <c r="C157" s="9">
        <v>13128</v>
      </c>
      <c r="D157" s="26">
        <v>45717</v>
      </c>
      <c r="E157" s="26">
        <v>45747</v>
      </c>
      <c r="F157" s="40" t="s">
        <v>11</v>
      </c>
      <c r="G157" s="25">
        <v>0.01</v>
      </c>
      <c r="H157" s="72">
        <v>3.0000000000000001E-3</v>
      </c>
      <c r="I157" s="66" t="s">
        <v>95</v>
      </c>
      <c r="J157" s="4">
        <v>45726</v>
      </c>
      <c r="K157" s="18" t="s">
        <v>930</v>
      </c>
      <c r="L157" s="22" t="s">
        <v>107</v>
      </c>
    </row>
    <row r="158" spans="1:12">
      <c r="A158" s="37">
        <v>622</v>
      </c>
      <c r="B158" s="21" t="s">
        <v>28</v>
      </c>
      <c r="C158" s="9">
        <v>14154</v>
      </c>
      <c r="D158" s="26">
        <v>45717</v>
      </c>
      <c r="E158" s="26">
        <v>45747</v>
      </c>
      <c r="F158" s="40" t="s">
        <v>11</v>
      </c>
      <c r="G158" s="25">
        <v>150000</v>
      </c>
      <c r="H158" s="72">
        <v>1.5E-3</v>
      </c>
      <c r="I158" s="66" t="s">
        <v>20</v>
      </c>
      <c r="J158" s="4">
        <v>45726</v>
      </c>
      <c r="K158" s="18" t="s">
        <v>930</v>
      </c>
      <c r="L158" s="22" t="s">
        <v>107</v>
      </c>
    </row>
    <row r="159" spans="1:12">
      <c r="A159" s="37">
        <v>623</v>
      </c>
      <c r="B159" s="21" t="s">
        <v>28</v>
      </c>
      <c r="C159" s="9">
        <v>8835</v>
      </c>
      <c r="D159" s="26">
        <v>45717</v>
      </c>
      <c r="E159" s="26">
        <v>45747</v>
      </c>
      <c r="F159" s="40" t="s">
        <v>11</v>
      </c>
      <c r="G159" s="25">
        <v>150000</v>
      </c>
      <c r="H159" s="72">
        <v>3.0000000000000001E-3</v>
      </c>
      <c r="I159" s="66" t="s">
        <v>20</v>
      </c>
      <c r="J159" s="4">
        <v>45726</v>
      </c>
      <c r="K159" s="18" t="s">
        <v>930</v>
      </c>
      <c r="L159" s="22" t="s">
        <v>107</v>
      </c>
    </row>
    <row r="160" spans="1:12">
      <c r="A160" s="37">
        <v>624</v>
      </c>
      <c r="B160" s="21" t="s">
        <v>28</v>
      </c>
      <c r="C160" s="9">
        <v>13929</v>
      </c>
      <c r="D160" s="26">
        <v>45717</v>
      </c>
      <c r="E160" s="26">
        <v>45747</v>
      </c>
      <c r="F160" s="40" t="s">
        <v>11</v>
      </c>
      <c r="G160" s="25">
        <v>150000</v>
      </c>
      <c r="H160" s="72">
        <v>3.5000000000000001E-3</v>
      </c>
      <c r="I160" s="66" t="s">
        <v>20</v>
      </c>
      <c r="J160" s="4">
        <v>45726</v>
      </c>
      <c r="K160" s="18" t="s">
        <v>930</v>
      </c>
      <c r="L160" s="22" t="s">
        <v>107</v>
      </c>
    </row>
    <row r="161" spans="1:12">
      <c r="A161" s="37">
        <v>625</v>
      </c>
      <c r="B161" s="21" t="s">
        <v>28</v>
      </c>
      <c r="C161" s="9">
        <v>16238</v>
      </c>
      <c r="D161" s="26">
        <v>45719</v>
      </c>
      <c r="E161" s="26">
        <v>45747</v>
      </c>
      <c r="F161" s="40" t="s">
        <v>11</v>
      </c>
      <c r="G161" s="25">
        <v>0.01</v>
      </c>
      <c r="H161" s="72">
        <v>1.4999999999999999E-2</v>
      </c>
      <c r="I161" s="66" t="s">
        <v>19</v>
      </c>
      <c r="J161" s="4">
        <v>45726</v>
      </c>
      <c r="K161" s="18" t="s">
        <v>930</v>
      </c>
      <c r="L161" s="22" t="s">
        <v>931</v>
      </c>
    </row>
    <row r="162" spans="1:12">
      <c r="A162" s="37">
        <v>626</v>
      </c>
      <c r="B162" s="21" t="s">
        <v>28</v>
      </c>
      <c r="C162" s="9" t="s">
        <v>933</v>
      </c>
      <c r="D162" s="26">
        <v>45717</v>
      </c>
      <c r="E162" s="26">
        <v>45747</v>
      </c>
      <c r="F162" s="40" t="s">
        <v>11</v>
      </c>
      <c r="G162" s="25">
        <v>1000</v>
      </c>
      <c r="H162" s="72">
        <v>5.0000000000000001E-3</v>
      </c>
      <c r="I162" s="66" t="s">
        <v>53</v>
      </c>
      <c r="J162" s="4">
        <v>45726</v>
      </c>
      <c r="K162" s="18" t="s">
        <v>932</v>
      </c>
      <c r="L162" s="22" t="s">
        <v>128</v>
      </c>
    </row>
    <row r="163" spans="1:12">
      <c r="A163" s="37">
        <v>627</v>
      </c>
      <c r="B163" s="21" t="s">
        <v>28</v>
      </c>
      <c r="C163" s="9" t="s">
        <v>934</v>
      </c>
      <c r="D163" s="26">
        <v>45717</v>
      </c>
      <c r="E163" s="26">
        <v>45747</v>
      </c>
      <c r="F163" s="40" t="s">
        <v>11</v>
      </c>
      <c r="G163" s="25">
        <v>1000</v>
      </c>
      <c r="H163" s="72">
        <v>5.0000000000000001E-3</v>
      </c>
      <c r="I163" s="66" t="s">
        <v>53</v>
      </c>
      <c r="J163" s="4">
        <v>45726</v>
      </c>
      <c r="K163" s="18" t="s">
        <v>932</v>
      </c>
      <c r="L163" s="22" t="s">
        <v>107</v>
      </c>
    </row>
    <row r="164" spans="1:12">
      <c r="A164" s="37">
        <v>628</v>
      </c>
      <c r="B164" s="21" t="s">
        <v>28</v>
      </c>
      <c r="C164" s="9" t="s">
        <v>150</v>
      </c>
      <c r="D164" s="26">
        <v>45717</v>
      </c>
      <c r="E164" s="26">
        <v>45747</v>
      </c>
      <c r="F164" s="40" t="s">
        <v>11</v>
      </c>
      <c r="G164" s="25">
        <v>1000</v>
      </c>
      <c r="H164" s="72">
        <v>0.01</v>
      </c>
      <c r="I164" s="66" t="s">
        <v>53</v>
      </c>
      <c r="J164" s="4">
        <v>45726</v>
      </c>
      <c r="K164" s="18" t="s">
        <v>932</v>
      </c>
      <c r="L164" s="22" t="s">
        <v>936</v>
      </c>
    </row>
    <row r="165" spans="1:12">
      <c r="A165" s="37">
        <v>629</v>
      </c>
      <c r="B165" s="21" t="s">
        <v>28</v>
      </c>
      <c r="C165" s="9" t="s">
        <v>935</v>
      </c>
      <c r="D165" s="26">
        <v>45717</v>
      </c>
      <c r="E165" s="26">
        <v>45747</v>
      </c>
      <c r="F165" s="40" t="s">
        <v>11</v>
      </c>
      <c r="G165" s="25">
        <v>1000</v>
      </c>
      <c r="H165" s="72">
        <v>7.4999999999999997E-3</v>
      </c>
      <c r="I165" s="66" t="s">
        <v>53</v>
      </c>
      <c r="J165" s="4">
        <v>45726</v>
      </c>
      <c r="K165" s="18" t="s">
        <v>932</v>
      </c>
      <c r="L165" s="22" t="s">
        <v>1118</v>
      </c>
    </row>
    <row r="166" spans="1:12">
      <c r="A166" s="37">
        <v>630</v>
      </c>
      <c r="B166" s="21" t="s">
        <v>28</v>
      </c>
      <c r="C166" s="9" t="s">
        <v>935</v>
      </c>
      <c r="D166" s="26">
        <v>45717</v>
      </c>
      <c r="E166" s="26">
        <v>45747</v>
      </c>
      <c r="F166" s="40" t="s">
        <v>11</v>
      </c>
      <c r="G166" s="25">
        <v>1000</v>
      </c>
      <c r="H166" s="72">
        <v>1.5E-3</v>
      </c>
      <c r="I166" s="66" t="s">
        <v>53</v>
      </c>
      <c r="J166" s="4">
        <v>45726</v>
      </c>
      <c r="K166" s="18" t="s">
        <v>932</v>
      </c>
      <c r="L166" s="22" t="s">
        <v>965</v>
      </c>
    </row>
    <row r="167" spans="1:12">
      <c r="A167" s="37">
        <v>631</v>
      </c>
      <c r="B167" s="21" t="s">
        <v>28</v>
      </c>
      <c r="C167" s="9" t="s">
        <v>935</v>
      </c>
      <c r="D167" s="26">
        <v>45717</v>
      </c>
      <c r="E167" s="26">
        <v>45747</v>
      </c>
      <c r="F167" s="40" t="s">
        <v>11</v>
      </c>
      <c r="G167" s="25">
        <v>1000</v>
      </c>
      <c r="H167" s="72">
        <v>1.7999999999999999E-2</v>
      </c>
      <c r="I167" s="66" t="s">
        <v>53</v>
      </c>
      <c r="J167" s="4">
        <v>45726</v>
      </c>
      <c r="K167" s="18" t="s">
        <v>932</v>
      </c>
      <c r="L167" s="22" t="s">
        <v>936</v>
      </c>
    </row>
    <row r="168" spans="1:12">
      <c r="A168" s="37">
        <v>632</v>
      </c>
      <c r="B168" s="21" t="s">
        <v>28</v>
      </c>
      <c r="C168" s="9">
        <v>9648</v>
      </c>
      <c r="D168" s="26">
        <v>45717</v>
      </c>
      <c r="E168" s="26">
        <v>45747</v>
      </c>
      <c r="F168" s="40" t="s">
        <v>11</v>
      </c>
      <c r="G168" s="25">
        <v>100</v>
      </c>
      <c r="H168" s="72">
        <v>0.01</v>
      </c>
      <c r="I168" s="66" t="s">
        <v>49</v>
      </c>
      <c r="J168" s="4">
        <v>45726</v>
      </c>
      <c r="K168" s="18" t="s">
        <v>153</v>
      </c>
      <c r="L168" s="22" t="s">
        <v>947</v>
      </c>
    </row>
    <row r="169" spans="1:12">
      <c r="A169" s="37">
        <v>633</v>
      </c>
      <c r="B169" s="21" t="s">
        <v>28</v>
      </c>
      <c r="C169" s="9">
        <v>8437</v>
      </c>
      <c r="D169" s="26">
        <v>45717</v>
      </c>
      <c r="E169" s="26">
        <v>45747</v>
      </c>
      <c r="F169" s="40" t="s">
        <v>11</v>
      </c>
      <c r="G169" s="25">
        <v>100</v>
      </c>
      <c r="H169" s="72">
        <v>0.01</v>
      </c>
      <c r="I169" s="66" t="s">
        <v>49</v>
      </c>
      <c r="J169" s="4">
        <v>45726</v>
      </c>
      <c r="K169" s="18" t="s">
        <v>153</v>
      </c>
      <c r="L169" s="22" t="s">
        <v>947</v>
      </c>
    </row>
    <row r="170" spans="1:12">
      <c r="A170" s="37">
        <v>634</v>
      </c>
      <c r="B170" s="21" t="s">
        <v>28</v>
      </c>
      <c r="C170" s="9">
        <v>10734</v>
      </c>
      <c r="D170" s="26">
        <v>45717</v>
      </c>
      <c r="E170" s="26">
        <v>45747</v>
      </c>
      <c r="F170" s="40" t="s">
        <v>11</v>
      </c>
      <c r="G170" s="25">
        <v>100</v>
      </c>
      <c r="H170" s="72">
        <v>0.01</v>
      </c>
      <c r="I170" s="66" t="s">
        <v>49</v>
      </c>
      <c r="J170" s="4">
        <v>45726</v>
      </c>
      <c r="K170" s="18" t="s">
        <v>153</v>
      </c>
      <c r="L170" s="22" t="s">
        <v>947</v>
      </c>
    </row>
    <row r="171" spans="1:12">
      <c r="A171" s="37">
        <v>635</v>
      </c>
      <c r="B171" s="21" t="s">
        <v>28</v>
      </c>
      <c r="C171" s="9">
        <v>14750</v>
      </c>
      <c r="D171" s="26">
        <v>45717</v>
      </c>
      <c r="E171" s="26">
        <v>45747</v>
      </c>
      <c r="F171" s="40" t="s">
        <v>11</v>
      </c>
      <c r="G171" s="25">
        <v>100</v>
      </c>
      <c r="H171" s="72">
        <v>0.01</v>
      </c>
      <c r="I171" s="66" t="s">
        <v>49</v>
      </c>
      <c r="J171" s="4">
        <v>45726</v>
      </c>
      <c r="K171" s="18" t="s">
        <v>153</v>
      </c>
      <c r="L171" s="22" t="s">
        <v>947</v>
      </c>
    </row>
    <row r="172" spans="1:12">
      <c r="A172" s="37">
        <v>636</v>
      </c>
      <c r="B172" s="21" t="s">
        <v>28</v>
      </c>
      <c r="C172" s="9">
        <v>7640</v>
      </c>
      <c r="D172" s="26">
        <v>45717</v>
      </c>
      <c r="E172" s="26">
        <v>45747</v>
      </c>
      <c r="F172" s="40" t="s">
        <v>11</v>
      </c>
      <c r="G172" s="25">
        <v>100</v>
      </c>
      <c r="H172" s="72">
        <v>0.01</v>
      </c>
      <c r="I172" s="66" t="s">
        <v>49</v>
      </c>
      <c r="J172" s="4">
        <v>45726</v>
      </c>
      <c r="K172" s="18" t="s">
        <v>153</v>
      </c>
      <c r="L172" s="22" t="s">
        <v>947</v>
      </c>
    </row>
    <row r="173" spans="1:12">
      <c r="A173" s="37">
        <v>637</v>
      </c>
      <c r="B173" s="21" t="s">
        <v>28</v>
      </c>
      <c r="C173" s="9">
        <v>2838</v>
      </c>
      <c r="D173" s="26">
        <v>45717</v>
      </c>
      <c r="E173" s="26">
        <v>45747</v>
      </c>
      <c r="F173" s="40" t="s">
        <v>11</v>
      </c>
      <c r="G173" s="25">
        <v>1</v>
      </c>
      <c r="H173" s="72">
        <v>1E-3</v>
      </c>
      <c r="I173" s="66" t="s">
        <v>29</v>
      </c>
      <c r="J173" s="4">
        <v>45730</v>
      </c>
      <c r="K173" s="18" t="s">
        <v>937</v>
      </c>
      <c r="L173" s="22" t="s">
        <v>938</v>
      </c>
    </row>
    <row r="174" spans="1:12">
      <c r="A174" s="37">
        <v>638</v>
      </c>
      <c r="B174" s="21" t="s">
        <v>28</v>
      </c>
      <c r="C174" s="9" t="s">
        <v>148</v>
      </c>
      <c r="D174" s="26">
        <v>45717</v>
      </c>
      <c r="E174" s="26">
        <v>45747</v>
      </c>
      <c r="F174" s="40" t="s">
        <v>11</v>
      </c>
      <c r="G174" s="25">
        <v>800000</v>
      </c>
      <c r="H174" s="72">
        <v>1E-3</v>
      </c>
      <c r="I174" s="66" t="s">
        <v>17</v>
      </c>
      <c r="J174" s="4">
        <v>45730</v>
      </c>
      <c r="K174" s="18" t="s">
        <v>939</v>
      </c>
      <c r="L174" s="22" t="s">
        <v>1011</v>
      </c>
    </row>
    <row r="175" spans="1:12">
      <c r="A175" s="37">
        <v>639</v>
      </c>
      <c r="B175" s="21" t="s">
        <v>28</v>
      </c>
      <c r="C175" s="9">
        <v>3895</v>
      </c>
      <c r="D175" s="26">
        <v>45717</v>
      </c>
      <c r="E175" s="26">
        <v>45747</v>
      </c>
      <c r="F175" s="40" t="s">
        <v>11</v>
      </c>
      <c r="G175" s="25">
        <v>1</v>
      </c>
      <c r="H175" s="72">
        <v>3.0000000000000001E-3</v>
      </c>
      <c r="I175" s="66" t="s">
        <v>19</v>
      </c>
      <c r="J175" s="4">
        <v>45730</v>
      </c>
      <c r="K175" s="18" t="s">
        <v>940</v>
      </c>
      <c r="L175" s="22" t="s">
        <v>941</v>
      </c>
    </row>
    <row r="176" spans="1:12" ht="30">
      <c r="A176" s="37">
        <v>640</v>
      </c>
      <c r="B176" s="21" t="s">
        <v>28</v>
      </c>
      <c r="C176" s="9">
        <v>16029</v>
      </c>
      <c r="D176" s="26">
        <v>45717</v>
      </c>
      <c r="E176" s="26">
        <v>45747</v>
      </c>
      <c r="F176" s="40" t="s">
        <v>11</v>
      </c>
      <c r="G176" s="25">
        <v>0.01</v>
      </c>
      <c r="H176" s="72" t="s">
        <v>943</v>
      </c>
      <c r="I176" s="66" t="s">
        <v>14</v>
      </c>
      <c r="J176" s="4">
        <v>45730</v>
      </c>
      <c r="K176" s="18" t="s">
        <v>942</v>
      </c>
      <c r="L176" s="22" t="s">
        <v>992</v>
      </c>
    </row>
    <row r="177" spans="1:12">
      <c r="A177" s="37">
        <v>641</v>
      </c>
      <c r="B177" s="21" t="s">
        <v>28</v>
      </c>
      <c r="C177" s="9">
        <v>9566</v>
      </c>
      <c r="D177" s="26">
        <v>45717</v>
      </c>
      <c r="E177" s="26">
        <v>45747</v>
      </c>
      <c r="F177" s="40" t="s">
        <v>11</v>
      </c>
      <c r="G177" s="25">
        <v>0.01</v>
      </c>
      <c r="H177" s="72">
        <v>5.0000000000000001E-3</v>
      </c>
      <c r="I177" s="66" t="s">
        <v>14</v>
      </c>
      <c r="J177" s="4">
        <v>45730</v>
      </c>
      <c r="K177" s="18" t="s">
        <v>942</v>
      </c>
      <c r="L177" s="22" t="s">
        <v>944</v>
      </c>
    </row>
    <row r="178" spans="1:12">
      <c r="A178" s="37">
        <v>642</v>
      </c>
      <c r="B178" s="21" t="s">
        <v>28</v>
      </c>
      <c r="C178" s="9">
        <v>12800</v>
      </c>
      <c r="D178" s="26">
        <v>45717</v>
      </c>
      <c r="E178" s="26">
        <v>45747</v>
      </c>
      <c r="F178" s="40" t="s">
        <v>11</v>
      </c>
      <c r="G178" s="25">
        <v>0.01</v>
      </c>
      <c r="H178" s="72">
        <v>5.0000000000000001E-3</v>
      </c>
      <c r="I178" s="66" t="s">
        <v>14</v>
      </c>
      <c r="J178" s="4">
        <v>45730</v>
      </c>
      <c r="K178" s="18" t="s">
        <v>942</v>
      </c>
      <c r="L178" s="22" t="s">
        <v>1119</v>
      </c>
    </row>
    <row r="179" spans="1:12">
      <c r="A179" s="37">
        <v>643</v>
      </c>
      <c r="B179" s="21" t="s">
        <v>28</v>
      </c>
      <c r="C179" s="9">
        <v>12800</v>
      </c>
      <c r="D179" s="26">
        <v>45717</v>
      </c>
      <c r="E179" s="26">
        <v>45747</v>
      </c>
      <c r="F179" s="40" t="s">
        <v>11</v>
      </c>
      <c r="G179" s="25">
        <v>0.01</v>
      </c>
      <c r="H179" s="72">
        <v>3.5000000000000003E-2</v>
      </c>
      <c r="I179" s="66" t="s">
        <v>14</v>
      </c>
      <c r="J179" s="4">
        <v>45730</v>
      </c>
      <c r="K179" s="18" t="s">
        <v>942</v>
      </c>
      <c r="L179" s="22" t="s">
        <v>945</v>
      </c>
    </row>
    <row r="180" spans="1:12">
      <c r="A180" s="37">
        <v>644</v>
      </c>
      <c r="B180" s="21" t="s">
        <v>28</v>
      </c>
      <c r="C180" s="9">
        <v>1452</v>
      </c>
      <c r="D180" s="26">
        <v>45717</v>
      </c>
      <c r="E180" s="26">
        <v>45747</v>
      </c>
      <c r="F180" s="40" t="s">
        <v>11</v>
      </c>
      <c r="G180" s="25">
        <v>300000</v>
      </c>
      <c r="H180" s="72">
        <v>1E-3</v>
      </c>
      <c r="I180" s="66" t="s">
        <v>17</v>
      </c>
      <c r="J180" s="4">
        <v>45730</v>
      </c>
      <c r="K180" s="18" t="s">
        <v>387</v>
      </c>
      <c r="L180" s="22" t="s">
        <v>1010</v>
      </c>
    </row>
    <row r="181" spans="1:12">
      <c r="A181" s="37">
        <v>645</v>
      </c>
      <c r="B181" s="21" t="s">
        <v>28</v>
      </c>
      <c r="C181" s="9">
        <v>6512</v>
      </c>
      <c r="D181" s="26">
        <v>45717</v>
      </c>
      <c r="E181" s="26">
        <v>45747</v>
      </c>
      <c r="F181" s="40" t="s">
        <v>11</v>
      </c>
      <c r="G181" s="25">
        <v>50000</v>
      </c>
      <c r="H181" s="72">
        <v>5.0000000000000001E-3</v>
      </c>
      <c r="I181" s="66" t="s">
        <v>39</v>
      </c>
      <c r="J181" s="4">
        <v>45733</v>
      </c>
      <c r="K181" s="18" t="s">
        <v>948</v>
      </c>
      <c r="L181" s="22" t="s">
        <v>960</v>
      </c>
    </row>
    <row r="182" spans="1:12">
      <c r="A182" s="37">
        <v>646</v>
      </c>
      <c r="B182" s="21" t="s">
        <v>28</v>
      </c>
      <c r="C182" s="9" t="s">
        <v>209</v>
      </c>
      <c r="D182" s="26">
        <v>45717</v>
      </c>
      <c r="E182" s="26">
        <v>45747</v>
      </c>
      <c r="F182" s="40" t="s">
        <v>11</v>
      </c>
      <c r="G182" s="25">
        <v>500000</v>
      </c>
      <c r="H182" s="72">
        <v>1E-3</v>
      </c>
      <c r="I182" s="66" t="s">
        <v>17</v>
      </c>
      <c r="J182" s="4">
        <v>45730</v>
      </c>
      <c r="K182" s="18" t="s">
        <v>949</v>
      </c>
      <c r="L182" s="22" t="s">
        <v>1009</v>
      </c>
    </row>
    <row r="183" spans="1:12">
      <c r="A183" s="37">
        <v>647</v>
      </c>
      <c r="B183" s="21" t="s">
        <v>28</v>
      </c>
      <c r="C183" s="9">
        <v>11937</v>
      </c>
      <c r="D183" s="26">
        <v>45717</v>
      </c>
      <c r="E183" s="26">
        <v>45747</v>
      </c>
      <c r="F183" s="40" t="s">
        <v>11</v>
      </c>
      <c r="G183" s="25">
        <v>0.01</v>
      </c>
      <c r="H183" s="72">
        <v>1E-3</v>
      </c>
      <c r="I183" s="66" t="s">
        <v>46</v>
      </c>
      <c r="J183" s="4">
        <v>45730</v>
      </c>
      <c r="K183" s="18" t="s">
        <v>950</v>
      </c>
      <c r="L183" s="22" t="s">
        <v>690</v>
      </c>
    </row>
    <row r="184" spans="1:12">
      <c r="A184" s="37">
        <v>648</v>
      </c>
      <c r="B184" s="21" t="s">
        <v>28</v>
      </c>
      <c r="C184" s="9">
        <v>11937</v>
      </c>
      <c r="D184" s="26">
        <v>45717</v>
      </c>
      <c r="E184" s="26">
        <v>45747</v>
      </c>
      <c r="F184" s="40" t="s">
        <v>11</v>
      </c>
      <c r="G184" s="25">
        <v>0.01</v>
      </c>
      <c r="H184" s="72">
        <v>1E-3</v>
      </c>
      <c r="I184" s="66" t="s">
        <v>46</v>
      </c>
      <c r="J184" s="4">
        <v>45730</v>
      </c>
      <c r="K184" s="18" t="s">
        <v>950</v>
      </c>
      <c r="L184" s="22" t="s">
        <v>691</v>
      </c>
    </row>
    <row r="185" spans="1:12">
      <c r="A185" s="37">
        <v>649</v>
      </c>
      <c r="B185" s="21" t="s">
        <v>28</v>
      </c>
      <c r="C185" s="9">
        <v>11937</v>
      </c>
      <c r="D185" s="26">
        <v>45717</v>
      </c>
      <c r="E185" s="26">
        <v>45747</v>
      </c>
      <c r="F185" s="40" t="s">
        <v>11</v>
      </c>
      <c r="G185" s="25">
        <v>0.01</v>
      </c>
      <c r="H185" s="72">
        <v>5.0000000000000001E-3</v>
      </c>
      <c r="I185" s="66" t="s">
        <v>46</v>
      </c>
      <c r="J185" s="4">
        <v>45730</v>
      </c>
      <c r="K185" s="18" t="s">
        <v>950</v>
      </c>
      <c r="L185" s="22" t="s">
        <v>1120</v>
      </c>
    </row>
    <row r="186" spans="1:12">
      <c r="A186" s="37">
        <v>650</v>
      </c>
      <c r="B186" s="21" t="s">
        <v>28</v>
      </c>
      <c r="C186" s="9">
        <v>12021</v>
      </c>
      <c r="D186" s="26">
        <v>45717</v>
      </c>
      <c r="E186" s="26">
        <v>45747</v>
      </c>
      <c r="F186" s="40" t="s">
        <v>11</v>
      </c>
      <c r="G186" s="25">
        <v>0.01</v>
      </c>
      <c r="H186" s="72">
        <v>5.0000000000000001E-3</v>
      </c>
      <c r="I186" s="66" t="s">
        <v>46</v>
      </c>
      <c r="J186" s="4">
        <v>45730</v>
      </c>
      <c r="K186" s="18" t="s">
        <v>950</v>
      </c>
      <c r="L186" s="22" t="s">
        <v>1120</v>
      </c>
    </row>
    <row r="187" spans="1:12" ht="30">
      <c r="A187" s="37">
        <v>651</v>
      </c>
      <c r="B187" s="21" t="s">
        <v>28</v>
      </c>
      <c r="C187" s="9" t="s">
        <v>986</v>
      </c>
      <c r="D187" s="26">
        <v>45717</v>
      </c>
      <c r="E187" s="26">
        <v>45747</v>
      </c>
      <c r="F187" s="40" t="s">
        <v>11</v>
      </c>
      <c r="G187" s="25">
        <v>0.01</v>
      </c>
      <c r="H187" s="72">
        <v>2E-3</v>
      </c>
      <c r="I187" s="66" t="s">
        <v>29</v>
      </c>
      <c r="J187" s="4">
        <v>45730</v>
      </c>
      <c r="K187" s="18" t="s">
        <v>951</v>
      </c>
      <c r="L187" s="22" t="s">
        <v>952</v>
      </c>
    </row>
    <row r="188" spans="1:12" ht="60">
      <c r="A188" s="37">
        <v>652</v>
      </c>
      <c r="B188" s="21" t="s">
        <v>28</v>
      </c>
      <c r="C188" s="9">
        <v>13685</v>
      </c>
      <c r="D188" s="26">
        <v>45717</v>
      </c>
      <c r="E188" s="26">
        <v>45747</v>
      </c>
      <c r="F188" s="40" t="s">
        <v>11</v>
      </c>
      <c r="G188" s="25">
        <v>150000</v>
      </c>
      <c r="H188" s="72">
        <v>3.0000000000000001E-3</v>
      </c>
      <c r="I188" s="66" t="s">
        <v>50</v>
      </c>
      <c r="J188" s="4">
        <v>45730</v>
      </c>
      <c r="K188" s="18" t="s">
        <v>953</v>
      </c>
      <c r="L188" s="22" t="s">
        <v>1121</v>
      </c>
    </row>
    <row r="189" spans="1:12">
      <c r="A189" s="37">
        <v>653</v>
      </c>
      <c r="B189" s="21" t="s">
        <v>28</v>
      </c>
      <c r="C189" s="9">
        <v>14918</v>
      </c>
      <c r="D189" s="26">
        <v>45717</v>
      </c>
      <c r="E189" s="26">
        <v>45747</v>
      </c>
      <c r="F189" s="40" t="s">
        <v>11</v>
      </c>
      <c r="G189" s="25">
        <v>150000</v>
      </c>
      <c r="H189" s="72">
        <v>5.0000000000000001E-4</v>
      </c>
      <c r="I189" s="66" t="s">
        <v>17</v>
      </c>
      <c r="J189" s="4">
        <v>45730</v>
      </c>
      <c r="K189" s="18" t="s">
        <v>954</v>
      </c>
      <c r="L189" s="22" t="s">
        <v>1007</v>
      </c>
    </row>
    <row r="190" spans="1:12">
      <c r="A190" s="37">
        <v>654</v>
      </c>
      <c r="B190" s="21" t="s">
        <v>28</v>
      </c>
      <c r="C190" s="9">
        <v>14918</v>
      </c>
      <c r="D190" s="26">
        <v>45717</v>
      </c>
      <c r="E190" s="26">
        <v>45747</v>
      </c>
      <c r="F190" s="40" t="s">
        <v>11</v>
      </c>
      <c r="G190" s="25">
        <v>250000</v>
      </c>
      <c r="H190" s="72">
        <v>1E-3</v>
      </c>
      <c r="I190" s="66" t="s">
        <v>17</v>
      </c>
      <c r="J190" s="4">
        <v>45730</v>
      </c>
      <c r="K190" s="18" t="s">
        <v>954</v>
      </c>
      <c r="L190" s="22" t="s">
        <v>1007</v>
      </c>
    </row>
    <row r="191" spans="1:12">
      <c r="A191" s="37">
        <v>655</v>
      </c>
      <c r="B191" s="21" t="s">
        <v>28</v>
      </c>
      <c r="C191" s="9">
        <v>10452</v>
      </c>
      <c r="D191" s="26">
        <v>45717</v>
      </c>
      <c r="E191" s="26">
        <v>45747</v>
      </c>
      <c r="F191" s="40" t="s">
        <v>11</v>
      </c>
      <c r="G191" s="25">
        <v>200000</v>
      </c>
      <c r="H191" s="72">
        <v>2E-3</v>
      </c>
      <c r="I191" s="66" t="s">
        <v>13</v>
      </c>
      <c r="J191" s="4">
        <v>45730</v>
      </c>
      <c r="K191" s="18" t="s">
        <v>146</v>
      </c>
      <c r="L191" s="22" t="s">
        <v>107</v>
      </c>
    </row>
    <row r="192" spans="1:12">
      <c r="A192" s="37">
        <v>656</v>
      </c>
      <c r="B192" s="21" t="s">
        <v>28</v>
      </c>
      <c r="C192" s="9">
        <v>10452</v>
      </c>
      <c r="D192" s="26">
        <v>45717</v>
      </c>
      <c r="E192" s="26">
        <v>45747</v>
      </c>
      <c r="F192" s="40" t="s">
        <v>11</v>
      </c>
      <c r="G192" s="25">
        <v>300000</v>
      </c>
      <c r="H192" s="72">
        <v>3.0000000000000001E-3</v>
      </c>
      <c r="I192" s="66" t="s">
        <v>13</v>
      </c>
      <c r="J192" s="4">
        <v>45730</v>
      </c>
      <c r="K192" s="18" t="s">
        <v>146</v>
      </c>
      <c r="L192" s="22" t="s">
        <v>107</v>
      </c>
    </row>
    <row r="193" spans="1:12">
      <c r="A193" s="37">
        <v>657</v>
      </c>
      <c r="B193" s="21" t="s">
        <v>28</v>
      </c>
      <c r="C193" s="9">
        <v>10452</v>
      </c>
      <c r="D193" s="26">
        <v>45717</v>
      </c>
      <c r="E193" s="26">
        <v>45747</v>
      </c>
      <c r="F193" s="40" t="s">
        <v>11</v>
      </c>
      <c r="G193" s="25">
        <v>400000</v>
      </c>
      <c r="H193" s="72">
        <v>4.0000000000000001E-3</v>
      </c>
      <c r="I193" s="66" t="s">
        <v>13</v>
      </c>
      <c r="J193" s="4">
        <v>45730</v>
      </c>
      <c r="K193" s="18" t="s">
        <v>146</v>
      </c>
      <c r="L193" s="22" t="s">
        <v>107</v>
      </c>
    </row>
    <row r="194" spans="1:12">
      <c r="A194" s="37">
        <v>658</v>
      </c>
      <c r="B194" s="21" t="s">
        <v>28</v>
      </c>
      <c r="C194" s="9">
        <v>10452</v>
      </c>
      <c r="D194" s="26">
        <v>45717</v>
      </c>
      <c r="E194" s="26">
        <v>45747</v>
      </c>
      <c r="F194" s="40" t="s">
        <v>11</v>
      </c>
      <c r="G194" s="25">
        <v>500000</v>
      </c>
      <c r="H194" s="72">
        <v>5.0000000000000001E-3</v>
      </c>
      <c r="I194" s="66" t="s">
        <v>13</v>
      </c>
      <c r="J194" s="4">
        <v>45730</v>
      </c>
      <c r="K194" s="18" t="s">
        <v>146</v>
      </c>
      <c r="L194" s="22" t="s">
        <v>107</v>
      </c>
    </row>
    <row r="195" spans="1:12">
      <c r="A195" s="37">
        <v>659</v>
      </c>
      <c r="B195" s="21" t="s">
        <v>28</v>
      </c>
      <c r="C195" s="9">
        <v>5839</v>
      </c>
      <c r="D195" s="26">
        <v>45717</v>
      </c>
      <c r="E195" s="26">
        <v>45747</v>
      </c>
      <c r="F195" s="40" t="s">
        <v>11</v>
      </c>
      <c r="G195" s="25">
        <v>0.01</v>
      </c>
      <c r="H195" s="72">
        <v>5.0000000000000001E-3</v>
      </c>
      <c r="I195" s="66" t="s">
        <v>95</v>
      </c>
      <c r="J195" s="4">
        <v>45733</v>
      </c>
      <c r="K195" s="18" t="s">
        <v>955</v>
      </c>
      <c r="L195" s="22" t="s">
        <v>956</v>
      </c>
    </row>
    <row r="196" spans="1:12">
      <c r="A196" s="37">
        <v>660</v>
      </c>
      <c r="B196" s="21" t="s">
        <v>28</v>
      </c>
      <c r="C196" s="9">
        <v>15859</v>
      </c>
      <c r="D196" s="26">
        <v>45717</v>
      </c>
      <c r="E196" s="26">
        <v>45747</v>
      </c>
      <c r="F196" s="40" t="s">
        <v>11</v>
      </c>
      <c r="G196" s="25">
        <v>0.01</v>
      </c>
      <c r="H196" s="72">
        <v>5.0000000000000001E-3</v>
      </c>
      <c r="I196" s="66" t="s">
        <v>168</v>
      </c>
      <c r="J196" s="4">
        <v>45733</v>
      </c>
      <c r="K196" s="18" t="s">
        <v>233</v>
      </c>
      <c r="L196" s="22" t="s">
        <v>957</v>
      </c>
    </row>
    <row r="197" spans="1:12">
      <c r="A197" s="37">
        <v>661</v>
      </c>
      <c r="B197" s="21" t="s">
        <v>28</v>
      </c>
      <c r="C197" s="9">
        <v>15859</v>
      </c>
      <c r="D197" s="26">
        <v>45717</v>
      </c>
      <c r="E197" s="26">
        <v>45747</v>
      </c>
      <c r="F197" s="40" t="s">
        <v>11</v>
      </c>
      <c r="G197" s="25">
        <v>0.01</v>
      </c>
      <c r="H197" s="72">
        <v>1.4999999999999999E-2</v>
      </c>
      <c r="I197" s="66" t="s">
        <v>168</v>
      </c>
      <c r="J197" s="4">
        <v>45733</v>
      </c>
      <c r="K197" s="18" t="s">
        <v>233</v>
      </c>
      <c r="L197" s="22" t="s">
        <v>234</v>
      </c>
    </row>
    <row r="198" spans="1:12">
      <c r="A198" s="37">
        <v>662</v>
      </c>
      <c r="B198" s="21" t="s">
        <v>28</v>
      </c>
      <c r="C198" s="9">
        <v>13053</v>
      </c>
      <c r="D198" s="26">
        <v>45717</v>
      </c>
      <c r="E198" s="26">
        <v>45747</v>
      </c>
      <c r="F198" s="40" t="s">
        <v>11</v>
      </c>
      <c r="G198" s="25">
        <v>50000</v>
      </c>
      <c r="H198" s="72">
        <v>1.55E-2</v>
      </c>
      <c r="I198" s="66" t="s">
        <v>18</v>
      </c>
      <c r="J198" s="4">
        <v>45733</v>
      </c>
      <c r="K198" s="18" t="s">
        <v>958</v>
      </c>
      <c r="L198" s="22" t="s">
        <v>959</v>
      </c>
    </row>
    <row r="199" spans="1:12">
      <c r="A199" s="37">
        <v>663</v>
      </c>
      <c r="B199" s="21" t="s">
        <v>28</v>
      </c>
      <c r="C199" s="9" t="s">
        <v>987</v>
      </c>
      <c r="D199" s="26">
        <v>45717</v>
      </c>
      <c r="E199" s="26">
        <v>45747</v>
      </c>
      <c r="F199" s="40" t="s">
        <v>11</v>
      </c>
      <c r="G199" s="25">
        <v>300000</v>
      </c>
      <c r="H199" s="72">
        <v>2E-3</v>
      </c>
      <c r="I199" s="66" t="s">
        <v>19</v>
      </c>
      <c r="J199" s="4">
        <v>45721</v>
      </c>
      <c r="K199" s="18" t="s">
        <v>961</v>
      </c>
      <c r="L199" s="22" t="s">
        <v>966</v>
      </c>
    </row>
    <row r="200" spans="1:12">
      <c r="A200" s="37">
        <v>664</v>
      </c>
      <c r="B200" s="21" t="s">
        <v>28</v>
      </c>
      <c r="C200" s="9" t="s">
        <v>421</v>
      </c>
      <c r="D200" s="26">
        <v>45717</v>
      </c>
      <c r="E200" s="26">
        <v>45747</v>
      </c>
      <c r="F200" s="40" t="s">
        <v>11</v>
      </c>
      <c r="G200" s="25">
        <v>0.01</v>
      </c>
      <c r="H200" s="72">
        <v>1.7999999999999999E-2</v>
      </c>
      <c r="I200" s="66" t="s">
        <v>14</v>
      </c>
      <c r="J200" s="4">
        <v>45726</v>
      </c>
      <c r="K200" s="18" t="s">
        <v>967</v>
      </c>
      <c r="L200" s="22" t="s">
        <v>969</v>
      </c>
    </row>
    <row r="201" spans="1:12">
      <c r="A201" s="37">
        <v>665</v>
      </c>
      <c r="B201" s="21" t="s">
        <v>28</v>
      </c>
      <c r="C201" s="9" t="s">
        <v>421</v>
      </c>
      <c r="D201" s="26">
        <v>45717</v>
      </c>
      <c r="E201" s="26">
        <v>45747</v>
      </c>
      <c r="F201" s="40" t="s">
        <v>11</v>
      </c>
      <c r="G201" s="25">
        <v>0.01</v>
      </c>
      <c r="H201" s="72">
        <v>0.01</v>
      </c>
      <c r="I201" s="66" t="s">
        <v>14</v>
      </c>
      <c r="J201" s="4">
        <v>45726</v>
      </c>
      <c r="K201" s="18" t="s">
        <v>967</v>
      </c>
      <c r="L201" s="22" t="s">
        <v>711</v>
      </c>
    </row>
    <row r="202" spans="1:12">
      <c r="A202" s="37">
        <v>666</v>
      </c>
      <c r="B202" s="21" t="s">
        <v>28</v>
      </c>
      <c r="C202" s="9" t="s">
        <v>376</v>
      </c>
      <c r="D202" s="26">
        <v>45717</v>
      </c>
      <c r="E202" s="26">
        <v>45747</v>
      </c>
      <c r="F202" s="40" t="s">
        <v>11</v>
      </c>
      <c r="G202" s="25">
        <v>0.01</v>
      </c>
      <c r="H202" s="72">
        <v>0.01</v>
      </c>
      <c r="I202" s="66" t="s">
        <v>14</v>
      </c>
      <c r="J202" s="4">
        <v>45726</v>
      </c>
      <c r="K202" s="18" t="s">
        <v>967</v>
      </c>
      <c r="L202" s="22" t="s">
        <v>711</v>
      </c>
    </row>
    <row r="203" spans="1:12">
      <c r="A203" s="37">
        <v>667</v>
      </c>
      <c r="B203" s="21" t="s">
        <v>28</v>
      </c>
      <c r="C203" s="9" t="s">
        <v>710</v>
      </c>
      <c r="D203" s="26">
        <v>45717</v>
      </c>
      <c r="E203" s="26">
        <v>45747</v>
      </c>
      <c r="F203" s="40" t="s">
        <v>11</v>
      </c>
      <c r="G203" s="25">
        <v>0.01</v>
      </c>
      <c r="H203" s="72">
        <v>0.01</v>
      </c>
      <c r="I203" s="66" t="s">
        <v>14</v>
      </c>
      <c r="J203" s="4">
        <v>45726</v>
      </c>
      <c r="K203" s="18" t="s">
        <v>967</v>
      </c>
      <c r="L203" s="22" t="s">
        <v>711</v>
      </c>
    </row>
    <row r="204" spans="1:12">
      <c r="A204" s="37">
        <v>668</v>
      </c>
      <c r="B204" s="21" t="s">
        <v>28</v>
      </c>
      <c r="C204" s="9" t="s">
        <v>709</v>
      </c>
      <c r="D204" s="26">
        <v>45717</v>
      </c>
      <c r="E204" s="26">
        <v>45747</v>
      </c>
      <c r="F204" s="40" t="s">
        <v>11</v>
      </c>
      <c r="G204" s="25">
        <v>0.01</v>
      </c>
      <c r="H204" s="72">
        <v>5.0000000000000001E-3</v>
      </c>
      <c r="I204" s="66" t="s">
        <v>14</v>
      </c>
      <c r="J204" s="4">
        <v>45726</v>
      </c>
      <c r="K204" s="18" t="s">
        <v>967</v>
      </c>
      <c r="L204" s="22" t="s">
        <v>711</v>
      </c>
    </row>
    <row r="205" spans="1:12">
      <c r="A205" s="37">
        <v>669</v>
      </c>
      <c r="B205" s="21" t="s">
        <v>28</v>
      </c>
      <c r="C205" s="9">
        <v>7150</v>
      </c>
      <c r="D205" s="26">
        <v>45717</v>
      </c>
      <c r="E205" s="26">
        <v>45747</v>
      </c>
      <c r="F205" s="40" t="s">
        <v>11</v>
      </c>
      <c r="G205" s="25">
        <v>0.01</v>
      </c>
      <c r="H205" s="72">
        <v>5.0000000000000001E-3</v>
      </c>
      <c r="I205" s="66" t="s">
        <v>14</v>
      </c>
      <c r="J205" s="4">
        <v>45726</v>
      </c>
      <c r="K205" s="18" t="s">
        <v>967</v>
      </c>
      <c r="L205" s="22" t="s">
        <v>711</v>
      </c>
    </row>
    <row r="206" spans="1:12">
      <c r="A206" s="37">
        <v>670</v>
      </c>
      <c r="B206" s="21" t="s">
        <v>28</v>
      </c>
      <c r="C206" s="9">
        <v>7300</v>
      </c>
      <c r="D206" s="26">
        <v>45717</v>
      </c>
      <c r="E206" s="26">
        <v>45747</v>
      </c>
      <c r="F206" s="40" t="s">
        <v>11</v>
      </c>
      <c r="G206" s="25">
        <v>0.01</v>
      </c>
      <c r="H206" s="72">
        <v>5.0000000000000001E-3</v>
      </c>
      <c r="I206" s="66" t="s">
        <v>14</v>
      </c>
      <c r="J206" s="4">
        <v>45726</v>
      </c>
      <c r="K206" s="18" t="s">
        <v>967</v>
      </c>
      <c r="L206" s="22" t="s">
        <v>711</v>
      </c>
    </row>
    <row r="207" spans="1:12">
      <c r="A207" s="37">
        <v>671</v>
      </c>
      <c r="B207" s="21" t="s">
        <v>28</v>
      </c>
      <c r="C207" s="9">
        <v>7523</v>
      </c>
      <c r="D207" s="26">
        <v>45717</v>
      </c>
      <c r="E207" s="26">
        <v>45747</v>
      </c>
      <c r="F207" s="40" t="s">
        <v>11</v>
      </c>
      <c r="G207" s="25">
        <v>0.01</v>
      </c>
      <c r="H207" s="72">
        <v>0.01</v>
      </c>
      <c r="I207" s="66" t="s">
        <v>14</v>
      </c>
      <c r="J207" s="4">
        <v>45726</v>
      </c>
      <c r="K207" s="18" t="s">
        <v>967</v>
      </c>
      <c r="L207" s="22" t="s">
        <v>711</v>
      </c>
    </row>
    <row r="208" spans="1:12">
      <c r="A208" s="37">
        <v>672</v>
      </c>
      <c r="B208" s="21" t="s">
        <v>28</v>
      </c>
      <c r="C208" s="9">
        <v>8571</v>
      </c>
      <c r="D208" s="26">
        <v>45717</v>
      </c>
      <c r="E208" s="26">
        <v>45747</v>
      </c>
      <c r="F208" s="40" t="s">
        <v>11</v>
      </c>
      <c r="G208" s="25">
        <v>0.01</v>
      </c>
      <c r="H208" s="72">
        <v>5.0000000000000001E-3</v>
      </c>
      <c r="I208" s="66" t="s">
        <v>14</v>
      </c>
      <c r="J208" s="4">
        <v>45726</v>
      </c>
      <c r="K208" s="18" t="s">
        <v>967</v>
      </c>
      <c r="L208" s="22" t="s">
        <v>711</v>
      </c>
    </row>
    <row r="209" spans="1:12">
      <c r="A209" s="37">
        <v>673</v>
      </c>
      <c r="B209" s="21" t="s">
        <v>28</v>
      </c>
      <c r="C209" s="9" t="s">
        <v>968</v>
      </c>
      <c r="D209" s="26">
        <v>45717</v>
      </c>
      <c r="E209" s="26">
        <v>45747</v>
      </c>
      <c r="F209" s="40" t="s">
        <v>11</v>
      </c>
      <c r="G209" s="25">
        <v>0.01</v>
      </c>
      <c r="H209" s="72">
        <v>3.0000000000000001E-3</v>
      </c>
      <c r="I209" s="66" t="s">
        <v>14</v>
      </c>
      <c r="J209" s="4">
        <v>45726</v>
      </c>
      <c r="K209" s="18" t="s">
        <v>967</v>
      </c>
      <c r="L209" s="22" t="s">
        <v>711</v>
      </c>
    </row>
    <row r="210" spans="1:12">
      <c r="A210" s="37">
        <v>674</v>
      </c>
      <c r="B210" s="21" t="s">
        <v>28</v>
      </c>
      <c r="C210" s="9" t="s">
        <v>968</v>
      </c>
      <c r="D210" s="26">
        <v>45717</v>
      </c>
      <c r="E210" s="26">
        <v>45747</v>
      </c>
      <c r="F210" s="40" t="s">
        <v>11</v>
      </c>
      <c r="G210" s="25">
        <v>0.01</v>
      </c>
      <c r="H210" s="72">
        <v>3.0000000000000001E-3</v>
      </c>
      <c r="I210" s="66" t="s">
        <v>14</v>
      </c>
      <c r="J210" s="4">
        <v>45726</v>
      </c>
      <c r="K210" s="18" t="s">
        <v>967</v>
      </c>
      <c r="L210" s="22" t="s">
        <v>982</v>
      </c>
    </row>
    <row r="211" spans="1:12">
      <c r="A211" s="37">
        <v>675</v>
      </c>
      <c r="B211" s="21" t="s">
        <v>28</v>
      </c>
      <c r="C211" s="9" t="s">
        <v>912</v>
      </c>
      <c r="D211" s="26">
        <v>45717</v>
      </c>
      <c r="E211" s="26">
        <v>45747</v>
      </c>
      <c r="F211" s="40" t="s">
        <v>11</v>
      </c>
      <c r="G211" s="25">
        <v>100000</v>
      </c>
      <c r="H211" s="72">
        <v>2.5000000000000001E-3</v>
      </c>
      <c r="I211" s="66" t="s">
        <v>168</v>
      </c>
      <c r="J211" s="4">
        <v>45729</v>
      </c>
      <c r="K211" s="18" t="s">
        <v>911</v>
      </c>
      <c r="L211" s="22" t="s">
        <v>1123</v>
      </c>
    </row>
    <row r="212" spans="1:12" ht="30">
      <c r="A212" s="37">
        <v>676</v>
      </c>
      <c r="B212" s="21" t="s">
        <v>28</v>
      </c>
      <c r="C212" s="9">
        <v>9431</v>
      </c>
      <c r="D212" s="26">
        <v>45717</v>
      </c>
      <c r="E212" s="26">
        <v>45747</v>
      </c>
      <c r="F212" s="40" t="s">
        <v>11</v>
      </c>
      <c r="G212" s="25">
        <v>100000</v>
      </c>
      <c r="H212" s="72">
        <v>5.0000000000000001E-3</v>
      </c>
      <c r="I212" s="66" t="s">
        <v>39</v>
      </c>
      <c r="J212" s="4">
        <v>45733</v>
      </c>
      <c r="K212" s="18" t="s">
        <v>970</v>
      </c>
      <c r="L212" s="22" t="s">
        <v>984</v>
      </c>
    </row>
    <row r="213" spans="1:12" ht="30">
      <c r="A213" s="37">
        <v>677</v>
      </c>
      <c r="B213" s="21" t="s">
        <v>28</v>
      </c>
      <c r="C213" s="9">
        <v>9003</v>
      </c>
      <c r="D213" s="26">
        <v>45717</v>
      </c>
      <c r="E213" s="26">
        <v>45747</v>
      </c>
      <c r="F213" s="40" t="s">
        <v>11</v>
      </c>
      <c r="G213" s="25">
        <v>100000</v>
      </c>
      <c r="H213" s="72">
        <v>5.0000000000000001E-3</v>
      </c>
      <c r="I213" s="66" t="s">
        <v>39</v>
      </c>
      <c r="J213" s="4">
        <v>45733</v>
      </c>
      <c r="K213" s="18" t="s">
        <v>970</v>
      </c>
      <c r="L213" s="22" t="s">
        <v>984</v>
      </c>
    </row>
    <row r="214" spans="1:12" ht="30">
      <c r="A214" s="37">
        <v>678</v>
      </c>
      <c r="B214" s="21" t="s">
        <v>28</v>
      </c>
      <c r="C214" s="9">
        <v>5764</v>
      </c>
      <c r="D214" s="26">
        <v>45717</v>
      </c>
      <c r="E214" s="26">
        <v>45747</v>
      </c>
      <c r="F214" s="40" t="s">
        <v>11</v>
      </c>
      <c r="G214" s="25">
        <v>100000</v>
      </c>
      <c r="H214" s="72">
        <v>5.0000000000000001E-3</v>
      </c>
      <c r="I214" s="66" t="s">
        <v>39</v>
      </c>
      <c r="J214" s="4">
        <v>45733</v>
      </c>
      <c r="K214" s="18" t="s">
        <v>970</v>
      </c>
      <c r="L214" s="22" t="s">
        <v>984</v>
      </c>
    </row>
    <row r="215" spans="1:12">
      <c r="A215" s="37">
        <v>679</v>
      </c>
      <c r="B215" s="21" t="s">
        <v>28</v>
      </c>
      <c r="C215" s="9" t="s">
        <v>145</v>
      </c>
      <c r="D215" s="26">
        <v>45717</v>
      </c>
      <c r="E215" s="26">
        <v>45747</v>
      </c>
      <c r="F215" s="40" t="s">
        <v>11</v>
      </c>
      <c r="G215" s="25">
        <v>700000</v>
      </c>
      <c r="H215" s="72">
        <v>2E-3</v>
      </c>
      <c r="I215" s="66" t="s">
        <v>24</v>
      </c>
      <c r="J215" s="4">
        <v>45733</v>
      </c>
      <c r="K215" s="18" t="s">
        <v>971</v>
      </c>
      <c r="L215" s="22" t="s">
        <v>1124</v>
      </c>
    </row>
    <row r="216" spans="1:12">
      <c r="A216" s="37">
        <v>680</v>
      </c>
      <c r="B216" s="21" t="s">
        <v>28</v>
      </c>
      <c r="C216" s="9">
        <v>16457</v>
      </c>
      <c r="D216" s="26">
        <v>45717</v>
      </c>
      <c r="E216" s="26">
        <v>45747</v>
      </c>
      <c r="F216" s="40" t="s">
        <v>11</v>
      </c>
      <c r="G216" s="25">
        <v>300000</v>
      </c>
      <c r="H216" s="72">
        <v>5.0000000000000001E-3</v>
      </c>
      <c r="I216" s="66" t="s">
        <v>39</v>
      </c>
      <c r="J216" s="4">
        <v>45733</v>
      </c>
      <c r="K216" s="18" t="s">
        <v>972</v>
      </c>
      <c r="L216" s="22" t="s">
        <v>978</v>
      </c>
    </row>
    <row r="217" spans="1:12">
      <c r="A217" s="37">
        <v>681</v>
      </c>
      <c r="B217" s="21" t="s">
        <v>28</v>
      </c>
      <c r="C217" s="9">
        <v>16457</v>
      </c>
      <c r="D217" s="26">
        <v>45717</v>
      </c>
      <c r="E217" s="26">
        <v>45747</v>
      </c>
      <c r="F217" s="40" t="s">
        <v>11</v>
      </c>
      <c r="G217" s="25">
        <v>300000</v>
      </c>
      <c r="H217" s="72">
        <v>5.0000000000000001E-3</v>
      </c>
      <c r="I217" s="66" t="s">
        <v>39</v>
      </c>
      <c r="J217" s="4">
        <v>45733</v>
      </c>
      <c r="K217" s="18" t="s">
        <v>972</v>
      </c>
      <c r="L217" s="22" t="s">
        <v>979</v>
      </c>
    </row>
    <row r="218" spans="1:12">
      <c r="A218" s="37">
        <v>682</v>
      </c>
      <c r="B218" s="21" t="s">
        <v>28</v>
      </c>
      <c r="C218" s="9">
        <v>16457</v>
      </c>
      <c r="D218" s="26">
        <v>45717</v>
      </c>
      <c r="E218" s="26">
        <v>45747</v>
      </c>
      <c r="F218" s="40" t="s">
        <v>11</v>
      </c>
      <c r="G218" s="25">
        <v>300000</v>
      </c>
      <c r="H218" s="72">
        <v>5.0000000000000001E-3</v>
      </c>
      <c r="I218" s="66" t="s">
        <v>39</v>
      </c>
      <c r="J218" s="4">
        <v>45733</v>
      </c>
      <c r="K218" s="18" t="s">
        <v>972</v>
      </c>
      <c r="L218" s="22" t="s">
        <v>980</v>
      </c>
    </row>
    <row r="219" spans="1:12">
      <c r="A219" s="37">
        <v>683</v>
      </c>
      <c r="B219" s="21" t="s">
        <v>28</v>
      </c>
      <c r="C219" s="9">
        <v>16457</v>
      </c>
      <c r="D219" s="26">
        <v>45717</v>
      </c>
      <c r="E219" s="26">
        <v>45747</v>
      </c>
      <c r="F219" s="40" t="s">
        <v>11</v>
      </c>
      <c r="G219" s="25">
        <v>300000</v>
      </c>
      <c r="H219" s="72">
        <v>5.0000000000000001E-3</v>
      </c>
      <c r="I219" s="66" t="s">
        <v>39</v>
      </c>
      <c r="J219" s="4">
        <v>45733</v>
      </c>
      <c r="K219" s="18" t="s">
        <v>972</v>
      </c>
      <c r="L219" s="22" t="s">
        <v>981</v>
      </c>
    </row>
    <row r="220" spans="1:12">
      <c r="A220" s="37">
        <v>684</v>
      </c>
      <c r="B220" s="21" t="s">
        <v>28</v>
      </c>
      <c r="C220" s="9">
        <v>6512</v>
      </c>
      <c r="D220" s="26">
        <v>45717</v>
      </c>
      <c r="E220" s="26">
        <v>45747</v>
      </c>
      <c r="F220" s="40" t="s">
        <v>11</v>
      </c>
      <c r="G220" s="25">
        <v>50000</v>
      </c>
      <c r="H220" s="72">
        <v>5.0000000000000001E-3</v>
      </c>
      <c r="I220" s="66" t="s">
        <v>39</v>
      </c>
      <c r="J220" s="4">
        <v>45733</v>
      </c>
      <c r="K220" s="18" t="s">
        <v>973</v>
      </c>
      <c r="L220" s="22" t="s">
        <v>960</v>
      </c>
    </row>
    <row r="221" spans="1:12">
      <c r="A221" s="37">
        <v>685</v>
      </c>
      <c r="B221" s="21" t="s">
        <v>28</v>
      </c>
      <c r="C221" s="9">
        <v>3489</v>
      </c>
      <c r="D221" s="26">
        <v>45717</v>
      </c>
      <c r="E221" s="26">
        <v>45747</v>
      </c>
      <c r="F221" s="40" t="s">
        <v>11</v>
      </c>
      <c r="G221" s="25">
        <v>1000</v>
      </c>
      <c r="H221" s="72">
        <v>8.9999999999999993E-3</v>
      </c>
      <c r="I221" s="66" t="s">
        <v>25</v>
      </c>
      <c r="J221" s="4">
        <v>45734</v>
      </c>
      <c r="K221" s="18" t="s">
        <v>976</v>
      </c>
      <c r="L221" s="22" t="s">
        <v>977</v>
      </c>
    </row>
    <row r="222" spans="1:12">
      <c r="A222" s="37">
        <v>686</v>
      </c>
      <c r="B222" s="21" t="s">
        <v>28</v>
      </c>
      <c r="C222" s="9" t="s">
        <v>678</v>
      </c>
      <c r="D222" s="26">
        <v>45717</v>
      </c>
      <c r="E222" s="26">
        <v>46022</v>
      </c>
      <c r="F222" s="40" t="s">
        <v>11</v>
      </c>
      <c r="G222" s="25">
        <v>300000</v>
      </c>
      <c r="H222" s="72">
        <v>4.0000000000000001E-3</v>
      </c>
      <c r="I222" s="66" t="s">
        <v>19</v>
      </c>
      <c r="J222" s="4">
        <v>45728</v>
      </c>
      <c r="K222" s="18" t="s">
        <v>974</v>
      </c>
      <c r="L222" s="22" t="s">
        <v>975</v>
      </c>
    </row>
    <row r="223" spans="1:12" ht="30">
      <c r="A223" s="37">
        <v>687</v>
      </c>
      <c r="B223" s="21" t="s">
        <v>28</v>
      </c>
      <c r="C223" s="9">
        <v>14452</v>
      </c>
      <c r="D223" s="26">
        <v>45717</v>
      </c>
      <c r="E223" s="26">
        <v>45747</v>
      </c>
      <c r="F223" s="40" t="s">
        <v>11</v>
      </c>
      <c r="G223" s="25">
        <v>1000</v>
      </c>
      <c r="H223" s="72" t="s">
        <v>995</v>
      </c>
      <c r="I223" s="66" t="s">
        <v>20</v>
      </c>
      <c r="J223" s="4">
        <v>45734</v>
      </c>
      <c r="K223" s="18" t="s">
        <v>994</v>
      </c>
      <c r="L223" s="22" t="s">
        <v>996</v>
      </c>
    </row>
    <row r="224" spans="1:12">
      <c r="A224" s="37">
        <v>688</v>
      </c>
      <c r="B224" s="21" t="s">
        <v>28</v>
      </c>
      <c r="C224" s="9">
        <v>13331</v>
      </c>
      <c r="D224" s="26">
        <v>45717</v>
      </c>
      <c r="E224" s="26">
        <v>45747</v>
      </c>
      <c r="F224" s="40" t="s">
        <v>11</v>
      </c>
      <c r="G224" s="25">
        <v>0.01</v>
      </c>
      <c r="H224" s="72">
        <v>2E-3</v>
      </c>
      <c r="I224" s="66" t="s">
        <v>34</v>
      </c>
      <c r="J224" s="4">
        <v>45734</v>
      </c>
      <c r="K224" s="18" t="s">
        <v>997</v>
      </c>
      <c r="L224" s="22" t="s">
        <v>107</v>
      </c>
    </row>
    <row r="225" spans="1:12">
      <c r="A225" s="37">
        <v>689</v>
      </c>
      <c r="B225" s="21" t="s">
        <v>28</v>
      </c>
      <c r="C225" s="9">
        <v>11403</v>
      </c>
      <c r="D225" s="26">
        <v>45717</v>
      </c>
      <c r="E225" s="26">
        <v>45747</v>
      </c>
      <c r="F225" s="40" t="s">
        <v>11</v>
      </c>
      <c r="G225" s="25">
        <v>100000</v>
      </c>
      <c r="H225" s="72" t="s">
        <v>998</v>
      </c>
      <c r="I225" s="66" t="s">
        <v>48</v>
      </c>
      <c r="J225" s="4">
        <v>45734</v>
      </c>
      <c r="K225" s="18" t="s">
        <v>449</v>
      </c>
      <c r="L225" s="22" t="s">
        <v>123</v>
      </c>
    </row>
    <row r="226" spans="1:12">
      <c r="A226" s="37">
        <v>690</v>
      </c>
      <c r="B226" s="21" t="s">
        <v>28</v>
      </c>
      <c r="C226" s="9">
        <v>11349</v>
      </c>
      <c r="D226" s="26">
        <v>45717</v>
      </c>
      <c r="E226" s="26">
        <v>45747</v>
      </c>
      <c r="F226" s="40" t="s">
        <v>11</v>
      </c>
      <c r="G226" s="25">
        <v>100000</v>
      </c>
      <c r="H226" s="72" t="s">
        <v>998</v>
      </c>
      <c r="I226" s="66" t="s">
        <v>48</v>
      </c>
      <c r="J226" s="4">
        <v>45734</v>
      </c>
      <c r="K226" s="18" t="s">
        <v>449</v>
      </c>
      <c r="L226" s="22" t="s">
        <v>123</v>
      </c>
    </row>
    <row r="227" spans="1:12">
      <c r="A227" s="37">
        <v>691</v>
      </c>
      <c r="B227" s="21" t="s">
        <v>28</v>
      </c>
      <c r="C227" s="9">
        <v>7934</v>
      </c>
      <c r="D227" s="26">
        <v>45717</v>
      </c>
      <c r="E227" s="26">
        <v>45747</v>
      </c>
      <c r="F227" s="40" t="s">
        <v>11</v>
      </c>
      <c r="G227" s="25">
        <v>1000</v>
      </c>
      <c r="H227" s="72">
        <v>2E-3</v>
      </c>
      <c r="I227" s="66" t="s">
        <v>27</v>
      </c>
      <c r="J227" s="4">
        <v>45734</v>
      </c>
      <c r="K227" s="18" t="s">
        <v>999</v>
      </c>
      <c r="L227" s="22" t="s">
        <v>1001</v>
      </c>
    </row>
    <row r="228" spans="1:12">
      <c r="A228" s="37">
        <v>692</v>
      </c>
      <c r="B228" s="21" t="s">
        <v>28</v>
      </c>
      <c r="C228" s="9" t="s">
        <v>1003</v>
      </c>
      <c r="D228" s="26">
        <v>45717</v>
      </c>
      <c r="E228" s="26">
        <v>45747</v>
      </c>
      <c r="F228" s="40" t="s">
        <v>11</v>
      </c>
      <c r="G228" s="25">
        <v>1000</v>
      </c>
      <c r="H228" s="72">
        <v>5.0000000000000001E-3</v>
      </c>
      <c r="I228" s="66" t="s">
        <v>27</v>
      </c>
      <c r="J228" s="4">
        <v>45734</v>
      </c>
      <c r="K228" s="18" t="s">
        <v>1002</v>
      </c>
      <c r="L228" s="22" t="s">
        <v>1004</v>
      </c>
    </row>
    <row r="229" spans="1:12">
      <c r="A229" s="37">
        <v>693</v>
      </c>
      <c r="B229" s="21" t="s">
        <v>28</v>
      </c>
      <c r="C229" s="9">
        <v>14993</v>
      </c>
      <c r="D229" s="26">
        <v>45717</v>
      </c>
      <c r="E229" s="26">
        <v>45747</v>
      </c>
      <c r="F229" s="40" t="s">
        <v>11</v>
      </c>
      <c r="G229" s="25">
        <v>1</v>
      </c>
      <c r="H229" s="72">
        <v>7.4999999999999997E-3</v>
      </c>
      <c r="I229" s="66" t="s">
        <v>20</v>
      </c>
      <c r="J229" s="4">
        <v>45734</v>
      </c>
      <c r="K229" s="18" t="s">
        <v>1005</v>
      </c>
      <c r="L229" s="22" t="s">
        <v>134</v>
      </c>
    </row>
    <row r="230" spans="1:12">
      <c r="A230" s="37">
        <v>694</v>
      </c>
      <c r="B230" s="21" t="s">
        <v>28</v>
      </c>
      <c r="C230" s="9">
        <v>11994</v>
      </c>
      <c r="D230" s="26">
        <v>45717</v>
      </c>
      <c r="E230" s="26">
        <v>45747</v>
      </c>
      <c r="F230" s="40" t="s">
        <v>11</v>
      </c>
      <c r="G230" s="25">
        <v>1000</v>
      </c>
      <c r="H230" s="72">
        <v>7.4999999999999997E-3</v>
      </c>
      <c r="I230" s="66" t="s">
        <v>30</v>
      </c>
      <c r="J230" s="4">
        <v>45726</v>
      </c>
      <c r="K230" s="18" t="s">
        <v>1013</v>
      </c>
      <c r="L230" s="22" t="s">
        <v>658</v>
      </c>
    </row>
    <row r="231" spans="1:12">
      <c r="A231" s="37">
        <v>695</v>
      </c>
      <c r="B231" s="21" t="s">
        <v>28</v>
      </c>
      <c r="C231" s="9">
        <v>11994</v>
      </c>
      <c r="D231" s="26">
        <v>45717</v>
      </c>
      <c r="E231" s="26">
        <v>45747</v>
      </c>
      <c r="F231" s="40" t="s">
        <v>11</v>
      </c>
      <c r="G231" s="25">
        <v>1000</v>
      </c>
      <c r="H231" s="72">
        <v>5.0000000000000001E-4</v>
      </c>
      <c r="I231" s="66" t="s">
        <v>30</v>
      </c>
      <c r="J231" s="4">
        <v>45726</v>
      </c>
      <c r="K231" s="18" t="s">
        <v>1013</v>
      </c>
      <c r="L231" s="22" t="s">
        <v>1014</v>
      </c>
    </row>
    <row r="232" spans="1:12">
      <c r="A232" s="37">
        <v>696</v>
      </c>
      <c r="B232" s="21" t="s">
        <v>28</v>
      </c>
      <c r="C232" s="9">
        <v>14554</v>
      </c>
      <c r="D232" s="26">
        <v>45717</v>
      </c>
      <c r="E232" s="26">
        <v>45747</v>
      </c>
      <c r="F232" s="40" t="s">
        <v>11</v>
      </c>
      <c r="G232" s="25">
        <v>1000</v>
      </c>
      <c r="H232" s="72">
        <v>1.2500000000000001E-2</v>
      </c>
      <c r="I232" s="66" t="s">
        <v>25</v>
      </c>
      <c r="J232" s="4">
        <v>45726</v>
      </c>
      <c r="K232" s="18" t="s">
        <v>1013</v>
      </c>
      <c r="L232" s="22" t="s">
        <v>157</v>
      </c>
    </row>
    <row r="233" spans="1:12" ht="30">
      <c r="A233" s="37">
        <v>697</v>
      </c>
      <c r="B233" s="21" t="s">
        <v>28</v>
      </c>
      <c r="C233" s="9">
        <v>16532</v>
      </c>
      <c r="D233" s="26">
        <v>45717</v>
      </c>
      <c r="E233" s="26">
        <v>45747</v>
      </c>
      <c r="F233" s="40" t="s">
        <v>11</v>
      </c>
      <c r="G233" s="25">
        <v>1000</v>
      </c>
      <c r="H233" s="72">
        <v>0.03</v>
      </c>
      <c r="I233" s="66" t="s">
        <v>30</v>
      </c>
      <c r="J233" s="4">
        <v>45726</v>
      </c>
      <c r="K233" s="18" t="s">
        <v>1013</v>
      </c>
      <c r="L233" s="22" t="s">
        <v>1015</v>
      </c>
    </row>
    <row r="234" spans="1:12">
      <c r="A234" s="37">
        <v>698</v>
      </c>
      <c r="B234" s="21" t="s">
        <v>28</v>
      </c>
      <c r="C234" s="9">
        <v>16291</v>
      </c>
      <c r="D234" s="26">
        <v>45717</v>
      </c>
      <c r="E234" s="26">
        <v>45747</v>
      </c>
      <c r="F234" s="40" t="s">
        <v>11</v>
      </c>
      <c r="G234" s="25">
        <v>1000</v>
      </c>
      <c r="H234" s="72">
        <v>5.0000000000000001E-3</v>
      </c>
      <c r="I234" s="66" t="s">
        <v>25</v>
      </c>
      <c r="J234" s="4">
        <v>45726</v>
      </c>
      <c r="K234" s="18" t="s">
        <v>1013</v>
      </c>
      <c r="L234" s="22" t="s">
        <v>658</v>
      </c>
    </row>
    <row r="235" spans="1:12">
      <c r="A235" s="37">
        <v>699</v>
      </c>
      <c r="B235" s="21" t="s">
        <v>28</v>
      </c>
      <c r="C235" s="9">
        <v>13220</v>
      </c>
      <c r="D235" s="26">
        <v>45717</v>
      </c>
      <c r="E235" s="26">
        <v>45747</v>
      </c>
      <c r="F235" s="40" t="s">
        <v>11</v>
      </c>
      <c r="G235" s="25">
        <v>1000</v>
      </c>
      <c r="H235" s="72">
        <v>5.0000000000000001E-3</v>
      </c>
      <c r="I235" s="66" t="s">
        <v>30</v>
      </c>
      <c r="J235" s="4">
        <v>45726</v>
      </c>
      <c r="K235" s="18" t="s">
        <v>1013</v>
      </c>
      <c r="L235" s="22" t="s">
        <v>658</v>
      </c>
    </row>
    <row r="236" spans="1:12">
      <c r="A236" s="37">
        <v>700</v>
      </c>
      <c r="B236" s="21" t="s">
        <v>28</v>
      </c>
      <c r="C236" s="9">
        <v>11545</v>
      </c>
      <c r="D236" s="26">
        <v>45717</v>
      </c>
      <c r="E236" s="26">
        <v>45747</v>
      </c>
      <c r="F236" s="40" t="s">
        <v>11</v>
      </c>
      <c r="G236" s="25">
        <v>1000</v>
      </c>
      <c r="H236" s="72">
        <v>7.4999999999999997E-3</v>
      </c>
      <c r="I236" s="66" t="s">
        <v>27</v>
      </c>
      <c r="J236" s="4">
        <v>45726</v>
      </c>
      <c r="K236" s="18" t="s">
        <v>1013</v>
      </c>
      <c r="L236" s="22" t="s">
        <v>1016</v>
      </c>
    </row>
    <row r="237" spans="1:12">
      <c r="A237" s="37">
        <v>701</v>
      </c>
      <c r="B237" s="21" t="s">
        <v>28</v>
      </c>
      <c r="C237" s="9">
        <v>7734</v>
      </c>
      <c r="D237" s="26">
        <v>45717</v>
      </c>
      <c r="E237" s="26">
        <v>45747</v>
      </c>
      <c r="F237" s="40" t="s">
        <v>11</v>
      </c>
      <c r="G237" s="25">
        <v>1000</v>
      </c>
      <c r="H237" s="72">
        <v>5.0000000000000001E-3</v>
      </c>
      <c r="I237" s="66" t="s">
        <v>30</v>
      </c>
      <c r="J237" s="4">
        <v>45726</v>
      </c>
      <c r="K237" s="18" t="s">
        <v>1013</v>
      </c>
      <c r="L237" s="22" t="s">
        <v>1017</v>
      </c>
    </row>
    <row r="238" spans="1:12">
      <c r="A238" s="37">
        <v>702</v>
      </c>
      <c r="B238" s="21" t="s">
        <v>28</v>
      </c>
      <c r="C238" s="9">
        <v>14590</v>
      </c>
      <c r="D238" s="26">
        <v>45717</v>
      </c>
      <c r="E238" s="26">
        <v>45747</v>
      </c>
      <c r="F238" s="40" t="s">
        <v>11</v>
      </c>
      <c r="G238" s="25">
        <v>50000</v>
      </c>
      <c r="H238" s="72">
        <v>5.0000000000000001E-3</v>
      </c>
      <c r="I238" s="66" t="s">
        <v>13</v>
      </c>
      <c r="J238" s="4">
        <v>45735</v>
      </c>
      <c r="K238" s="18" t="s">
        <v>1018</v>
      </c>
      <c r="L238" s="22" t="s">
        <v>1151</v>
      </c>
    </row>
    <row r="239" spans="1:12">
      <c r="A239" s="37">
        <v>703</v>
      </c>
      <c r="B239" s="21" t="s">
        <v>28</v>
      </c>
      <c r="C239" s="9">
        <v>14533</v>
      </c>
      <c r="D239" s="26">
        <v>45735</v>
      </c>
      <c r="E239" s="26">
        <v>45747</v>
      </c>
      <c r="F239" s="40" t="s">
        <v>11</v>
      </c>
      <c r="G239" s="25">
        <v>0.01</v>
      </c>
      <c r="H239" s="72">
        <v>2.5000000000000001E-3</v>
      </c>
      <c r="I239" s="66" t="s">
        <v>46</v>
      </c>
      <c r="J239" s="4">
        <v>45735</v>
      </c>
      <c r="K239" s="18" t="s">
        <v>1019</v>
      </c>
      <c r="L239" s="22" t="s">
        <v>1020</v>
      </c>
    </row>
    <row r="240" spans="1:12" ht="60">
      <c r="A240" s="37">
        <v>704</v>
      </c>
      <c r="B240" s="21" t="s">
        <v>28</v>
      </c>
      <c r="C240" s="9" t="s">
        <v>125</v>
      </c>
      <c r="D240" s="26">
        <v>45717</v>
      </c>
      <c r="E240" s="26">
        <v>45747</v>
      </c>
      <c r="F240" s="40" t="s">
        <v>11</v>
      </c>
      <c r="G240" s="25">
        <v>100000</v>
      </c>
      <c r="H240" s="72">
        <v>3.0000000000000001E-3</v>
      </c>
      <c r="I240" s="66" t="s">
        <v>18</v>
      </c>
      <c r="J240" s="4">
        <v>45735</v>
      </c>
      <c r="K240" s="18" t="s">
        <v>1021</v>
      </c>
      <c r="L240" s="22" t="s">
        <v>1022</v>
      </c>
    </row>
    <row r="241" spans="1:12" ht="45">
      <c r="A241" s="37">
        <v>705</v>
      </c>
      <c r="B241" s="21" t="s">
        <v>28</v>
      </c>
      <c r="C241" s="9">
        <v>14876</v>
      </c>
      <c r="D241" s="26">
        <v>45717</v>
      </c>
      <c r="E241" s="26">
        <v>45747</v>
      </c>
      <c r="F241" s="40" t="s">
        <v>11</v>
      </c>
      <c r="G241" s="25">
        <v>1000</v>
      </c>
      <c r="H241" s="72">
        <v>5.0000000000000001E-3</v>
      </c>
      <c r="I241" s="66" t="s">
        <v>30</v>
      </c>
      <c r="J241" s="4">
        <v>45726</v>
      </c>
      <c r="K241" s="18" t="s">
        <v>1023</v>
      </c>
      <c r="L241" s="22" t="s">
        <v>1152</v>
      </c>
    </row>
    <row r="242" spans="1:12" ht="45">
      <c r="A242" s="37">
        <v>706</v>
      </c>
      <c r="B242" s="21" t="s">
        <v>28</v>
      </c>
      <c r="C242" s="9">
        <v>4353</v>
      </c>
      <c r="D242" s="26">
        <v>45717</v>
      </c>
      <c r="E242" s="26">
        <v>45747</v>
      </c>
      <c r="F242" s="40" t="s">
        <v>11</v>
      </c>
      <c r="G242" s="25">
        <v>1000</v>
      </c>
      <c r="H242" s="72">
        <v>0.01</v>
      </c>
      <c r="I242" s="66" t="s">
        <v>25</v>
      </c>
      <c r="J242" s="4">
        <v>45726</v>
      </c>
      <c r="K242" s="18" t="s">
        <v>1023</v>
      </c>
      <c r="L242" s="22" t="s">
        <v>919</v>
      </c>
    </row>
    <row r="243" spans="1:12">
      <c r="A243" s="37">
        <v>707</v>
      </c>
      <c r="B243" s="21" t="s">
        <v>28</v>
      </c>
      <c r="C243" s="9">
        <v>4353</v>
      </c>
      <c r="D243" s="26">
        <v>45717</v>
      </c>
      <c r="E243" s="26">
        <v>45747</v>
      </c>
      <c r="F243" s="40" t="s">
        <v>11</v>
      </c>
      <c r="G243" s="25">
        <v>1000</v>
      </c>
      <c r="H243" s="72">
        <v>5.0000000000000001E-3</v>
      </c>
      <c r="I243" s="66" t="s">
        <v>25</v>
      </c>
      <c r="J243" s="4">
        <v>45726</v>
      </c>
      <c r="K243" s="18" t="s">
        <v>1023</v>
      </c>
      <c r="L243" s="22" t="s">
        <v>1024</v>
      </c>
    </row>
    <row r="244" spans="1:12" ht="45">
      <c r="A244" s="37">
        <v>708</v>
      </c>
      <c r="B244" s="21" t="s">
        <v>28</v>
      </c>
      <c r="C244" s="9">
        <v>10293</v>
      </c>
      <c r="D244" s="26">
        <v>45717</v>
      </c>
      <c r="E244" s="26">
        <v>45747</v>
      </c>
      <c r="F244" s="40" t="s">
        <v>11</v>
      </c>
      <c r="G244" s="25">
        <v>1000</v>
      </c>
      <c r="H244" s="72">
        <v>0.01</v>
      </c>
      <c r="I244" s="66" t="s">
        <v>27</v>
      </c>
      <c r="J244" s="4">
        <v>45726</v>
      </c>
      <c r="K244" s="18" t="s">
        <v>1023</v>
      </c>
      <c r="L244" s="22" t="s">
        <v>919</v>
      </c>
    </row>
    <row r="245" spans="1:12">
      <c r="A245" s="37">
        <v>709</v>
      </c>
      <c r="B245" s="21" t="s">
        <v>28</v>
      </c>
      <c r="C245" s="9">
        <v>9572</v>
      </c>
      <c r="D245" s="26">
        <v>45717</v>
      </c>
      <c r="E245" s="26">
        <v>45747</v>
      </c>
      <c r="F245" s="40" t="s">
        <v>11</v>
      </c>
      <c r="G245" s="25">
        <v>1000</v>
      </c>
      <c r="H245" s="72">
        <v>5.0000000000000001E-3</v>
      </c>
      <c r="I245" s="66" t="s">
        <v>25</v>
      </c>
      <c r="J245" s="4">
        <v>45726</v>
      </c>
      <c r="K245" s="18" t="s">
        <v>1023</v>
      </c>
      <c r="L245" s="22" t="s">
        <v>1025</v>
      </c>
    </row>
    <row r="246" spans="1:12" ht="90">
      <c r="A246" s="37">
        <v>710</v>
      </c>
      <c r="B246" s="21" t="s">
        <v>28</v>
      </c>
      <c r="C246" s="9">
        <v>3280</v>
      </c>
      <c r="D246" s="26">
        <v>45717</v>
      </c>
      <c r="E246" s="26">
        <v>45747</v>
      </c>
      <c r="F246" s="40" t="s">
        <v>11</v>
      </c>
      <c r="G246" s="25">
        <v>150000</v>
      </c>
      <c r="H246" s="72">
        <v>2E-3</v>
      </c>
      <c r="I246" s="66" t="s">
        <v>25</v>
      </c>
      <c r="J246" s="4">
        <v>45726</v>
      </c>
      <c r="K246" s="18" t="s">
        <v>1023</v>
      </c>
      <c r="L246" s="22" t="s">
        <v>1026</v>
      </c>
    </row>
    <row r="247" spans="1:12" ht="90">
      <c r="A247" s="37">
        <v>711</v>
      </c>
      <c r="B247" s="21" t="s">
        <v>28</v>
      </c>
      <c r="C247" s="9" t="s">
        <v>1079</v>
      </c>
      <c r="D247" s="26">
        <v>45717</v>
      </c>
      <c r="E247" s="26">
        <v>45747</v>
      </c>
      <c r="F247" s="40" t="s">
        <v>11</v>
      </c>
      <c r="G247" s="25">
        <v>100000</v>
      </c>
      <c r="H247" s="72">
        <v>2E-3</v>
      </c>
      <c r="I247" s="66" t="s">
        <v>25</v>
      </c>
      <c r="J247" s="4">
        <v>45726</v>
      </c>
      <c r="K247" s="18" t="s">
        <v>1023</v>
      </c>
      <c r="L247" s="22" t="s">
        <v>1029</v>
      </c>
    </row>
    <row r="248" spans="1:12">
      <c r="A248" s="37">
        <v>712</v>
      </c>
      <c r="B248" s="21" t="s">
        <v>28</v>
      </c>
      <c r="C248" s="9">
        <v>8973</v>
      </c>
      <c r="D248" s="26">
        <v>45734</v>
      </c>
      <c r="E248" s="26">
        <v>45747</v>
      </c>
      <c r="F248" s="40" t="s">
        <v>11</v>
      </c>
      <c r="G248" s="25">
        <v>5000</v>
      </c>
      <c r="H248" s="72">
        <v>5.0000000000000001E-3</v>
      </c>
      <c r="I248" s="66" t="s">
        <v>17</v>
      </c>
      <c r="J248" s="4">
        <v>45736</v>
      </c>
      <c r="K248" s="18" t="s">
        <v>1032</v>
      </c>
      <c r="L248" s="22" t="s">
        <v>1033</v>
      </c>
    </row>
    <row r="249" spans="1:12">
      <c r="A249" s="37">
        <v>713</v>
      </c>
      <c r="B249" s="21" t="s">
        <v>28</v>
      </c>
      <c r="C249" s="9">
        <v>16403</v>
      </c>
      <c r="D249" s="26">
        <v>45737</v>
      </c>
      <c r="E249" s="26">
        <v>45747</v>
      </c>
      <c r="F249" s="40" t="s">
        <v>11</v>
      </c>
      <c r="G249" s="25">
        <v>10000</v>
      </c>
      <c r="H249" s="72">
        <v>5.0000000000000001E-3</v>
      </c>
      <c r="I249" s="66" t="s">
        <v>17</v>
      </c>
      <c r="J249" s="4">
        <v>45737</v>
      </c>
      <c r="K249" s="18" t="s">
        <v>1034</v>
      </c>
      <c r="L249" s="22" t="s">
        <v>1033</v>
      </c>
    </row>
    <row r="250" spans="1:12">
      <c r="A250" s="37">
        <v>714</v>
      </c>
      <c r="B250" s="21" t="s">
        <v>28</v>
      </c>
      <c r="C250" s="9">
        <v>12802</v>
      </c>
      <c r="D250" s="26">
        <v>45717</v>
      </c>
      <c r="E250" s="26">
        <v>45747</v>
      </c>
      <c r="F250" s="40" t="s">
        <v>11</v>
      </c>
      <c r="G250" s="25">
        <v>1000</v>
      </c>
      <c r="H250" s="72">
        <v>5.0000000000000001E-3</v>
      </c>
      <c r="I250" s="66" t="s">
        <v>42</v>
      </c>
      <c r="J250" s="4">
        <v>45737</v>
      </c>
      <c r="K250" s="18" t="s">
        <v>1035</v>
      </c>
      <c r="L250" s="22" t="s">
        <v>1153</v>
      </c>
    </row>
    <row r="251" spans="1:12">
      <c r="A251" s="37">
        <v>715</v>
      </c>
      <c r="B251" s="21" t="s">
        <v>28</v>
      </c>
      <c r="C251" s="9" t="s">
        <v>1037</v>
      </c>
      <c r="D251" s="26">
        <v>45717</v>
      </c>
      <c r="E251" s="26">
        <v>45736</v>
      </c>
      <c r="F251" s="40" t="s">
        <v>11</v>
      </c>
      <c r="G251" s="25">
        <v>0.01</v>
      </c>
      <c r="H251" s="72">
        <v>7.4999999999999997E-3</v>
      </c>
      <c r="I251" s="66" t="s">
        <v>14</v>
      </c>
      <c r="J251" s="4">
        <v>45737</v>
      </c>
      <c r="K251" s="18" t="s">
        <v>1036</v>
      </c>
      <c r="L251" s="22" t="s">
        <v>1038</v>
      </c>
    </row>
    <row r="252" spans="1:12">
      <c r="A252" s="37">
        <v>716</v>
      </c>
      <c r="B252" s="21" t="s">
        <v>28</v>
      </c>
      <c r="C252" s="9" t="s">
        <v>1080</v>
      </c>
      <c r="D252" s="26">
        <v>45717</v>
      </c>
      <c r="E252" s="26">
        <v>45747</v>
      </c>
      <c r="F252" s="40" t="s">
        <v>11</v>
      </c>
      <c r="G252" s="25">
        <v>600000</v>
      </c>
      <c r="H252" s="72">
        <v>5.0000000000000001E-3</v>
      </c>
      <c r="I252" s="66" t="s">
        <v>19</v>
      </c>
      <c r="J252" s="4">
        <v>45737</v>
      </c>
      <c r="K252" s="18" t="s">
        <v>1039</v>
      </c>
      <c r="L252" s="22" t="s">
        <v>1041</v>
      </c>
    </row>
    <row r="253" spans="1:12">
      <c r="A253" s="37">
        <v>717</v>
      </c>
      <c r="B253" s="21" t="s">
        <v>28</v>
      </c>
      <c r="C253" s="9" t="s">
        <v>51</v>
      </c>
      <c r="D253" s="26">
        <v>45717</v>
      </c>
      <c r="E253" s="26">
        <v>45747</v>
      </c>
      <c r="F253" s="40" t="s">
        <v>11</v>
      </c>
      <c r="G253" s="25">
        <v>0.01</v>
      </c>
      <c r="H253" s="72">
        <v>0.02</v>
      </c>
      <c r="I253" s="66" t="s">
        <v>14</v>
      </c>
      <c r="J253" s="4">
        <v>45727</v>
      </c>
      <c r="K253" s="18" t="s">
        <v>932</v>
      </c>
      <c r="L253" s="22" t="s">
        <v>1046</v>
      </c>
    </row>
    <row r="254" spans="1:12">
      <c r="A254" s="37">
        <v>718</v>
      </c>
      <c r="B254" s="21" t="s">
        <v>28</v>
      </c>
      <c r="C254" s="9" t="s">
        <v>51</v>
      </c>
      <c r="D254" s="26">
        <v>45717</v>
      </c>
      <c r="E254" s="26">
        <v>45747</v>
      </c>
      <c r="F254" s="40" t="s">
        <v>11</v>
      </c>
      <c r="G254" s="25">
        <v>0.01</v>
      </c>
      <c r="H254" s="72">
        <v>1.4999999999999999E-2</v>
      </c>
      <c r="I254" s="66" t="s">
        <v>14</v>
      </c>
      <c r="J254" s="4">
        <v>45727</v>
      </c>
      <c r="K254" s="18" t="s">
        <v>932</v>
      </c>
      <c r="L254" s="22" t="s">
        <v>1082</v>
      </c>
    </row>
    <row r="255" spans="1:12">
      <c r="A255" s="37">
        <v>719</v>
      </c>
      <c r="B255" s="21" t="s">
        <v>28</v>
      </c>
      <c r="C255" s="9" t="s">
        <v>1042</v>
      </c>
      <c r="D255" s="26">
        <v>45717</v>
      </c>
      <c r="E255" s="26">
        <v>45747</v>
      </c>
      <c r="F255" s="40" t="s">
        <v>11</v>
      </c>
      <c r="G255" s="25">
        <v>0.01</v>
      </c>
      <c r="H255" s="72">
        <v>1.7999999999999999E-2</v>
      </c>
      <c r="I255" s="66" t="s">
        <v>14</v>
      </c>
      <c r="J255" s="4">
        <v>45727</v>
      </c>
      <c r="K255" s="18" t="s">
        <v>932</v>
      </c>
      <c r="L255" s="22" t="s">
        <v>1047</v>
      </c>
    </row>
    <row r="256" spans="1:12">
      <c r="A256" s="37">
        <v>720</v>
      </c>
      <c r="B256" s="21" t="s">
        <v>28</v>
      </c>
      <c r="C256" s="9" t="s">
        <v>1042</v>
      </c>
      <c r="D256" s="26">
        <v>45717</v>
      </c>
      <c r="E256" s="26">
        <v>45747</v>
      </c>
      <c r="F256" s="40" t="s">
        <v>11</v>
      </c>
      <c r="G256" s="25">
        <v>0.01</v>
      </c>
      <c r="H256" s="72">
        <v>5.0000000000000001E-3</v>
      </c>
      <c r="I256" s="66" t="s">
        <v>14</v>
      </c>
      <c r="J256" s="4">
        <v>45727</v>
      </c>
      <c r="K256" s="18" t="s">
        <v>932</v>
      </c>
      <c r="L256" s="75" t="s">
        <v>1056</v>
      </c>
    </row>
    <row r="257" spans="1:12">
      <c r="A257" s="37">
        <v>721</v>
      </c>
      <c r="B257" s="21" t="s">
        <v>28</v>
      </c>
      <c r="C257" s="9" t="s">
        <v>1042</v>
      </c>
      <c r="D257" s="26">
        <v>45717</v>
      </c>
      <c r="E257" s="26">
        <v>45747</v>
      </c>
      <c r="F257" s="40" t="s">
        <v>11</v>
      </c>
      <c r="G257" s="25">
        <v>0.01</v>
      </c>
      <c r="H257" s="72">
        <v>5.0000000000000001E-3</v>
      </c>
      <c r="I257" s="66" t="s">
        <v>14</v>
      </c>
      <c r="J257" s="4">
        <v>45727</v>
      </c>
      <c r="K257" s="18" t="s">
        <v>932</v>
      </c>
      <c r="L257" s="75" t="s">
        <v>1057</v>
      </c>
    </row>
    <row r="258" spans="1:12">
      <c r="A258" s="37">
        <v>722</v>
      </c>
      <c r="B258" s="21" t="s">
        <v>28</v>
      </c>
      <c r="C258" s="9" t="s">
        <v>1042</v>
      </c>
      <c r="D258" s="26">
        <v>45717</v>
      </c>
      <c r="E258" s="26">
        <v>45747</v>
      </c>
      <c r="F258" s="40" t="s">
        <v>11</v>
      </c>
      <c r="G258" s="25">
        <v>0.01</v>
      </c>
      <c r="H258" s="72">
        <v>2.75E-2</v>
      </c>
      <c r="I258" s="66" t="s">
        <v>14</v>
      </c>
      <c r="J258" s="4">
        <v>45727</v>
      </c>
      <c r="K258" s="18" t="s">
        <v>932</v>
      </c>
      <c r="L258" s="75" t="s">
        <v>1048</v>
      </c>
    </row>
    <row r="259" spans="1:12">
      <c r="A259" s="37">
        <v>723</v>
      </c>
      <c r="B259" s="21" t="s">
        <v>28</v>
      </c>
      <c r="C259" s="9" t="s">
        <v>1043</v>
      </c>
      <c r="D259" s="26">
        <v>45717</v>
      </c>
      <c r="E259" s="26">
        <v>45747</v>
      </c>
      <c r="F259" s="40" t="s">
        <v>11</v>
      </c>
      <c r="G259" s="25">
        <v>0.01</v>
      </c>
      <c r="H259" s="72">
        <v>1.5E-3</v>
      </c>
      <c r="I259" s="66" t="s">
        <v>14</v>
      </c>
      <c r="J259" s="4">
        <v>45727</v>
      </c>
      <c r="K259" s="18" t="s">
        <v>932</v>
      </c>
      <c r="L259" s="22" t="s">
        <v>1114</v>
      </c>
    </row>
    <row r="260" spans="1:12">
      <c r="A260" s="37">
        <v>724</v>
      </c>
      <c r="B260" s="21" t="s">
        <v>28</v>
      </c>
      <c r="C260" s="9" t="s">
        <v>1044</v>
      </c>
      <c r="D260" s="26">
        <v>45717</v>
      </c>
      <c r="E260" s="26">
        <v>45747</v>
      </c>
      <c r="F260" s="40" t="s">
        <v>11</v>
      </c>
      <c r="G260" s="25">
        <v>0.01</v>
      </c>
      <c r="H260" s="72">
        <v>7.4999999999999997E-3</v>
      </c>
      <c r="I260" s="66" t="s">
        <v>14</v>
      </c>
      <c r="J260" s="4">
        <v>45727</v>
      </c>
      <c r="K260" s="18" t="s">
        <v>932</v>
      </c>
      <c r="L260" s="22" t="s">
        <v>1049</v>
      </c>
    </row>
    <row r="261" spans="1:12" ht="75">
      <c r="A261" s="37">
        <v>725</v>
      </c>
      <c r="B261" s="21" t="s">
        <v>28</v>
      </c>
      <c r="C261" s="9" t="s">
        <v>90</v>
      </c>
      <c r="D261" s="26">
        <v>45717</v>
      </c>
      <c r="E261" s="26">
        <v>45747</v>
      </c>
      <c r="F261" s="40" t="s">
        <v>11</v>
      </c>
      <c r="G261" s="25">
        <v>0.01</v>
      </c>
      <c r="H261" s="72">
        <v>2.2000000000000001E-3</v>
      </c>
      <c r="I261" s="66" t="s">
        <v>14</v>
      </c>
      <c r="J261" s="4">
        <v>45727</v>
      </c>
      <c r="K261" s="18" t="s">
        <v>932</v>
      </c>
      <c r="L261" s="22" t="s">
        <v>1054</v>
      </c>
    </row>
    <row r="262" spans="1:12" ht="75">
      <c r="A262" s="37">
        <v>726</v>
      </c>
      <c r="B262" s="21" t="s">
        <v>28</v>
      </c>
      <c r="C262" s="9" t="s">
        <v>90</v>
      </c>
      <c r="D262" s="26">
        <v>45717</v>
      </c>
      <c r="E262" s="26">
        <v>45747</v>
      </c>
      <c r="F262" s="40" t="s">
        <v>11</v>
      </c>
      <c r="G262" s="25">
        <v>0.01</v>
      </c>
      <c r="H262" s="72">
        <v>1.1999999999999999E-3</v>
      </c>
      <c r="I262" s="66" t="s">
        <v>14</v>
      </c>
      <c r="J262" s="4">
        <v>45727</v>
      </c>
      <c r="K262" s="18" t="s">
        <v>932</v>
      </c>
      <c r="L262" s="22" t="s">
        <v>1055</v>
      </c>
    </row>
    <row r="263" spans="1:12">
      <c r="A263" s="37">
        <v>727</v>
      </c>
      <c r="B263" s="21" t="s">
        <v>28</v>
      </c>
      <c r="C263" s="9" t="s">
        <v>90</v>
      </c>
      <c r="D263" s="26">
        <v>45717</v>
      </c>
      <c r="E263" s="26">
        <v>45747</v>
      </c>
      <c r="F263" s="40" t="s">
        <v>11</v>
      </c>
      <c r="G263" s="25">
        <v>0.01</v>
      </c>
      <c r="H263" s="72">
        <v>2.1999999999999999E-2</v>
      </c>
      <c r="I263" s="66" t="s">
        <v>14</v>
      </c>
      <c r="J263" s="4">
        <v>45727</v>
      </c>
      <c r="K263" s="18" t="s">
        <v>932</v>
      </c>
      <c r="L263" s="75" t="s">
        <v>1050</v>
      </c>
    </row>
    <row r="264" spans="1:12">
      <c r="A264" s="37">
        <v>728</v>
      </c>
      <c r="B264" s="21" t="s">
        <v>28</v>
      </c>
      <c r="C264" s="9" t="s">
        <v>90</v>
      </c>
      <c r="D264" s="26">
        <v>45717</v>
      </c>
      <c r="E264" s="26">
        <v>45747</v>
      </c>
      <c r="F264" s="40" t="s">
        <v>11</v>
      </c>
      <c r="G264" s="25">
        <v>0.01</v>
      </c>
      <c r="H264" s="72">
        <v>1.2E-2</v>
      </c>
      <c r="I264" s="66" t="s">
        <v>14</v>
      </c>
      <c r="J264" s="4">
        <v>45727</v>
      </c>
      <c r="K264" s="18" t="s">
        <v>932</v>
      </c>
      <c r="L264" s="75" t="s">
        <v>1051</v>
      </c>
    </row>
    <row r="265" spans="1:12">
      <c r="A265" s="37">
        <v>729</v>
      </c>
      <c r="B265" s="21" t="s">
        <v>28</v>
      </c>
      <c r="C265" s="9" t="s">
        <v>90</v>
      </c>
      <c r="D265" s="26">
        <v>45717</v>
      </c>
      <c r="E265" s="26">
        <v>45747</v>
      </c>
      <c r="F265" s="40" t="s">
        <v>11</v>
      </c>
      <c r="G265" s="25">
        <v>0.01</v>
      </c>
      <c r="H265" s="72">
        <v>8.9999999999999993E-3</v>
      </c>
      <c r="I265" s="66" t="s">
        <v>14</v>
      </c>
      <c r="J265" s="4">
        <v>45727</v>
      </c>
      <c r="K265" s="18" t="s">
        <v>932</v>
      </c>
      <c r="L265" s="75" t="s">
        <v>1052</v>
      </c>
    </row>
    <row r="266" spans="1:12">
      <c r="A266" s="37">
        <v>730</v>
      </c>
      <c r="B266" s="21" t="s">
        <v>28</v>
      </c>
      <c r="C266" s="9" t="s">
        <v>90</v>
      </c>
      <c r="D266" s="26">
        <v>45717</v>
      </c>
      <c r="E266" s="26">
        <v>45747</v>
      </c>
      <c r="F266" s="40" t="s">
        <v>11</v>
      </c>
      <c r="G266" s="25">
        <v>0.01</v>
      </c>
      <c r="H266" s="72">
        <v>8.9999999999999998E-4</v>
      </c>
      <c r="I266" s="66" t="s">
        <v>14</v>
      </c>
      <c r="J266" s="4">
        <v>45727</v>
      </c>
      <c r="K266" s="18" t="s">
        <v>932</v>
      </c>
      <c r="L266" s="75" t="s">
        <v>1116</v>
      </c>
    </row>
    <row r="267" spans="1:12">
      <c r="A267" s="37">
        <v>731</v>
      </c>
      <c r="B267" s="21" t="s">
        <v>28</v>
      </c>
      <c r="C267" s="9" t="s">
        <v>90</v>
      </c>
      <c r="D267" s="26">
        <v>45717</v>
      </c>
      <c r="E267" s="26">
        <v>45747</v>
      </c>
      <c r="F267" s="40" t="s">
        <v>11</v>
      </c>
      <c r="G267" s="25">
        <v>0.01</v>
      </c>
      <c r="H267" s="72">
        <v>7.0000000000000001E-3</v>
      </c>
      <c r="I267" s="66" t="s">
        <v>14</v>
      </c>
      <c r="J267" s="4">
        <v>45727</v>
      </c>
      <c r="K267" s="18" t="s">
        <v>932</v>
      </c>
      <c r="L267" s="75" t="s">
        <v>1053</v>
      </c>
    </row>
    <row r="268" spans="1:12">
      <c r="A268" s="37">
        <v>732</v>
      </c>
      <c r="B268" s="21" t="s">
        <v>28</v>
      </c>
      <c r="C268" s="9" t="s">
        <v>1045</v>
      </c>
      <c r="D268" s="26">
        <v>45717</v>
      </c>
      <c r="E268" s="26">
        <v>45747</v>
      </c>
      <c r="F268" s="40" t="s">
        <v>11</v>
      </c>
      <c r="G268" s="25">
        <v>0.01</v>
      </c>
      <c r="H268" s="72">
        <v>4.0000000000000001E-3</v>
      </c>
      <c r="I268" s="66" t="s">
        <v>14</v>
      </c>
      <c r="J268" s="4">
        <v>45727</v>
      </c>
      <c r="K268" s="18" t="s">
        <v>932</v>
      </c>
      <c r="L268" s="75" t="s">
        <v>1115</v>
      </c>
    </row>
    <row r="269" spans="1:12">
      <c r="A269" s="37">
        <v>733</v>
      </c>
      <c r="B269" s="21" t="s">
        <v>28</v>
      </c>
      <c r="C269" s="9" t="s">
        <v>746</v>
      </c>
      <c r="D269" s="26">
        <v>45717</v>
      </c>
      <c r="E269" s="26">
        <v>45747</v>
      </c>
      <c r="F269" s="40" t="s">
        <v>11</v>
      </c>
      <c r="G269" s="25">
        <v>500000</v>
      </c>
      <c r="H269" s="72">
        <v>5.0000000000000001E-3</v>
      </c>
      <c r="I269" s="66" t="s">
        <v>141</v>
      </c>
      <c r="J269" s="4">
        <v>45740</v>
      </c>
      <c r="K269" s="18" t="s">
        <v>1058</v>
      </c>
      <c r="L269" s="22" t="s">
        <v>1113</v>
      </c>
    </row>
    <row r="270" spans="1:12">
      <c r="A270" s="37">
        <v>734</v>
      </c>
      <c r="B270" s="21" t="s">
        <v>28</v>
      </c>
      <c r="C270" s="9">
        <v>3444</v>
      </c>
      <c r="D270" s="26">
        <v>45735</v>
      </c>
      <c r="E270" s="26">
        <v>45747</v>
      </c>
      <c r="F270" s="40" t="s">
        <v>11</v>
      </c>
      <c r="G270" s="25">
        <v>10000</v>
      </c>
      <c r="H270" s="72" t="s">
        <v>184</v>
      </c>
      <c r="I270" s="66" t="s">
        <v>29</v>
      </c>
      <c r="J270" s="4">
        <v>45740</v>
      </c>
      <c r="K270" s="18" t="s">
        <v>1059</v>
      </c>
      <c r="L270" s="22" t="s">
        <v>1060</v>
      </c>
    </row>
    <row r="271" spans="1:12">
      <c r="A271" s="37">
        <v>735</v>
      </c>
      <c r="B271" s="21" t="s">
        <v>28</v>
      </c>
      <c r="C271" s="9">
        <v>3444</v>
      </c>
      <c r="D271" s="26">
        <v>45735</v>
      </c>
      <c r="E271" s="26">
        <v>45747</v>
      </c>
      <c r="F271" s="40" t="s">
        <v>11</v>
      </c>
      <c r="G271" s="25">
        <v>10000</v>
      </c>
      <c r="H271" s="72" t="s">
        <v>184</v>
      </c>
      <c r="I271" s="66" t="s">
        <v>29</v>
      </c>
      <c r="J271" s="4">
        <v>45740</v>
      </c>
      <c r="K271" s="18" t="s">
        <v>1059</v>
      </c>
      <c r="L271" s="22" t="s">
        <v>1061</v>
      </c>
    </row>
    <row r="272" spans="1:12">
      <c r="A272" s="37">
        <v>736</v>
      </c>
      <c r="B272" s="21" t="s">
        <v>28</v>
      </c>
      <c r="C272" s="9">
        <v>3444</v>
      </c>
      <c r="D272" s="26">
        <v>45735</v>
      </c>
      <c r="E272" s="26">
        <v>45747</v>
      </c>
      <c r="F272" s="40" t="s">
        <v>11</v>
      </c>
      <c r="G272" s="25">
        <v>10000</v>
      </c>
      <c r="H272" s="72">
        <v>3.0000000000000001E-3</v>
      </c>
      <c r="I272" s="66" t="s">
        <v>29</v>
      </c>
      <c r="J272" s="4">
        <v>45740</v>
      </c>
      <c r="K272" s="18" t="s">
        <v>1059</v>
      </c>
      <c r="L272" s="22" t="s">
        <v>1062</v>
      </c>
    </row>
    <row r="273" spans="1:12">
      <c r="A273" s="37">
        <v>737</v>
      </c>
      <c r="B273" s="21" t="s">
        <v>28</v>
      </c>
      <c r="C273" s="9">
        <v>10487</v>
      </c>
      <c r="D273" s="26">
        <v>45735</v>
      </c>
      <c r="E273" s="26">
        <v>45747</v>
      </c>
      <c r="F273" s="40" t="s">
        <v>11</v>
      </c>
      <c r="G273" s="25">
        <v>10000</v>
      </c>
      <c r="H273" s="72">
        <v>5.0000000000000001E-3</v>
      </c>
      <c r="I273" s="66" t="s">
        <v>19</v>
      </c>
      <c r="J273" s="4">
        <v>45740</v>
      </c>
      <c r="K273" s="18" t="s">
        <v>1059</v>
      </c>
      <c r="L273" s="22" t="s">
        <v>1063</v>
      </c>
    </row>
    <row r="274" spans="1:12">
      <c r="A274" s="37">
        <v>738</v>
      </c>
      <c r="B274" s="21" t="s">
        <v>28</v>
      </c>
      <c r="C274" s="9">
        <v>14730</v>
      </c>
      <c r="D274" s="26">
        <v>45717</v>
      </c>
      <c r="E274" s="26">
        <v>45747</v>
      </c>
      <c r="F274" s="40" t="s">
        <v>11</v>
      </c>
      <c r="G274" s="25">
        <v>1</v>
      </c>
      <c r="H274" s="72">
        <v>7.4999999999999997E-3</v>
      </c>
      <c r="I274" s="66" t="s">
        <v>20</v>
      </c>
      <c r="J274" s="4">
        <v>45740</v>
      </c>
      <c r="K274" s="18" t="s">
        <v>1064</v>
      </c>
      <c r="L274" s="22" t="s">
        <v>1038</v>
      </c>
    </row>
    <row r="275" spans="1:12">
      <c r="A275" s="37">
        <v>739</v>
      </c>
      <c r="B275" s="21" t="s">
        <v>28</v>
      </c>
      <c r="C275" s="9">
        <v>14729</v>
      </c>
      <c r="D275" s="26">
        <v>45717</v>
      </c>
      <c r="E275" s="26">
        <v>45747</v>
      </c>
      <c r="F275" s="40" t="s">
        <v>11</v>
      </c>
      <c r="G275" s="25">
        <v>1</v>
      </c>
      <c r="H275" s="72">
        <v>7.4999999999999997E-3</v>
      </c>
      <c r="I275" s="66" t="s">
        <v>20</v>
      </c>
      <c r="J275" s="4">
        <v>45740</v>
      </c>
      <c r="K275" s="18" t="s">
        <v>1064</v>
      </c>
      <c r="L275" s="22" t="s">
        <v>1038</v>
      </c>
    </row>
    <row r="276" spans="1:12">
      <c r="A276" s="37">
        <v>740</v>
      </c>
      <c r="B276" s="21" t="s">
        <v>28</v>
      </c>
      <c r="C276" s="9">
        <v>14703</v>
      </c>
      <c r="D276" s="26">
        <v>45717</v>
      </c>
      <c r="E276" s="26">
        <v>45747</v>
      </c>
      <c r="F276" s="40" t="s">
        <v>11</v>
      </c>
      <c r="G276" s="25">
        <v>1</v>
      </c>
      <c r="H276" s="72">
        <v>7.4999999999999997E-3</v>
      </c>
      <c r="I276" s="66" t="s">
        <v>20</v>
      </c>
      <c r="J276" s="4">
        <v>45740</v>
      </c>
      <c r="K276" s="18" t="s">
        <v>1064</v>
      </c>
      <c r="L276" s="22" t="s">
        <v>1038</v>
      </c>
    </row>
    <row r="277" spans="1:12">
      <c r="A277" s="37">
        <v>741</v>
      </c>
      <c r="B277" s="21" t="s">
        <v>28</v>
      </c>
      <c r="C277" s="9">
        <v>14702</v>
      </c>
      <c r="D277" s="26">
        <v>45717</v>
      </c>
      <c r="E277" s="26">
        <v>45747</v>
      </c>
      <c r="F277" s="40" t="s">
        <v>11</v>
      </c>
      <c r="G277" s="25">
        <v>1</v>
      </c>
      <c r="H277" s="72">
        <v>7.4999999999999997E-3</v>
      </c>
      <c r="I277" s="66" t="s">
        <v>20</v>
      </c>
      <c r="J277" s="4">
        <v>45740</v>
      </c>
      <c r="K277" s="18" t="s">
        <v>1064</v>
      </c>
      <c r="L277" s="22" t="s">
        <v>1038</v>
      </c>
    </row>
    <row r="278" spans="1:12">
      <c r="A278" s="37">
        <v>742</v>
      </c>
      <c r="B278" s="21" t="s">
        <v>28</v>
      </c>
      <c r="C278" s="9">
        <v>14706</v>
      </c>
      <c r="D278" s="26">
        <v>45717</v>
      </c>
      <c r="E278" s="26">
        <v>45747</v>
      </c>
      <c r="F278" s="40" t="s">
        <v>11</v>
      </c>
      <c r="G278" s="25">
        <v>1</v>
      </c>
      <c r="H278" s="72">
        <v>7.4999999999999997E-3</v>
      </c>
      <c r="I278" s="66" t="s">
        <v>20</v>
      </c>
      <c r="J278" s="4">
        <v>45740</v>
      </c>
      <c r="K278" s="18" t="s">
        <v>1064</v>
      </c>
      <c r="L278" s="22" t="s">
        <v>1038</v>
      </c>
    </row>
    <row r="279" spans="1:12">
      <c r="A279" s="37">
        <v>743</v>
      </c>
      <c r="B279" s="21" t="s">
        <v>28</v>
      </c>
      <c r="C279" s="9">
        <v>14704</v>
      </c>
      <c r="D279" s="26">
        <v>45717</v>
      </c>
      <c r="E279" s="26">
        <v>45747</v>
      </c>
      <c r="F279" s="40" t="s">
        <v>11</v>
      </c>
      <c r="G279" s="25">
        <v>1</v>
      </c>
      <c r="H279" s="72">
        <v>7.4999999999999997E-3</v>
      </c>
      <c r="I279" s="66" t="s">
        <v>20</v>
      </c>
      <c r="J279" s="4">
        <v>45740</v>
      </c>
      <c r="K279" s="18" t="s">
        <v>1064</v>
      </c>
      <c r="L279" s="22" t="s">
        <v>1038</v>
      </c>
    </row>
    <row r="280" spans="1:12">
      <c r="A280" s="37">
        <v>744</v>
      </c>
      <c r="B280" s="21" t="s">
        <v>28</v>
      </c>
      <c r="C280" s="9">
        <v>14701</v>
      </c>
      <c r="D280" s="26">
        <v>45717</v>
      </c>
      <c r="E280" s="26">
        <v>45747</v>
      </c>
      <c r="F280" s="40" t="s">
        <v>11</v>
      </c>
      <c r="G280" s="25">
        <v>1</v>
      </c>
      <c r="H280" s="72">
        <v>2.5000000000000001E-3</v>
      </c>
      <c r="I280" s="66" t="s">
        <v>20</v>
      </c>
      <c r="J280" s="4">
        <v>45740</v>
      </c>
      <c r="K280" s="18" t="s">
        <v>1064</v>
      </c>
      <c r="L280" s="22" t="s">
        <v>1038</v>
      </c>
    </row>
    <row r="281" spans="1:12">
      <c r="A281" s="37">
        <v>745</v>
      </c>
      <c r="B281" s="21" t="s">
        <v>28</v>
      </c>
      <c r="C281" s="9">
        <v>15282</v>
      </c>
      <c r="D281" s="26">
        <v>45717</v>
      </c>
      <c r="E281" s="26">
        <v>45747</v>
      </c>
      <c r="F281" s="40" t="s">
        <v>11</v>
      </c>
      <c r="G281" s="25">
        <v>1</v>
      </c>
      <c r="H281" s="72">
        <v>7.4999999999999997E-3</v>
      </c>
      <c r="I281" s="66" t="s">
        <v>20</v>
      </c>
      <c r="J281" s="4">
        <v>45740</v>
      </c>
      <c r="K281" s="18" t="s">
        <v>1064</v>
      </c>
      <c r="L281" s="22" t="s">
        <v>1038</v>
      </c>
    </row>
    <row r="282" spans="1:12">
      <c r="A282" s="37">
        <v>746</v>
      </c>
      <c r="B282" s="21" t="s">
        <v>28</v>
      </c>
      <c r="C282" s="9">
        <v>17019</v>
      </c>
      <c r="D282" s="26">
        <v>45736</v>
      </c>
      <c r="E282" s="26">
        <v>45747</v>
      </c>
      <c r="F282" s="40" t="s">
        <v>11</v>
      </c>
      <c r="G282" s="25">
        <v>80000</v>
      </c>
      <c r="H282" s="72">
        <v>5.0000000000000001E-3</v>
      </c>
      <c r="I282" s="66" t="s">
        <v>22</v>
      </c>
      <c r="J282" s="4">
        <v>45740</v>
      </c>
      <c r="K282" s="18" t="s">
        <v>1065</v>
      </c>
      <c r="L282" s="22" t="s">
        <v>1112</v>
      </c>
    </row>
    <row r="283" spans="1:12">
      <c r="A283" s="37">
        <v>747</v>
      </c>
      <c r="B283" s="21" t="s">
        <v>28</v>
      </c>
      <c r="C283" s="9">
        <v>14938</v>
      </c>
      <c r="D283" s="26">
        <v>45717</v>
      </c>
      <c r="E283" s="26">
        <v>45747</v>
      </c>
      <c r="F283" s="40" t="s">
        <v>11</v>
      </c>
      <c r="G283" s="25">
        <v>250000</v>
      </c>
      <c r="H283" s="72">
        <v>1.5E-3</v>
      </c>
      <c r="I283" s="66" t="s">
        <v>18</v>
      </c>
      <c r="J283" s="4">
        <v>45740</v>
      </c>
      <c r="K283" s="18" t="s">
        <v>1066</v>
      </c>
      <c r="L283" s="22" t="s">
        <v>936</v>
      </c>
    </row>
    <row r="284" spans="1:12">
      <c r="A284" s="37">
        <v>748</v>
      </c>
      <c r="B284" s="21" t="s">
        <v>28</v>
      </c>
      <c r="C284" s="9">
        <v>13368</v>
      </c>
      <c r="D284" s="26">
        <v>45717</v>
      </c>
      <c r="E284" s="26">
        <v>45747</v>
      </c>
      <c r="F284" s="40" t="s">
        <v>11</v>
      </c>
      <c r="G284" s="25">
        <v>0.01</v>
      </c>
      <c r="H284" s="72">
        <v>5.0000000000000001E-3</v>
      </c>
      <c r="I284" s="66" t="s">
        <v>32</v>
      </c>
      <c r="J284" s="4">
        <v>45740</v>
      </c>
      <c r="K284" s="18" t="s">
        <v>1067</v>
      </c>
      <c r="L284" s="22" t="s">
        <v>1038</v>
      </c>
    </row>
    <row r="285" spans="1:12">
      <c r="A285" s="37">
        <v>749</v>
      </c>
      <c r="B285" s="21" t="s">
        <v>28</v>
      </c>
      <c r="C285" s="9">
        <v>13368</v>
      </c>
      <c r="D285" s="26">
        <v>45717</v>
      </c>
      <c r="E285" s="26">
        <v>45747</v>
      </c>
      <c r="F285" s="40" t="s">
        <v>11</v>
      </c>
      <c r="G285" s="25">
        <v>0.01</v>
      </c>
      <c r="H285" s="72">
        <v>1.4999999999999999E-2</v>
      </c>
      <c r="I285" s="66" t="s">
        <v>32</v>
      </c>
      <c r="J285" s="4">
        <v>45740</v>
      </c>
      <c r="K285" s="18" t="s">
        <v>1067</v>
      </c>
      <c r="L285" s="22" t="s">
        <v>1111</v>
      </c>
    </row>
    <row r="286" spans="1:12">
      <c r="A286" s="37">
        <v>750</v>
      </c>
      <c r="B286" s="21" t="s">
        <v>28</v>
      </c>
      <c r="C286" s="9">
        <v>13368</v>
      </c>
      <c r="D286" s="26">
        <v>45717</v>
      </c>
      <c r="E286" s="26">
        <v>45747</v>
      </c>
      <c r="F286" s="40" t="s">
        <v>11</v>
      </c>
      <c r="G286" s="25">
        <v>0.01</v>
      </c>
      <c r="H286" s="72">
        <v>5.0000000000000001E-3</v>
      </c>
      <c r="I286" s="66" t="s">
        <v>32</v>
      </c>
      <c r="J286" s="4">
        <v>45740</v>
      </c>
      <c r="K286" s="18" t="s">
        <v>1067</v>
      </c>
      <c r="L286" s="22" t="s">
        <v>1068</v>
      </c>
    </row>
    <row r="287" spans="1:12">
      <c r="A287" s="37">
        <v>751</v>
      </c>
      <c r="B287" s="21" t="s">
        <v>28</v>
      </c>
      <c r="C287" s="9">
        <v>13368</v>
      </c>
      <c r="D287" s="26">
        <v>45717</v>
      </c>
      <c r="E287" s="26">
        <v>45747</v>
      </c>
      <c r="F287" s="40" t="s">
        <v>11</v>
      </c>
      <c r="G287" s="25">
        <v>0.01</v>
      </c>
      <c r="H287" s="72">
        <v>1.4999999999999999E-2</v>
      </c>
      <c r="I287" s="66" t="s">
        <v>32</v>
      </c>
      <c r="J287" s="4">
        <v>45740</v>
      </c>
      <c r="K287" s="18" t="s">
        <v>1067</v>
      </c>
      <c r="L287" s="22" t="s">
        <v>1069</v>
      </c>
    </row>
    <row r="288" spans="1:12">
      <c r="A288" s="37">
        <v>752</v>
      </c>
      <c r="B288" s="21" t="s">
        <v>28</v>
      </c>
      <c r="C288" s="9">
        <v>13368</v>
      </c>
      <c r="D288" s="26">
        <v>45717</v>
      </c>
      <c r="E288" s="26">
        <v>45747</v>
      </c>
      <c r="F288" s="40" t="s">
        <v>11</v>
      </c>
      <c r="G288" s="25">
        <v>0.01</v>
      </c>
      <c r="H288" s="72">
        <v>1.4999999999999999E-2</v>
      </c>
      <c r="I288" s="66" t="s">
        <v>32</v>
      </c>
      <c r="J288" s="4">
        <v>45740</v>
      </c>
      <c r="K288" s="18" t="s">
        <v>1067</v>
      </c>
      <c r="L288" s="22" t="s">
        <v>1070</v>
      </c>
    </row>
    <row r="289" spans="1:12">
      <c r="A289" s="37">
        <v>753</v>
      </c>
      <c r="B289" s="21" t="s">
        <v>28</v>
      </c>
      <c r="C289" s="9">
        <v>12765</v>
      </c>
      <c r="D289" s="26">
        <v>45717</v>
      </c>
      <c r="E289" s="26">
        <v>45747</v>
      </c>
      <c r="F289" s="40" t="s">
        <v>11</v>
      </c>
      <c r="G289" s="25">
        <v>1000000</v>
      </c>
      <c r="H289" s="72">
        <v>0</v>
      </c>
      <c r="I289" s="66" t="s">
        <v>39</v>
      </c>
      <c r="J289" s="4">
        <v>45740</v>
      </c>
      <c r="K289" s="18" t="s">
        <v>1071</v>
      </c>
      <c r="L289" s="22" t="s">
        <v>1072</v>
      </c>
    </row>
    <row r="290" spans="1:12">
      <c r="A290" s="37">
        <v>754</v>
      </c>
      <c r="B290" s="21" t="s">
        <v>28</v>
      </c>
      <c r="C290" s="9">
        <v>15087</v>
      </c>
      <c r="D290" s="26">
        <v>45737</v>
      </c>
      <c r="E290" s="26">
        <v>45747</v>
      </c>
      <c r="F290" s="40" t="s">
        <v>11</v>
      </c>
      <c r="G290" s="25">
        <v>30000</v>
      </c>
      <c r="H290" s="72">
        <v>5.0000000000000001E-3</v>
      </c>
      <c r="I290" s="66" t="s">
        <v>48</v>
      </c>
      <c r="J290" s="4">
        <v>45740</v>
      </c>
      <c r="K290" s="18" t="s">
        <v>1073</v>
      </c>
      <c r="L290" s="22" t="s">
        <v>1074</v>
      </c>
    </row>
    <row r="291" spans="1:12">
      <c r="A291" s="37">
        <v>755</v>
      </c>
      <c r="B291" s="21" t="s">
        <v>28</v>
      </c>
      <c r="C291" s="9">
        <v>13617</v>
      </c>
      <c r="D291" s="26">
        <v>45717</v>
      </c>
      <c r="E291" s="26">
        <v>45747</v>
      </c>
      <c r="F291" s="40" t="s">
        <v>197</v>
      </c>
      <c r="G291" s="25">
        <v>0.01</v>
      </c>
      <c r="H291" s="72">
        <v>0.01</v>
      </c>
      <c r="I291" s="66" t="s">
        <v>30</v>
      </c>
      <c r="J291" s="4">
        <v>45726</v>
      </c>
      <c r="K291" s="18" t="s">
        <v>1075</v>
      </c>
      <c r="L291" s="22" t="s">
        <v>1076</v>
      </c>
    </row>
    <row r="292" spans="1:12">
      <c r="A292" s="37">
        <v>756</v>
      </c>
      <c r="B292" s="21" t="s">
        <v>28</v>
      </c>
      <c r="C292" s="9">
        <v>7274</v>
      </c>
      <c r="D292" s="26">
        <v>45717</v>
      </c>
      <c r="E292" s="26">
        <v>45747</v>
      </c>
      <c r="F292" s="40" t="s">
        <v>197</v>
      </c>
      <c r="G292" s="25">
        <v>0.01</v>
      </c>
      <c r="H292" s="72">
        <v>0.01</v>
      </c>
      <c r="I292" s="66" t="s">
        <v>30</v>
      </c>
      <c r="J292" s="4">
        <v>45723</v>
      </c>
      <c r="K292" s="18" t="s">
        <v>649</v>
      </c>
      <c r="L292" s="22" t="s">
        <v>1076</v>
      </c>
    </row>
    <row r="293" spans="1:12">
      <c r="A293" s="37">
        <v>757</v>
      </c>
      <c r="B293" s="21" t="s">
        <v>28</v>
      </c>
      <c r="C293" s="9">
        <v>7274</v>
      </c>
      <c r="D293" s="26">
        <v>45717</v>
      </c>
      <c r="E293" s="26">
        <v>45747</v>
      </c>
      <c r="F293" s="40" t="s">
        <v>197</v>
      </c>
      <c r="G293" s="25">
        <v>300000</v>
      </c>
      <c r="H293" s="72">
        <v>1.4999999999999999E-2</v>
      </c>
      <c r="I293" s="66" t="s">
        <v>30</v>
      </c>
      <c r="J293" s="4">
        <v>45723</v>
      </c>
      <c r="K293" s="18" t="s">
        <v>649</v>
      </c>
      <c r="L293" s="22" t="s">
        <v>1076</v>
      </c>
    </row>
    <row r="294" spans="1:12">
      <c r="A294" s="37">
        <v>758</v>
      </c>
      <c r="B294" s="21" t="s">
        <v>28</v>
      </c>
      <c r="C294" s="9">
        <v>11937</v>
      </c>
      <c r="D294" s="26">
        <v>45736</v>
      </c>
      <c r="E294" s="26">
        <v>45747</v>
      </c>
      <c r="F294" s="40" t="s">
        <v>11</v>
      </c>
      <c r="G294" s="25">
        <v>0.01</v>
      </c>
      <c r="H294" s="72">
        <v>2E-3</v>
      </c>
      <c r="I294" s="66" t="s">
        <v>46</v>
      </c>
      <c r="J294" s="4">
        <v>45740</v>
      </c>
      <c r="K294" s="18" t="s">
        <v>1083</v>
      </c>
      <c r="L294" s="22" t="s">
        <v>1084</v>
      </c>
    </row>
    <row r="295" spans="1:12">
      <c r="A295" s="37">
        <v>759</v>
      </c>
      <c r="B295" s="21" t="s">
        <v>28</v>
      </c>
      <c r="C295" s="9">
        <v>12021</v>
      </c>
      <c r="D295" s="26">
        <v>45736</v>
      </c>
      <c r="E295" s="26">
        <v>45747</v>
      </c>
      <c r="F295" s="40" t="s">
        <v>11</v>
      </c>
      <c r="G295" s="25">
        <v>0.01</v>
      </c>
      <c r="H295" s="72">
        <v>2E-3</v>
      </c>
      <c r="I295" s="66" t="s">
        <v>46</v>
      </c>
      <c r="J295" s="4">
        <v>45740</v>
      </c>
      <c r="K295" s="18" t="s">
        <v>1083</v>
      </c>
      <c r="L295" s="22" t="s">
        <v>1084</v>
      </c>
    </row>
    <row r="296" spans="1:12">
      <c r="A296" s="37">
        <v>760</v>
      </c>
      <c r="B296" s="21" t="s">
        <v>28</v>
      </c>
      <c r="C296" s="9">
        <v>16055</v>
      </c>
      <c r="D296" s="26">
        <v>45717</v>
      </c>
      <c r="E296" s="26">
        <v>45747</v>
      </c>
      <c r="F296" s="40" t="s">
        <v>11</v>
      </c>
      <c r="G296" s="25">
        <v>0.01</v>
      </c>
      <c r="H296" s="72">
        <v>7.4999999999999997E-3</v>
      </c>
      <c r="I296" s="66" t="s">
        <v>168</v>
      </c>
      <c r="J296" s="4">
        <v>45740</v>
      </c>
      <c r="K296" s="18" t="s">
        <v>1085</v>
      </c>
      <c r="L296" s="22" t="s">
        <v>685</v>
      </c>
    </row>
    <row r="297" spans="1:12">
      <c r="A297" s="37">
        <v>761</v>
      </c>
      <c r="B297" s="21" t="s">
        <v>28</v>
      </c>
      <c r="C297" s="9">
        <v>16107</v>
      </c>
      <c r="D297" s="26">
        <v>45717</v>
      </c>
      <c r="E297" s="26">
        <v>45747</v>
      </c>
      <c r="F297" s="40" t="s">
        <v>11</v>
      </c>
      <c r="G297" s="25">
        <v>1000</v>
      </c>
      <c r="H297" s="72">
        <v>5.0000000000000001E-3</v>
      </c>
      <c r="I297" s="66" t="s">
        <v>49</v>
      </c>
      <c r="J297" s="4">
        <v>45741</v>
      </c>
      <c r="K297" s="18" t="s">
        <v>1089</v>
      </c>
      <c r="L297" s="22" t="s">
        <v>1088</v>
      </c>
    </row>
    <row r="298" spans="1:12">
      <c r="A298" s="37">
        <v>762</v>
      </c>
      <c r="B298" s="21" t="s">
        <v>28</v>
      </c>
      <c r="C298" s="9">
        <v>14409</v>
      </c>
      <c r="D298" s="26">
        <v>45717</v>
      </c>
      <c r="E298" s="26">
        <v>45747</v>
      </c>
      <c r="F298" s="40" t="s">
        <v>11</v>
      </c>
      <c r="G298" s="25">
        <v>10000</v>
      </c>
      <c r="H298" s="72">
        <v>5.0000000000000001E-3</v>
      </c>
      <c r="I298" s="66" t="s">
        <v>18</v>
      </c>
      <c r="J298" s="4">
        <v>45741</v>
      </c>
      <c r="K298" s="18" t="s">
        <v>1090</v>
      </c>
      <c r="L298" s="22" t="s">
        <v>1110</v>
      </c>
    </row>
    <row r="299" spans="1:12">
      <c r="A299" s="37">
        <v>763</v>
      </c>
      <c r="B299" s="21" t="s">
        <v>28</v>
      </c>
      <c r="C299" s="9">
        <v>10109</v>
      </c>
      <c r="D299" s="26">
        <v>45742</v>
      </c>
      <c r="E299" s="26">
        <v>45747</v>
      </c>
      <c r="F299" s="40" t="s">
        <v>11</v>
      </c>
      <c r="G299" s="25">
        <v>300</v>
      </c>
      <c r="H299" s="72">
        <v>2E-3</v>
      </c>
      <c r="I299" s="66" t="s">
        <v>41</v>
      </c>
      <c r="J299" s="4">
        <v>45742</v>
      </c>
      <c r="K299" s="18" t="s">
        <v>1092</v>
      </c>
      <c r="L299" s="22" t="s">
        <v>1109</v>
      </c>
    </row>
    <row r="300" spans="1:12">
      <c r="A300" s="37">
        <v>764</v>
      </c>
      <c r="B300" s="21" t="s">
        <v>28</v>
      </c>
      <c r="C300" s="9">
        <v>15008</v>
      </c>
      <c r="D300" s="26">
        <v>45741</v>
      </c>
      <c r="E300" s="26">
        <v>45747</v>
      </c>
      <c r="F300" s="40" t="s">
        <v>11</v>
      </c>
      <c r="G300" s="25">
        <v>200000</v>
      </c>
      <c r="H300" s="72">
        <v>7.4999999999999997E-3</v>
      </c>
      <c r="I300" s="66" t="s">
        <v>20</v>
      </c>
      <c r="J300" s="4">
        <v>45742</v>
      </c>
      <c r="K300" s="18" t="s">
        <v>1093</v>
      </c>
      <c r="L300" s="22" t="s">
        <v>1106</v>
      </c>
    </row>
    <row r="301" spans="1:12">
      <c r="A301" s="37">
        <v>765</v>
      </c>
      <c r="B301" s="21" t="s">
        <v>28</v>
      </c>
      <c r="C301" s="9">
        <v>17184</v>
      </c>
      <c r="D301" s="26">
        <v>45735</v>
      </c>
      <c r="E301" s="26">
        <v>45747</v>
      </c>
      <c r="F301" s="40" t="s">
        <v>11</v>
      </c>
      <c r="G301" s="25">
        <v>1000</v>
      </c>
      <c r="H301" s="72">
        <v>5.0000000000000001E-3</v>
      </c>
      <c r="I301" s="66" t="s">
        <v>19</v>
      </c>
      <c r="J301" s="4">
        <v>45742</v>
      </c>
      <c r="K301" s="18" t="s">
        <v>1094</v>
      </c>
      <c r="L301" s="22" t="s">
        <v>1095</v>
      </c>
    </row>
    <row r="302" spans="1:12">
      <c r="A302" s="37">
        <v>766</v>
      </c>
      <c r="B302" s="21" t="s">
        <v>28</v>
      </c>
      <c r="C302" s="9">
        <v>17184</v>
      </c>
      <c r="D302" s="26">
        <v>45735</v>
      </c>
      <c r="E302" s="26">
        <v>45747</v>
      </c>
      <c r="F302" s="40" t="s">
        <v>11</v>
      </c>
      <c r="G302" s="25">
        <v>1000</v>
      </c>
      <c r="H302" s="72">
        <v>5.0000000000000001E-3</v>
      </c>
      <c r="I302" s="66" t="s">
        <v>19</v>
      </c>
      <c r="J302" s="4">
        <v>45742</v>
      </c>
      <c r="K302" s="18" t="s">
        <v>1094</v>
      </c>
      <c r="L302" s="22" t="s">
        <v>1096</v>
      </c>
    </row>
    <row r="303" spans="1:12">
      <c r="A303" s="37">
        <v>767</v>
      </c>
      <c r="B303" s="21" t="s">
        <v>28</v>
      </c>
      <c r="C303" s="9">
        <v>17184</v>
      </c>
      <c r="D303" s="26">
        <v>45735</v>
      </c>
      <c r="E303" s="26">
        <v>45747</v>
      </c>
      <c r="F303" s="40" t="s">
        <v>11</v>
      </c>
      <c r="G303" s="25">
        <v>1000</v>
      </c>
      <c r="H303" s="72">
        <v>1.4999999999999999E-2</v>
      </c>
      <c r="I303" s="66" t="s">
        <v>19</v>
      </c>
      <c r="J303" s="4">
        <v>45742</v>
      </c>
      <c r="K303" s="18" t="s">
        <v>1094</v>
      </c>
      <c r="L303" s="22" t="s">
        <v>1097</v>
      </c>
    </row>
    <row r="304" spans="1:12">
      <c r="A304" s="37">
        <v>768</v>
      </c>
      <c r="B304" s="21" t="s">
        <v>28</v>
      </c>
      <c r="C304" s="9">
        <v>17184</v>
      </c>
      <c r="D304" s="26">
        <v>45735</v>
      </c>
      <c r="E304" s="26">
        <v>45747</v>
      </c>
      <c r="F304" s="40" t="s">
        <v>11</v>
      </c>
      <c r="G304" s="25">
        <v>1000</v>
      </c>
      <c r="H304" s="72">
        <v>8.0000000000000002E-3</v>
      </c>
      <c r="I304" s="66" t="s">
        <v>19</v>
      </c>
      <c r="J304" s="4">
        <v>45742</v>
      </c>
      <c r="K304" s="18" t="s">
        <v>1094</v>
      </c>
      <c r="L304" s="22" t="s">
        <v>1098</v>
      </c>
    </row>
    <row r="305" spans="1:12">
      <c r="A305" s="37">
        <v>769</v>
      </c>
      <c r="B305" s="21" t="s">
        <v>28</v>
      </c>
      <c r="C305" s="9">
        <v>17184</v>
      </c>
      <c r="D305" s="26">
        <v>45735</v>
      </c>
      <c r="E305" s="26">
        <v>45747</v>
      </c>
      <c r="F305" s="40" t="s">
        <v>11</v>
      </c>
      <c r="G305" s="25">
        <v>1000</v>
      </c>
      <c r="H305" s="72">
        <v>3.5000000000000003E-2</v>
      </c>
      <c r="I305" s="66" t="s">
        <v>19</v>
      </c>
      <c r="J305" s="4">
        <v>45742</v>
      </c>
      <c r="K305" s="18" t="s">
        <v>1094</v>
      </c>
      <c r="L305" s="22" t="s">
        <v>1099</v>
      </c>
    </row>
    <row r="306" spans="1:12">
      <c r="A306" s="37">
        <v>770</v>
      </c>
      <c r="B306" s="21" t="s">
        <v>28</v>
      </c>
      <c r="C306" s="9">
        <v>8856</v>
      </c>
      <c r="D306" s="26">
        <v>45737</v>
      </c>
      <c r="E306" s="26">
        <v>45747</v>
      </c>
      <c r="F306" s="40" t="s">
        <v>11</v>
      </c>
      <c r="G306" s="25">
        <v>500000</v>
      </c>
      <c r="H306" s="72">
        <v>5.0000000000000001E-3</v>
      </c>
      <c r="I306" s="66" t="s">
        <v>17</v>
      </c>
      <c r="J306" s="4">
        <v>45742</v>
      </c>
      <c r="K306" s="18" t="s">
        <v>1100</v>
      </c>
      <c r="L306" s="22" t="s">
        <v>1101</v>
      </c>
    </row>
    <row r="307" spans="1:12">
      <c r="A307" s="37">
        <v>771</v>
      </c>
      <c r="B307" s="21" t="s">
        <v>28</v>
      </c>
      <c r="C307" s="9">
        <v>8856</v>
      </c>
      <c r="D307" s="26">
        <v>45737</v>
      </c>
      <c r="E307" s="26">
        <v>45747</v>
      </c>
      <c r="F307" s="40" t="s">
        <v>11</v>
      </c>
      <c r="G307" s="25">
        <v>1000000</v>
      </c>
      <c r="H307" s="72">
        <v>7.4999999999999997E-3</v>
      </c>
      <c r="I307" s="66" t="s">
        <v>17</v>
      </c>
      <c r="J307" s="4">
        <v>45742</v>
      </c>
      <c r="K307" s="18" t="s">
        <v>1100</v>
      </c>
      <c r="L307" s="22" t="s">
        <v>1101</v>
      </c>
    </row>
    <row r="308" spans="1:12">
      <c r="A308" s="37">
        <v>772</v>
      </c>
      <c r="B308" s="21" t="s">
        <v>28</v>
      </c>
      <c r="C308" s="9" t="s">
        <v>1103</v>
      </c>
      <c r="D308" s="26">
        <v>45742</v>
      </c>
      <c r="E308" s="26">
        <v>45747</v>
      </c>
      <c r="F308" s="40" t="s">
        <v>11</v>
      </c>
      <c r="G308" s="25">
        <v>0.01</v>
      </c>
      <c r="H308" s="72">
        <v>1.4999999999999999E-2</v>
      </c>
      <c r="I308" s="66" t="s">
        <v>14</v>
      </c>
      <c r="J308" s="4">
        <v>45742</v>
      </c>
      <c r="K308" s="18" t="s">
        <v>1102</v>
      </c>
      <c r="L308" s="22" t="s">
        <v>1104</v>
      </c>
    </row>
    <row r="309" spans="1:12">
      <c r="A309" s="37">
        <v>773</v>
      </c>
      <c r="B309" s="21" t="s">
        <v>28</v>
      </c>
      <c r="C309" s="9">
        <v>13932</v>
      </c>
      <c r="D309" s="26">
        <v>45717</v>
      </c>
      <c r="E309" s="26">
        <v>45747</v>
      </c>
      <c r="F309" s="40" t="s">
        <v>11</v>
      </c>
      <c r="G309" s="25">
        <v>0.01</v>
      </c>
      <c r="H309" s="72">
        <v>3.0000000000000001E-3</v>
      </c>
      <c r="I309" s="66" t="s">
        <v>95</v>
      </c>
      <c r="J309" s="4">
        <v>45742</v>
      </c>
      <c r="K309" s="18" t="s">
        <v>1105</v>
      </c>
      <c r="L309" s="22" t="s">
        <v>137</v>
      </c>
    </row>
    <row r="310" spans="1:12">
      <c r="A310" s="37">
        <v>774</v>
      </c>
      <c r="B310" s="21" t="s">
        <v>28</v>
      </c>
      <c r="C310" s="9">
        <v>8300</v>
      </c>
      <c r="D310" s="26">
        <v>45736</v>
      </c>
      <c r="E310" s="26">
        <v>45747</v>
      </c>
      <c r="F310" s="40" t="s">
        <v>11</v>
      </c>
      <c r="G310" s="25">
        <v>1000</v>
      </c>
      <c r="H310" s="72">
        <v>0.02</v>
      </c>
      <c r="I310" s="66" t="s">
        <v>20</v>
      </c>
      <c r="J310" s="4">
        <v>45744</v>
      </c>
      <c r="K310" s="18" t="s">
        <v>1108</v>
      </c>
      <c r="L310" s="22" t="s">
        <v>1107</v>
      </c>
    </row>
    <row r="311" spans="1:12">
      <c r="A311" s="37">
        <v>775</v>
      </c>
      <c r="B311" s="21" t="s">
        <v>28</v>
      </c>
      <c r="C311" s="9">
        <v>16481</v>
      </c>
      <c r="D311" s="26">
        <v>45717</v>
      </c>
      <c r="E311" s="26">
        <v>45747</v>
      </c>
      <c r="F311" s="40" t="s">
        <v>11</v>
      </c>
      <c r="G311" s="25">
        <v>300000</v>
      </c>
      <c r="H311" s="72">
        <v>5.0000000000000001E-3</v>
      </c>
      <c r="I311" s="66" t="s">
        <v>39</v>
      </c>
      <c r="J311" s="4">
        <v>45751</v>
      </c>
      <c r="K311" s="18" t="s">
        <v>1154</v>
      </c>
      <c r="L311" s="22" t="s">
        <v>1155</v>
      </c>
    </row>
    <row r="312" spans="1:12">
      <c r="A312" s="37">
        <v>776</v>
      </c>
      <c r="B312" s="21" t="s">
        <v>28</v>
      </c>
      <c r="C312" s="9">
        <v>16481</v>
      </c>
      <c r="D312" s="26">
        <v>45717</v>
      </c>
      <c r="E312" s="26">
        <v>45747</v>
      </c>
      <c r="F312" s="40" t="s">
        <v>11</v>
      </c>
      <c r="G312" s="25">
        <v>300000</v>
      </c>
      <c r="H312" s="72">
        <v>5.0000000000000001E-3</v>
      </c>
      <c r="I312" s="66" t="s">
        <v>39</v>
      </c>
      <c r="J312" s="4">
        <v>45751</v>
      </c>
      <c r="K312" s="18" t="s">
        <v>1154</v>
      </c>
      <c r="L312" s="22" t="s">
        <v>1156</v>
      </c>
    </row>
    <row r="313" spans="1:12">
      <c r="A313" s="37">
        <v>777</v>
      </c>
      <c r="B313" s="21" t="s">
        <v>28</v>
      </c>
      <c r="C313" s="9">
        <v>16481</v>
      </c>
      <c r="D313" s="26">
        <v>45717</v>
      </c>
      <c r="E313" s="26">
        <v>45747</v>
      </c>
      <c r="F313" s="40" t="s">
        <v>11</v>
      </c>
      <c r="G313" s="25">
        <v>300000</v>
      </c>
      <c r="H313" s="72">
        <v>5.0000000000000001E-3</v>
      </c>
      <c r="I313" s="66" t="s">
        <v>39</v>
      </c>
      <c r="J313" s="4">
        <v>45751</v>
      </c>
      <c r="K313" s="18" t="s">
        <v>1154</v>
      </c>
      <c r="L313" s="22" t="s">
        <v>1157</v>
      </c>
    </row>
    <row r="314" spans="1:12">
      <c r="A314" s="37">
        <v>778</v>
      </c>
      <c r="B314" s="21" t="s">
        <v>28</v>
      </c>
      <c r="C314" s="9">
        <v>16481</v>
      </c>
      <c r="D314" s="26">
        <v>45717</v>
      </c>
      <c r="E314" s="26">
        <v>45747</v>
      </c>
      <c r="F314" s="40" t="s">
        <v>11</v>
      </c>
      <c r="G314" s="25">
        <v>300000</v>
      </c>
      <c r="H314" s="72">
        <v>5.0000000000000001E-3</v>
      </c>
      <c r="I314" s="66" t="s">
        <v>39</v>
      </c>
      <c r="J314" s="4">
        <v>45751</v>
      </c>
      <c r="K314" s="18" t="s">
        <v>1154</v>
      </c>
      <c r="L314" s="22" t="s">
        <v>1158</v>
      </c>
    </row>
    <row r="315" spans="1:12">
      <c r="A315" s="37">
        <v>779</v>
      </c>
      <c r="B315" s="21" t="s">
        <v>28</v>
      </c>
      <c r="C315" s="9">
        <v>16481</v>
      </c>
      <c r="D315" s="26">
        <v>45717</v>
      </c>
      <c r="E315" s="26">
        <v>45747</v>
      </c>
      <c r="F315" s="40" t="s">
        <v>11</v>
      </c>
      <c r="G315" s="25">
        <v>300000</v>
      </c>
      <c r="H315" s="72">
        <v>2.5000000000000001E-3</v>
      </c>
      <c r="I315" s="66" t="s">
        <v>39</v>
      </c>
      <c r="J315" s="4">
        <v>45751</v>
      </c>
      <c r="K315" s="18" t="s">
        <v>1154</v>
      </c>
      <c r="L315" s="22" t="s">
        <v>1159</v>
      </c>
    </row>
    <row r="316" spans="1:12">
      <c r="A316" s="37">
        <v>780</v>
      </c>
      <c r="B316" s="21" t="s">
        <v>28</v>
      </c>
      <c r="C316" s="9" t="s">
        <v>1161</v>
      </c>
      <c r="D316" s="26">
        <v>45717</v>
      </c>
      <c r="E316" s="26">
        <v>45747</v>
      </c>
      <c r="F316" s="40" t="s">
        <v>11</v>
      </c>
      <c r="G316" s="25">
        <v>1000</v>
      </c>
      <c r="H316" s="72">
        <v>5.0000000000000001E-4</v>
      </c>
      <c r="I316" s="66" t="s">
        <v>18</v>
      </c>
      <c r="J316" s="4">
        <v>45750</v>
      </c>
      <c r="K316" s="18" t="s">
        <v>1160</v>
      </c>
      <c r="L316" s="22" t="s">
        <v>1165</v>
      </c>
    </row>
    <row r="317" spans="1:12">
      <c r="A317" s="37">
        <v>781</v>
      </c>
      <c r="B317" s="21" t="s">
        <v>28</v>
      </c>
      <c r="C317" s="9">
        <v>16588</v>
      </c>
      <c r="D317" s="26">
        <v>45717</v>
      </c>
      <c r="E317" s="26">
        <v>45747</v>
      </c>
      <c r="F317" s="40" t="s">
        <v>11</v>
      </c>
      <c r="G317" s="25">
        <v>250000</v>
      </c>
      <c r="H317" s="76">
        <v>300</v>
      </c>
      <c r="I317" s="66" t="s">
        <v>18</v>
      </c>
      <c r="J317" s="4">
        <v>45750</v>
      </c>
      <c r="K317" s="18" t="s">
        <v>1160</v>
      </c>
      <c r="L317" s="22" t="s">
        <v>1164</v>
      </c>
    </row>
    <row r="318" spans="1:12">
      <c r="A318" s="37">
        <v>782</v>
      </c>
      <c r="B318" s="21" t="s">
        <v>28</v>
      </c>
      <c r="C318" s="9">
        <v>6312</v>
      </c>
      <c r="D318" s="26">
        <v>45717</v>
      </c>
      <c r="E318" s="26">
        <v>45747</v>
      </c>
      <c r="F318" s="40" t="s">
        <v>11</v>
      </c>
      <c r="G318" s="25">
        <v>100000</v>
      </c>
      <c r="H318" s="76">
        <v>180</v>
      </c>
      <c r="I318" s="66" t="s">
        <v>18</v>
      </c>
      <c r="J318" s="4">
        <v>45750</v>
      </c>
      <c r="K318" s="18" t="s">
        <v>1160</v>
      </c>
      <c r="L318" s="22" t="s">
        <v>1164</v>
      </c>
    </row>
    <row r="319" spans="1:12">
      <c r="A319" s="37">
        <v>783</v>
      </c>
      <c r="B319" s="21" t="s">
        <v>28</v>
      </c>
      <c r="C319" s="9" t="s">
        <v>1162</v>
      </c>
      <c r="D319" s="26">
        <v>45717</v>
      </c>
      <c r="E319" s="26">
        <v>45747</v>
      </c>
      <c r="F319" s="40" t="s">
        <v>11</v>
      </c>
      <c r="G319" s="25">
        <v>200000</v>
      </c>
      <c r="H319" s="76">
        <v>180</v>
      </c>
      <c r="I319" s="66" t="s">
        <v>18</v>
      </c>
      <c r="J319" s="4">
        <v>45750</v>
      </c>
      <c r="K319" s="18" t="s">
        <v>1160</v>
      </c>
      <c r="L319" s="22" t="s">
        <v>1166</v>
      </c>
    </row>
    <row r="320" spans="1:12">
      <c r="A320" s="37">
        <v>784</v>
      </c>
      <c r="B320" s="21" t="s">
        <v>28</v>
      </c>
      <c r="C320" s="9">
        <v>6305</v>
      </c>
      <c r="D320" s="26">
        <v>45717</v>
      </c>
      <c r="E320" s="26">
        <v>45747</v>
      </c>
      <c r="F320" s="40" t="s">
        <v>11</v>
      </c>
      <c r="G320" s="25">
        <v>100000</v>
      </c>
      <c r="H320" s="76">
        <v>100</v>
      </c>
      <c r="I320" s="66" t="s">
        <v>18</v>
      </c>
      <c r="J320" s="4">
        <v>45750</v>
      </c>
      <c r="K320" s="18" t="s">
        <v>1160</v>
      </c>
      <c r="L320" s="22" t="s">
        <v>1164</v>
      </c>
    </row>
    <row r="321" spans="1:12">
      <c r="A321" s="37">
        <v>785</v>
      </c>
      <c r="B321" s="21" t="s">
        <v>28</v>
      </c>
      <c r="C321" s="9">
        <v>3567</v>
      </c>
      <c r="D321" s="26">
        <v>45717</v>
      </c>
      <c r="E321" s="26">
        <v>45747</v>
      </c>
      <c r="F321" s="40" t="s">
        <v>11</v>
      </c>
      <c r="G321" s="25">
        <v>100000</v>
      </c>
      <c r="H321" s="76">
        <v>100</v>
      </c>
      <c r="I321" s="66" t="s">
        <v>18</v>
      </c>
      <c r="J321" s="4">
        <v>45750</v>
      </c>
      <c r="K321" s="18" t="s">
        <v>1160</v>
      </c>
      <c r="L321" s="22" t="s">
        <v>1164</v>
      </c>
    </row>
    <row r="322" spans="1:12">
      <c r="A322" s="37">
        <v>786</v>
      </c>
      <c r="B322" s="21" t="s">
        <v>28</v>
      </c>
      <c r="C322" s="9">
        <v>1929</v>
      </c>
      <c r="D322" s="26">
        <v>45717</v>
      </c>
      <c r="E322" s="26">
        <v>45747</v>
      </c>
      <c r="F322" s="40" t="s">
        <v>11</v>
      </c>
      <c r="G322" s="25">
        <v>100000</v>
      </c>
      <c r="H322" s="76">
        <v>100</v>
      </c>
      <c r="I322" s="66" t="s">
        <v>18</v>
      </c>
      <c r="J322" s="4">
        <v>45750</v>
      </c>
      <c r="K322" s="18" t="s">
        <v>1160</v>
      </c>
      <c r="L322" s="22" t="s">
        <v>1164</v>
      </c>
    </row>
    <row r="323" spans="1:12">
      <c r="A323" s="37">
        <v>787</v>
      </c>
      <c r="B323" s="21" t="s">
        <v>28</v>
      </c>
      <c r="C323" s="9">
        <v>16671</v>
      </c>
      <c r="D323" s="26">
        <v>45717</v>
      </c>
      <c r="E323" s="26">
        <v>45747</v>
      </c>
      <c r="F323" s="40" t="s">
        <v>11</v>
      </c>
      <c r="G323" s="25">
        <v>100000</v>
      </c>
      <c r="H323" s="76">
        <v>100</v>
      </c>
      <c r="I323" s="66" t="s">
        <v>18</v>
      </c>
      <c r="J323" s="4">
        <v>45750</v>
      </c>
      <c r="K323" s="18" t="s">
        <v>1160</v>
      </c>
      <c r="L323" s="22" t="s">
        <v>1164</v>
      </c>
    </row>
    <row r="324" spans="1:12">
      <c r="A324" s="37">
        <v>788</v>
      </c>
      <c r="B324" s="21" t="s">
        <v>28</v>
      </c>
      <c r="C324" s="9" t="s">
        <v>1163</v>
      </c>
      <c r="D324" s="26">
        <v>45717</v>
      </c>
      <c r="E324" s="26">
        <v>45747</v>
      </c>
      <c r="F324" s="40" t="s">
        <v>11</v>
      </c>
      <c r="G324" s="25">
        <v>100000</v>
      </c>
      <c r="H324" s="76">
        <v>50</v>
      </c>
      <c r="I324" s="66" t="s">
        <v>18</v>
      </c>
      <c r="J324" s="4">
        <v>45750</v>
      </c>
      <c r="K324" s="18" t="s">
        <v>1160</v>
      </c>
      <c r="L324" s="22" t="s">
        <v>1167</v>
      </c>
    </row>
    <row r="325" spans="1:12">
      <c r="A325" s="37">
        <v>789</v>
      </c>
      <c r="B325" s="21" t="s">
        <v>28</v>
      </c>
      <c r="C325" s="9">
        <v>12153</v>
      </c>
      <c r="D325" s="26">
        <v>45717</v>
      </c>
      <c r="E325" s="26">
        <v>45747</v>
      </c>
      <c r="F325" s="40" t="s">
        <v>11</v>
      </c>
      <c r="G325" s="25">
        <v>1000</v>
      </c>
      <c r="H325" s="72">
        <v>5.0000000000000001E-4</v>
      </c>
      <c r="I325" s="66" t="s">
        <v>18</v>
      </c>
      <c r="J325" s="4">
        <v>45750</v>
      </c>
      <c r="K325" s="18" t="s">
        <v>1160</v>
      </c>
      <c r="L325" s="22" t="s">
        <v>1164</v>
      </c>
    </row>
    <row r="326" spans="1:12">
      <c r="A326" s="37">
        <v>790</v>
      </c>
      <c r="B326" s="21" t="s">
        <v>28</v>
      </c>
      <c r="C326" s="9">
        <v>16793</v>
      </c>
      <c r="D326" s="26">
        <v>45717</v>
      </c>
      <c r="E326" s="26">
        <v>45747</v>
      </c>
      <c r="F326" s="40" t="s">
        <v>11</v>
      </c>
      <c r="G326" s="25">
        <v>100000</v>
      </c>
      <c r="H326" s="76">
        <v>180</v>
      </c>
      <c r="I326" s="66" t="s">
        <v>18</v>
      </c>
      <c r="J326" s="4">
        <v>45750</v>
      </c>
      <c r="K326" s="18" t="s">
        <v>1160</v>
      </c>
      <c r="L326" s="22" t="s">
        <v>1164</v>
      </c>
    </row>
    <row r="327" spans="1:12">
      <c r="A327" s="37">
        <v>791</v>
      </c>
      <c r="B327" s="21" t="s">
        <v>28</v>
      </c>
      <c r="C327" s="9">
        <v>7769</v>
      </c>
      <c r="D327" s="26">
        <v>45717</v>
      </c>
      <c r="E327" s="26">
        <v>45747</v>
      </c>
      <c r="F327" s="40" t="s">
        <v>11</v>
      </c>
      <c r="G327" s="25">
        <v>1000</v>
      </c>
      <c r="H327" s="72">
        <v>5.0000000000000001E-4</v>
      </c>
      <c r="I327" s="66" t="s">
        <v>18</v>
      </c>
      <c r="J327" s="4">
        <v>45750</v>
      </c>
      <c r="K327" s="18" t="s">
        <v>1160</v>
      </c>
      <c r="L327" s="22" t="s">
        <v>1164</v>
      </c>
    </row>
    <row r="328" spans="1:12">
      <c r="A328" s="37">
        <v>792</v>
      </c>
      <c r="B328" s="21" t="s">
        <v>28</v>
      </c>
      <c r="C328" s="9">
        <v>9580</v>
      </c>
      <c r="D328" s="26">
        <v>45717</v>
      </c>
      <c r="E328" s="26">
        <v>45747</v>
      </c>
      <c r="F328" s="40" t="s">
        <v>11</v>
      </c>
      <c r="G328" s="25">
        <v>0.01</v>
      </c>
      <c r="H328" s="72">
        <v>3.0000000000000001E-3</v>
      </c>
      <c r="I328" s="66" t="s">
        <v>95</v>
      </c>
      <c r="J328" s="4">
        <v>45754</v>
      </c>
      <c r="K328" s="18" t="s">
        <v>1168</v>
      </c>
      <c r="L328" s="22" t="s">
        <v>143</v>
      </c>
    </row>
  </sheetData>
  <conditionalFormatting sqref="B3:H328">
    <cfRule type="expression" dxfId="4" priority="5">
      <formula>$A3="2- MANUAL"</formula>
    </cfRule>
  </conditionalFormatting>
  <conditionalFormatting sqref="J3:J187 J199:J328">
    <cfRule type="expression" dxfId="3" priority="2">
      <formula>$A3="2- MANUAL"</formula>
    </cfRule>
  </conditionalFormatting>
  <conditionalFormatting sqref="J188:J190 J192:J198">
    <cfRule type="expression" dxfId="2" priority="3">
      <formula>$A187="2- MANUAL"</formula>
    </cfRule>
  </conditionalFormatting>
  <conditionalFormatting sqref="J191">
    <cfRule type="expression" dxfId="1" priority="4">
      <formula>#REF!="2- MANUAL"</formula>
    </cfRule>
  </conditionalFormatting>
  <conditionalFormatting sqref="K3:L70 K71:K74 K75:L78 K79 K80:L255 K256:K258 K259:L262 K263:K268 K269:L328">
    <cfRule type="expression" dxfId="0" priority="1">
      <formula>$A3="2- MANUAL"</formula>
    </cfRule>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29FD-9B67-4A40-AA78-A09096798AF9}">
  <dimension ref="A1:U279"/>
  <sheetViews>
    <sheetView workbookViewId="0">
      <selection activeCell="B9" sqref="B9"/>
    </sheetView>
  </sheetViews>
  <sheetFormatPr defaultRowHeight="15"/>
  <cols>
    <col min="1" max="1" width="4" bestFit="1" customWidth="1"/>
    <col min="2" max="2" width="13.42578125" bestFit="1" customWidth="1"/>
    <col min="3" max="3" width="26.28515625" bestFit="1" customWidth="1"/>
    <col min="4" max="5" width="10.42578125" bestFit="1" customWidth="1"/>
    <col min="6" max="6" width="22.5703125" bestFit="1" customWidth="1"/>
    <col min="7" max="7" width="13.85546875" bestFit="1" customWidth="1"/>
    <col min="8" max="8" width="15.7109375" bestFit="1" customWidth="1"/>
    <col min="9" max="9" width="23.85546875" bestFit="1" customWidth="1"/>
    <col min="10" max="10" width="21" bestFit="1" customWidth="1"/>
    <col min="11" max="11" width="93.7109375" bestFit="1" customWidth="1"/>
    <col min="12" max="12" width="211.4257812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188</v>
      </c>
      <c r="B2" s="52" t="s">
        <v>26</v>
      </c>
      <c r="C2" s="53">
        <v>9431</v>
      </c>
      <c r="D2" s="54">
        <v>45689</v>
      </c>
      <c r="E2" s="54">
        <v>45716</v>
      </c>
      <c r="F2" s="53" t="s">
        <v>11</v>
      </c>
      <c r="G2" s="55">
        <v>100000</v>
      </c>
      <c r="H2" s="56">
        <v>5.0000000000000001E-3</v>
      </c>
      <c r="I2" s="53" t="s">
        <v>39</v>
      </c>
      <c r="J2" s="54">
        <v>45639</v>
      </c>
      <c r="K2" s="57" t="s">
        <v>228</v>
      </c>
      <c r="L2" s="58" t="s">
        <v>839</v>
      </c>
    </row>
    <row r="3" spans="1:21">
      <c r="A3" s="37">
        <v>189</v>
      </c>
      <c r="B3" s="53" t="s">
        <v>26</v>
      </c>
      <c r="C3" s="53">
        <v>14918</v>
      </c>
      <c r="D3" s="54">
        <v>45689</v>
      </c>
      <c r="E3" s="54">
        <v>45716</v>
      </c>
      <c r="F3" s="53" t="s">
        <v>11</v>
      </c>
      <c r="G3" s="55">
        <v>150000</v>
      </c>
      <c r="H3" s="56">
        <v>5.0000000000000001E-4</v>
      </c>
      <c r="I3" s="53" t="s">
        <v>17</v>
      </c>
      <c r="J3" s="54">
        <v>45642</v>
      </c>
      <c r="K3" s="57" t="s">
        <v>158</v>
      </c>
      <c r="L3" s="58" t="s">
        <v>840</v>
      </c>
    </row>
    <row r="4" spans="1:21">
      <c r="A4" s="37">
        <v>190</v>
      </c>
      <c r="B4" s="52" t="s">
        <v>26</v>
      </c>
      <c r="C4" s="53">
        <v>14918</v>
      </c>
      <c r="D4" s="54">
        <v>45689</v>
      </c>
      <c r="E4" s="54">
        <v>45716</v>
      </c>
      <c r="F4" s="59" t="s">
        <v>11</v>
      </c>
      <c r="G4" s="55">
        <v>300000</v>
      </c>
      <c r="H4" s="60">
        <v>1E-3</v>
      </c>
      <c r="I4" s="53" t="s">
        <v>17</v>
      </c>
      <c r="J4" s="54">
        <v>45642</v>
      </c>
      <c r="K4" s="57" t="s">
        <v>158</v>
      </c>
      <c r="L4" s="58" t="s">
        <v>841</v>
      </c>
    </row>
    <row r="5" spans="1:21">
      <c r="A5" s="37">
        <v>191</v>
      </c>
      <c r="B5" s="52" t="s">
        <v>26</v>
      </c>
      <c r="C5" s="53" t="s">
        <v>286</v>
      </c>
      <c r="D5" s="54">
        <v>45689</v>
      </c>
      <c r="E5" s="54">
        <v>45716</v>
      </c>
      <c r="F5" s="61" t="s">
        <v>11</v>
      </c>
      <c r="G5" s="55">
        <v>800000</v>
      </c>
      <c r="H5" s="60">
        <v>1E-3</v>
      </c>
      <c r="I5" s="53" t="s">
        <v>17</v>
      </c>
      <c r="J5" s="54">
        <v>45666</v>
      </c>
      <c r="K5" s="57" t="s">
        <v>189</v>
      </c>
      <c r="L5" s="58" t="s">
        <v>842</v>
      </c>
    </row>
    <row r="6" spans="1:21">
      <c r="A6" s="37">
        <v>192</v>
      </c>
      <c r="B6" s="52" t="s">
        <v>26</v>
      </c>
      <c r="C6" s="53">
        <v>16667</v>
      </c>
      <c r="D6" s="54">
        <v>45689</v>
      </c>
      <c r="E6" s="54">
        <v>45716</v>
      </c>
      <c r="F6" s="61" t="s">
        <v>11</v>
      </c>
      <c r="G6" s="55">
        <v>0.01</v>
      </c>
      <c r="H6" s="56">
        <v>1.7999999999999999E-2</v>
      </c>
      <c r="I6" s="53" t="s">
        <v>15</v>
      </c>
      <c r="J6" s="54">
        <v>45691</v>
      </c>
      <c r="K6" s="57" t="s">
        <v>460</v>
      </c>
      <c r="L6" s="58" t="s">
        <v>843</v>
      </c>
    </row>
    <row r="7" spans="1:21">
      <c r="A7" s="37">
        <v>193</v>
      </c>
      <c r="B7" s="52" t="s">
        <v>26</v>
      </c>
      <c r="C7" s="53">
        <v>16667</v>
      </c>
      <c r="D7" s="54">
        <v>45689</v>
      </c>
      <c r="E7" s="54">
        <v>45716</v>
      </c>
      <c r="F7" s="59" t="s">
        <v>11</v>
      </c>
      <c r="G7" s="55">
        <v>0.01</v>
      </c>
      <c r="H7" s="56">
        <v>5.0000000000000001E-3</v>
      </c>
      <c r="I7" s="53" t="s">
        <v>15</v>
      </c>
      <c r="J7" s="54">
        <v>45691</v>
      </c>
      <c r="K7" s="62" t="s">
        <v>460</v>
      </c>
      <c r="L7" s="58" t="s">
        <v>844</v>
      </c>
    </row>
    <row r="8" spans="1:21">
      <c r="A8" s="37">
        <v>194</v>
      </c>
      <c r="B8" s="52" t="s">
        <v>26</v>
      </c>
      <c r="C8" s="53">
        <v>16667</v>
      </c>
      <c r="D8" s="54">
        <v>45689</v>
      </c>
      <c r="E8" s="54">
        <v>45716</v>
      </c>
      <c r="F8" s="61" t="s">
        <v>11</v>
      </c>
      <c r="G8" s="55">
        <v>0.01</v>
      </c>
      <c r="H8" s="56">
        <v>5.0000000000000001E-3</v>
      </c>
      <c r="I8" s="53" t="s">
        <v>15</v>
      </c>
      <c r="J8" s="54">
        <v>45691</v>
      </c>
      <c r="K8" s="57" t="s">
        <v>460</v>
      </c>
      <c r="L8" s="63" t="s">
        <v>845</v>
      </c>
    </row>
    <row r="9" spans="1:21" ht="25.5">
      <c r="A9" s="37">
        <v>195</v>
      </c>
      <c r="B9" s="52" t="s">
        <v>26</v>
      </c>
      <c r="C9" s="53">
        <v>16667</v>
      </c>
      <c r="D9" s="54">
        <v>45689</v>
      </c>
      <c r="E9" s="54">
        <v>45716</v>
      </c>
      <c r="F9" s="61" t="s">
        <v>11</v>
      </c>
      <c r="G9" s="55">
        <v>0.01</v>
      </c>
      <c r="H9" s="56">
        <v>2.75E-2</v>
      </c>
      <c r="I9" s="53" t="s">
        <v>15</v>
      </c>
      <c r="J9" s="54">
        <v>45691</v>
      </c>
      <c r="K9" s="57" t="s">
        <v>460</v>
      </c>
      <c r="L9" s="58" t="s">
        <v>440</v>
      </c>
    </row>
    <row r="10" spans="1:21">
      <c r="A10" s="37">
        <v>196</v>
      </c>
      <c r="B10" s="52" t="s">
        <v>26</v>
      </c>
      <c r="C10" s="53" t="s">
        <v>846</v>
      </c>
      <c r="D10" s="54">
        <v>45689</v>
      </c>
      <c r="E10" s="54">
        <v>45716</v>
      </c>
      <c r="F10" s="59" t="s">
        <v>11</v>
      </c>
      <c r="G10" s="55">
        <v>150000</v>
      </c>
      <c r="H10" s="56">
        <v>4.0000000000000001E-3</v>
      </c>
      <c r="I10" s="53" t="s">
        <v>22</v>
      </c>
      <c r="J10" s="54">
        <v>45687</v>
      </c>
      <c r="K10" s="57" t="s">
        <v>464</v>
      </c>
      <c r="L10" s="58" t="s">
        <v>847</v>
      </c>
    </row>
    <row r="11" spans="1:21">
      <c r="A11" s="37">
        <v>197</v>
      </c>
      <c r="B11" s="52" t="s">
        <v>26</v>
      </c>
      <c r="C11" s="53">
        <v>16474</v>
      </c>
      <c r="D11" s="54">
        <v>45689</v>
      </c>
      <c r="E11" s="54">
        <v>45716</v>
      </c>
      <c r="F11" s="59" t="s">
        <v>11</v>
      </c>
      <c r="G11" s="55">
        <v>400000</v>
      </c>
      <c r="H11" s="56">
        <v>2.5000000000000001E-3</v>
      </c>
      <c r="I11" s="53" t="s">
        <v>168</v>
      </c>
      <c r="J11" s="54">
        <v>45691</v>
      </c>
      <c r="K11" s="57" t="s">
        <v>469</v>
      </c>
      <c r="L11" s="58" t="s">
        <v>368</v>
      </c>
    </row>
    <row r="12" spans="1:21">
      <c r="A12" s="37">
        <v>198</v>
      </c>
      <c r="B12" s="52" t="s">
        <v>26</v>
      </c>
      <c r="C12" s="53">
        <v>10109</v>
      </c>
      <c r="D12" s="54">
        <v>45689</v>
      </c>
      <c r="E12" s="54">
        <v>45716</v>
      </c>
      <c r="F12" s="61" t="s">
        <v>11</v>
      </c>
      <c r="G12" s="55">
        <v>300000</v>
      </c>
      <c r="H12" s="56">
        <v>2E-3</v>
      </c>
      <c r="I12" s="53" t="s">
        <v>41</v>
      </c>
      <c r="J12" s="54">
        <v>45693</v>
      </c>
      <c r="K12" s="57" t="s">
        <v>486</v>
      </c>
      <c r="L12" s="58" t="s">
        <v>848</v>
      </c>
    </row>
    <row r="13" spans="1:21">
      <c r="A13" s="37">
        <v>199</v>
      </c>
      <c r="B13" s="52" t="s">
        <v>26</v>
      </c>
      <c r="C13" s="53">
        <v>10109</v>
      </c>
      <c r="D13" s="54">
        <v>45689</v>
      </c>
      <c r="E13" s="54">
        <v>45716</v>
      </c>
      <c r="F13" s="61" t="s">
        <v>11</v>
      </c>
      <c r="G13" s="55">
        <v>300000</v>
      </c>
      <c r="H13" s="56">
        <v>2E-3</v>
      </c>
      <c r="I13" s="53" t="s">
        <v>41</v>
      </c>
      <c r="J13" s="54">
        <v>45693</v>
      </c>
      <c r="K13" s="57" t="s">
        <v>486</v>
      </c>
      <c r="L13" s="58" t="s">
        <v>849</v>
      </c>
    </row>
    <row r="14" spans="1:21">
      <c r="A14" s="37">
        <v>200</v>
      </c>
      <c r="B14" s="52" t="s">
        <v>26</v>
      </c>
      <c r="C14" s="53">
        <v>13446</v>
      </c>
      <c r="D14" s="54">
        <v>45689</v>
      </c>
      <c r="E14" s="54">
        <v>45716</v>
      </c>
      <c r="F14" s="61" t="s">
        <v>11</v>
      </c>
      <c r="G14" s="55">
        <v>500000</v>
      </c>
      <c r="H14" s="56">
        <v>7.4999999999999997E-3</v>
      </c>
      <c r="I14" s="53" t="s">
        <v>39</v>
      </c>
      <c r="J14" s="54">
        <v>45691</v>
      </c>
      <c r="K14" s="57" t="s">
        <v>494</v>
      </c>
      <c r="L14" s="58" t="s">
        <v>495</v>
      </c>
    </row>
    <row r="15" spans="1:21">
      <c r="A15" s="37">
        <v>201</v>
      </c>
      <c r="B15" s="52" t="s">
        <v>26</v>
      </c>
      <c r="C15" s="53" t="s">
        <v>746</v>
      </c>
      <c r="D15" s="54">
        <v>45689</v>
      </c>
      <c r="E15" s="54">
        <v>45716</v>
      </c>
      <c r="F15" s="61" t="s">
        <v>11</v>
      </c>
      <c r="G15" s="55">
        <v>500000</v>
      </c>
      <c r="H15" s="56">
        <v>5.0000000000000001E-3</v>
      </c>
      <c r="I15" s="53" t="s">
        <v>141</v>
      </c>
      <c r="J15" s="54">
        <v>45694</v>
      </c>
      <c r="K15" s="57" t="s">
        <v>138</v>
      </c>
      <c r="L15" s="58" t="s">
        <v>850</v>
      </c>
    </row>
    <row r="16" spans="1:21">
      <c r="A16" s="37">
        <v>202</v>
      </c>
      <c r="B16" s="52" t="s">
        <v>26</v>
      </c>
      <c r="C16" s="53">
        <v>15925</v>
      </c>
      <c r="D16" s="54">
        <v>45689</v>
      </c>
      <c r="E16" s="54">
        <v>45716</v>
      </c>
      <c r="F16" s="61" t="s">
        <v>11</v>
      </c>
      <c r="G16" s="55">
        <v>0.01</v>
      </c>
      <c r="H16" s="56">
        <v>2.5000000000000001E-3</v>
      </c>
      <c r="I16" s="53" t="s">
        <v>168</v>
      </c>
      <c r="J16" s="54">
        <v>45694</v>
      </c>
      <c r="K16" s="57" t="s">
        <v>505</v>
      </c>
      <c r="L16" s="58" t="s">
        <v>137</v>
      </c>
    </row>
    <row r="17" spans="1:12">
      <c r="A17" s="37">
        <v>203</v>
      </c>
      <c r="B17" s="52" t="s">
        <v>26</v>
      </c>
      <c r="C17" s="53">
        <v>14452</v>
      </c>
      <c r="D17" s="54">
        <v>45689</v>
      </c>
      <c r="E17" s="54">
        <v>45716</v>
      </c>
      <c r="F17" s="61" t="s">
        <v>11</v>
      </c>
      <c r="G17" s="55">
        <v>100000</v>
      </c>
      <c r="H17" s="56">
        <v>7.0000000000000001E-3</v>
      </c>
      <c r="I17" s="53" t="s">
        <v>20</v>
      </c>
      <c r="J17" s="54">
        <v>45694</v>
      </c>
      <c r="K17" s="57" t="s">
        <v>506</v>
      </c>
      <c r="L17" s="58" t="s">
        <v>851</v>
      </c>
    </row>
    <row r="18" spans="1:12">
      <c r="A18" s="37">
        <v>204</v>
      </c>
      <c r="B18" s="52" t="s">
        <v>26</v>
      </c>
      <c r="C18" s="53">
        <v>16868</v>
      </c>
      <c r="D18" s="54">
        <v>45689</v>
      </c>
      <c r="E18" s="54">
        <v>45716</v>
      </c>
      <c r="F18" s="61" t="s">
        <v>11</v>
      </c>
      <c r="G18" s="55">
        <v>1000000</v>
      </c>
      <c r="H18" s="56">
        <v>2.5000000000000001E-3</v>
      </c>
      <c r="I18" s="53" t="s">
        <v>168</v>
      </c>
      <c r="J18" s="54">
        <v>45695</v>
      </c>
      <c r="K18" s="57" t="s">
        <v>511</v>
      </c>
      <c r="L18" s="58" t="s">
        <v>512</v>
      </c>
    </row>
    <row r="19" spans="1:12">
      <c r="A19" s="37">
        <v>205</v>
      </c>
      <c r="B19" s="52" t="s">
        <v>26</v>
      </c>
      <c r="C19" s="53">
        <v>10426</v>
      </c>
      <c r="D19" s="54">
        <v>45689</v>
      </c>
      <c r="E19" s="54">
        <v>45716</v>
      </c>
      <c r="F19" s="61" t="s">
        <v>11</v>
      </c>
      <c r="G19" s="55">
        <v>0.01</v>
      </c>
      <c r="H19" s="56">
        <v>2E-3</v>
      </c>
      <c r="I19" s="53" t="s">
        <v>34</v>
      </c>
      <c r="J19" s="54">
        <v>45695</v>
      </c>
      <c r="K19" s="57" t="s">
        <v>513</v>
      </c>
      <c r="L19" s="58" t="s">
        <v>162</v>
      </c>
    </row>
    <row r="20" spans="1:12">
      <c r="A20" s="37">
        <v>206</v>
      </c>
      <c r="B20" s="52" t="s">
        <v>26</v>
      </c>
      <c r="C20" s="53">
        <v>10426</v>
      </c>
      <c r="D20" s="54">
        <v>45689</v>
      </c>
      <c r="E20" s="54">
        <v>45716</v>
      </c>
      <c r="F20" s="53" t="s">
        <v>11</v>
      </c>
      <c r="G20" s="55">
        <v>0.01</v>
      </c>
      <c r="H20" s="56">
        <v>5.0000000000000001E-3</v>
      </c>
      <c r="I20" s="53" t="s">
        <v>34</v>
      </c>
      <c r="J20" s="54">
        <v>45695</v>
      </c>
      <c r="K20" s="57" t="s">
        <v>513</v>
      </c>
      <c r="L20" s="58" t="s">
        <v>236</v>
      </c>
    </row>
    <row r="21" spans="1:12">
      <c r="A21" s="37">
        <v>207</v>
      </c>
      <c r="B21" s="52" t="s">
        <v>26</v>
      </c>
      <c r="C21" s="53">
        <v>6995</v>
      </c>
      <c r="D21" s="54">
        <v>45689</v>
      </c>
      <c r="E21" s="54">
        <v>45716</v>
      </c>
      <c r="F21" s="53" t="s">
        <v>11</v>
      </c>
      <c r="G21" s="55">
        <v>0.01</v>
      </c>
      <c r="H21" s="56">
        <v>2E-3</v>
      </c>
      <c r="I21" s="53" t="s">
        <v>34</v>
      </c>
      <c r="J21" s="54">
        <v>45695</v>
      </c>
      <c r="K21" s="57" t="s">
        <v>514</v>
      </c>
      <c r="L21" s="64" t="s">
        <v>162</v>
      </c>
    </row>
    <row r="22" spans="1:12">
      <c r="A22" s="37">
        <v>208</v>
      </c>
      <c r="B22" s="52" t="s">
        <v>26</v>
      </c>
      <c r="C22" s="53">
        <v>6995</v>
      </c>
      <c r="D22" s="54">
        <v>45689</v>
      </c>
      <c r="E22" s="54">
        <v>45716</v>
      </c>
      <c r="F22" s="59" t="s">
        <v>11</v>
      </c>
      <c r="G22" s="55">
        <v>0.01</v>
      </c>
      <c r="H22" s="56">
        <v>5.0000000000000001E-3</v>
      </c>
      <c r="I22" s="53" t="s">
        <v>34</v>
      </c>
      <c r="J22" s="54">
        <v>45695</v>
      </c>
      <c r="K22" s="57" t="s">
        <v>532</v>
      </c>
      <c r="L22" s="64" t="s">
        <v>236</v>
      </c>
    </row>
    <row r="23" spans="1:12">
      <c r="A23" s="37">
        <v>209</v>
      </c>
      <c r="B23" s="53" t="s">
        <v>26</v>
      </c>
      <c r="C23" s="53">
        <v>8835</v>
      </c>
      <c r="D23" s="54">
        <v>45689</v>
      </c>
      <c r="E23" s="54">
        <v>45716</v>
      </c>
      <c r="F23" s="59" t="s">
        <v>11</v>
      </c>
      <c r="G23" s="55">
        <v>150000</v>
      </c>
      <c r="H23" s="56">
        <v>2.5000000000000001E-3</v>
      </c>
      <c r="I23" s="53" t="s">
        <v>20</v>
      </c>
      <c r="J23" s="54">
        <v>45695</v>
      </c>
      <c r="K23" s="57" t="s">
        <v>515</v>
      </c>
      <c r="L23" s="58" t="s">
        <v>127</v>
      </c>
    </row>
    <row r="24" spans="1:12">
      <c r="A24" s="37">
        <v>210</v>
      </c>
      <c r="B24" s="52" t="s">
        <v>26</v>
      </c>
      <c r="C24" s="53">
        <v>16871</v>
      </c>
      <c r="D24" s="54">
        <v>45689</v>
      </c>
      <c r="E24" s="54">
        <v>45716</v>
      </c>
      <c r="F24" s="59" t="s">
        <v>11</v>
      </c>
      <c r="G24" s="55">
        <v>500000</v>
      </c>
      <c r="H24" s="56">
        <v>7.4999999999999997E-3</v>
      </c>
      <c r="I24" s="53" t="s">
        <v>39</v>
      </c>
      <c r="J24" s="54">
        <v>45695</v>
      </c>
      <c r="K24" s="57" t="s">
        <v>516</v>
      </c>
      <c r="L24" s="58" t="s">
        <v>128</v>
      </c>
    </row>
    <row r="25" spans="1:12">
      <c r="A25" s="37">
        <v>211</v>
      </c>
      <c r="B25" s="52" t="s">
        <v>26</v>
      </c>
      <c r="C25" s="53" t="s">
        <v>678</v>
      </c>
      <c r="D25" s="54">
        <v>45689</v>
      </c>
      <c r="E25" s="54">
        <v>45716</v>
      </c>
      <c r="F25" s="59" t="s">
        <v>11</v>
      </c>
      <c r="G25" s="55">
        <v>300000</v>
      </c>
      <c r="H25" s="56">
        <v>4.0000000000000001E-3</v>
      </c>
      <c r="I25" s="53" t="s">
        <v>19</v>
      </c>
      <c r="J25" s="54">
        <v>45695</v>
      </c>
      <c r="K25" s="57" t="s">
        <v>517</v>
      </c>
      <c r="L25" s="58" t="s">
        <v>852</v>
      </c>
    </row>
    <row r="26" spans="1:12">
      <c r="A26" s="37">
        <v>212</v>
      </c>
      <c r="B26" s="52" t="s">
        <v>26</v>
      </c>
      <c r="C26" s="53">
        <v>15980</v>
      </c>
      <c r="D26" s="54">
        <v>45689</v>
      </c>
      <c r="E26" s="54">
        <v>45716</v>
      </c>
      <c r="F26" s="59" t="s">
        <v>11</v>
      </c>
      <c r="G26" s="55">
        <v>0.01</v>
      </c>
      <c r="H26" s="56">
        <v>2.5000000000000001E-3</v>
      </c>
      <c r="I26" s="53" t="s">
        <v>20</v>
      </c>
      <c r="J26" s="54">
        <v>45695</v>
      </c>
      <c r="K26" s="57" t="s">
        <v>518</v>
      </c>
      <c r="L26" s="58" t="s">
        <v>162</v>
      </c>
    </row>
    <row r="27" spans="1:12">
      <c r="A27" s="37">
        <v>213</v>
      </c>
      <c r="B27" s="52" t="s">
        <v>26</v>
      </c>
      <c r="C27" s="53">
        <v>1729</v>
      </c>
      <c r="D27" s="54">
        <v>45689</v>
      </c>
      <c r="E27" s="54">
        <v>45716</v>
      </c>
      <c r="F27" s="59" t="s">
        <v>11</v>
      </c>
      <c r="G27" s="55">
        <v>600000</v>
      </c>
      <c r="H27" s="56">
        <v>5.0000000000000001E-3</v>
      </c>
      <c r="I27" s="53" t="s">
        <v>19</v>
      </c>
      <c r="J27" s="54">
        <v>45695</v>
      </c>
      <c r="K27" s="57" t="s">
        <v>519</v>
      </c>
      <c r="L27" s="58" t="s">
        <v>520</v>
      </c>
    </row>
    <row r="28" spans="1:12">
      <c r="A28" s="37">
        <v>214</v>
      </c>
      <c r="B28" s="52" t="s">
        <v>26</v>
      </c>
      <c r="C28" s="53">
        <v>8125</v>
      </c>
      <c r="D28" s="54">
        <v>45689</v>
      </c>
      <c r="E28" s="54">
        <v>45716</v>
      </c>
      <c r="F28" s="59" t="s">
        <v>11</v>
      </c>
      <c r="G28" s="55">
        <v>200000</v>
      </c>
      <c r="H28" s="56">
        <v>3.0000000000000001E-3</v>
      </c>
      <c r="I28" s="53" t="s">
        <v>19</v>
      </c>
      <c r="J28" s="54">
        <v>45695</v>
      </c>
      <c r="K28" s="57" t="s">
        <v>519</v>
      </c>
      <c r="L28" s="58" t="s">
        <v>520</v>
      </c>
    </row>
    <row r="29" spans="1:12">
      <c r="A29" s="37">
        <v>215</v>
      </c>
      <c r="B29" s="52" t="s">
        <v>26</v>
      </c>
      <c r="C29" s="53">
        <v>8816</v>
      </c>
      <c r="D29" s="54">
        <v>45689</v>
      </c>
      <c r="E29" s="54">
        <v>45716</v>
      </c>
      <c r="F29" s="59" t="s">
        <v>11</v>
      </c>
      <c r="G29" s="55">
        <v>1000000</v>
      </c>
      <c r="H29" s="56">
        <v>1E-3</v>
      </c>
      <c r="I29" s="53" t="s">
        <v>95</v>
      </c>
      <c r="J29" s="54">
        <v>45695</v>
      </c>
      <c r="K29" s="57" t="s">
        <v>521</v>
      </c>
      <c r="L29" s="58" t="s">
        <v>523</v>
      </c>
    </row>
    <row r="30" spans="1:12">
      <c r="A30" s="37">
        <v>216</v>
      </c>
      <c r="B30" s="52" t="s">
        <v>26</v>
      </c>
      <c r="C30" s="53">
        <v>15516</v>
      </c>
      <c r="D30" s="54">
        <v>45689</v>
      </c>
      <c r="E30" s="54">
        <v>45716</v>
      </c>
      <c r="F30" s="59" t="s">
        <v>11</v>
      </c>
      <c r="G30" s="55">
        <v>200000</v>
      </c>
      <c r="H30" s="56">
        <v>3.0000000000000001E-3</v>
      </c>
      <c r="I30" s="53" t="s">
        <v>19</v>
      </c>
      <c r="J30" s="54">
        <v>45696</v>
      </c>
      <c r="K30" s="57" t="s">
        <v>524</v>
      </c>
      <c r="L30" s="64" t="s">
        <v>137</v>
      </c>
    </row>
    <row r="31" spans="1:12">
      <c r="A31" s="37">
        <v>217</v>
      </c>
      <c r="B31" s="52" t="s">
        <v>26</v>
      </c>
      <c r="C31" s="53">
        <v>15516</v>
      </c>
      <c r="D31" s="54">
        <v>45689</v>
      </c>
      <c r="E31" s="54">
        <v>45716</v>
      </c>
      <c r="F31" s="59" t="s">
        <v>11</v>
      </c>
      <c r="G31" s="55">
        <v>500000</v>
      </c>
      <c r="H31" s="56">
        <v>5.0000000000000001E-3</v>
      </c>
      <c r="I31" s="53" t="s">
        <v>19</v>
      </c>
      <c r="J31" s="54">
        <v>45696</v>
      </c>
      <c r="K31" s="57" t="s">
        <v>524</v>
      </c>
      <c r="L31" s="58" t="s">
        <v>137</v>
      </c>
    </row>
    <row r="32" spans="1:12">
      <c r="A32" s="37">
        <v>218</v>
      </c>
      <c r="B32" s="52" t="s">
        <v>26</v>
      </c>
      <c r="C32" s="53" t="s">
        <v>374</v>
      </c>
      <c r="D32" s="54">
        <v>45689</v>
      </c>
      <c r="E32" s="54">
        <v>45716</v>
      </c>
      <c r="F32" s="59" t="s">
        <v>11</v>
      </c>
      <c r="G32" s="55">
        <v>1000000</v>
      </c>
      <c r="H32" s="56">
        <v>2E-3</v>
      </c>
      <c r="I32" s="53" t="s">
        <v>21</v>
      </c>
      <c r="J32" s="54">
        <v>45698</v>
      </c>
      <c r="K32" s="57" t="s">
        <v>525</v>
      </c>
      <c r="L32" s="58" t="s">
        <v>137</v>
      </c>
    </row>
    <row r="33" spans="1:12">
      <c r="A33" s="37">
        <v>219</v>
      </c>
      <c r="B33" s="52" t="s">
        <v>26</v>
      </c>
      <c r="C33" s="53">
        <v>16896</v>
      </c>
      <c r="D33" s="54">
        <v>45695</v>
      </c>
      <c r="E33" s="54">
        <v>45716</v>
      </c>
      <c r="F33" s="59" t="s">
        <v>11</v>
      </c>
      <c r="G33" s="55">
        <v>0.01</v>
      </c>
      <c r="H33" s="56">
        <v>2.5000000000000001E-3</v>
      </c>
      <c r="I33" s="53" t="s">
        <v>19</v>
      </c>
      <c r="J33" s="54">
        <v>45698</v>
      </c>
      <c r="K33" s="57" t="s">
        <v>536</v>
      </c>
      <c r="L33" s="58" t="s">
        <v>537</v>
      </c>
    </row>
    <row r="34" spans="1:12">
      <c r="A34" s="37">
        <v>220</v>
      </c>
      <c r="B34" s="52" t="s">
        <v>26</v>
      </c>
      <c r="C34" s="53">
        <v>8687</v>
      </c>
      <c r="D34" s="54">
        <v>45689</v>
      </c>
      <c r="E34" s="54">
        <v>45716</v>
      </c>
      <c r="F34" s="59" t="s">
        <v>11</v>
      </c>
      <c r="G34" s="55">
        <v>0.01</v>
      </c>
      <c r="H34" s="56">
        <v>1E-3</v>
      </c>
      <c r="I34" s="53" t="s">
        <v>14</v>
      </c>
      <c r="J34" s="54">
        <v>45699</v>
      </c>
      <c r="K34" s="57" t="s">
        <v>538</v>
      </c>
      <c r="L34" s="58" t="s">
        <v>539</v>
      </c>
    </row>
    <row r="35" spans="1:12">
      <c r="A35" s="37">
        <v>221</v>
      </c>
      <c r="B35" s="52" t="s">
        <v>26</v>
      </c>
      <c r="C35" s="53">
        <v>12385</v>
      </c>
      <c r="D35" s="54">
        <v>45689</v>
      </c>
      <c r="E35" s="54">
        <v>45716</v>
      </c>
      <c r="F35" s="59" t="s">
        <v>11</v>
      </c>
      <c r="G35" s="55">
        <v>0.01</v>
      </c>
      <c r="H35" s="56">
        <v>5.0000000000000001E-3</v>
      </c>
      <c r="I35" s="53" t="s">
        <v>46</v>
      </c>
      <c r="J35" s="54">
        <v>45699</v>
      </c>
      <c r="K35" s="57" t="s">
        <v>538</v>
      </c>
      <c r="L35" s="58" t="s">
        <v>128</v>
      </c>
    </row>
    <row r="36" spans="1:12" ht="25.5">
      <c r="A36" s="37">
        <v>222</v>
      </c>
      <c r="B36" s="52" t="s">
        <v>26</v>
      </c>
      <c r="C36" s="53">
        <v>4336</v>
      </c>
      <c r="D36" s="54">
        <v>45689</v>
      </c>
      <c r="E36" s="54">
        <v>45716</v>
      </c>
      <c r="F36" s="59" t="s">
        <v>11</v>
      </c>
      <c r="G36" s="55">
        <v>70000</v>
      </c>
      <c r="H36" s="56">
        <v>2E-3</v>
      </c>
      <c r="I36" s="53" t="s">
        <v>18</v>
      </c>
      <c r="J36" s="54">
        <v>45698</v>
      </c>
      <c r="K36" s="57" t="s">
        <v>541</v>
      </c>
      <c r="L36" s="58" t="s">
        <v>853</v>
      </c>
    </row>
    <row r="37" spans="1:12">
      <c r="A37" s="37">
        <v>223</v>
      </c>
      <c r="B37" s="52" t="s">
        <v>26</v>
      </c>
      <c r="C37" s="53">
        <v>16239</v>
      </c>
      <c r="D37" s="54">
        <v>45689</v>
      </c>
      <c r="E37" s="54">
        <v>45716</v>
      </c>
      <c r="F37" s="59" t="s">
        <v>11</v>
      </c>
      <c r="G37" s="55">
        <v>0.01</v>
      </c>
      <c r="H37" s="56">
        <v>5.0000000000000001E-3</v>
      </c>
      <c r="I37" s="53" t="s">
        <v>16</v>
      </c>
      <c r="J37" s="54">
        <v>45699</v>
      </c>
      <c r="K37" s="57" t="s">
        <v>542</v>
      </c>
      <c r="L37" s="58" t="s">
        <v>137</v>
      </c>
    </row>
    <row r="38" spans="1:12">
      <c r="A38" s="37">
        <v>224</v>
      </c>
      <c r="B38" s="52" t="s">
        <v>26</v>
      </c>
      <c r="C38" s="53">
        <v>13929</v>
      </c>
      <c r="D38" s="54">
        <v>45689</v>
      </c>
      <c r="E38" s="54">
        <v>45716</v>
      </c>
      <c r="F38" s="59" t="s">
        <v>11</v>
      </c>
      <c r="G38" s="55">
        <v>150000</v>
      </c>
      <c r="H38" s="56">
        <v>2.5000000000000001E-3</v>
      </c>
      <c r="I38" s="53" t="s">
        <v>20</v>
      </c>
      <c r="J38" s="54">
        <v>45699</v>
      </c>
      <c r="K38" s="57" t="s">
        <v>543</v>
      </c>
      <c r="L38" s="58" t="s">
        <v>854</v>
      </c>
    </row>
    <row r="39" spans="1:12">
      <c r="A39" s="37">
        <v>225</v>
      </c>
      <c r="B39" s="52" t="s">
        <v>26</v>
      </c>
      <c r="C39" s="53">
        <v>14154</v>
      </c>
      <c r="D39" s="54">
        <v>45689</v>
      </c>
      <c r="E39" s="54">
        <v>45716</v>
      </c>
      <c r="F39" s="59" t="s">
        <v>11</v>
      </c>
      <c r="G39" s="55">
        <v>150000</v>
      </c>
      <c r="H39" s="56">
        <v>1.5E-3</v>
      </c>
      <c r="I39" s="53" t="s">
        <v>20</v>
      </c>
      <c r="J39" s="54">
        <v>45699</v>
      </c>
      <c r="K39" s="57" t="s">
        <v>547</v>
      </c>
      <c r="L39" s="58" t="s">
        <v>548</v>
      </c>
    </row>
    <row r="40" spans="1:12">
      <c r="A40" s="37">
        <v>226</v>
      </c>
      <c r="B40" s="52" t="s">
        <v>26</v>
      </c>
      <c r="C40" s="53">
        <v>4346</v>
      </c>
      <c r="D40" s="54">
        <v>45689</v>
      </c>
      <c r="E40" s="54">
        <v>45716</v>
      </c>
      <c r="F40" s="59" t="s">
        <v>11</v>
      </c>
      <c r="G40" s="55">
        <v>0.01</v>
      </c>
      <c r="H40" s="56">
        <v>2.5000000000000001E-3</v>
      </c>
      <c r="I40" s="53" t="s">
        <v>19</v>
      </c>
      <c r="J40" s="54">
        <v>45700</v>
      </c>
      <c r="K40" s="57" t="s">
        <v>556</v>
      </c>
      <c r="L40" s="58" t="s">
        <v>128</v>
      </c>
    </row>
    <row r="41" spans="1:12">
      <c r="A41" s="37">
        <v>227</v>
      </c>
      <c r="B41" s="52" t="s">
        <v>26</v>
      </c>
      <c r="C41" s="53">
        <v>12378</v>
      </c>
      <c r="D41" s="54">
        <v>45692</v>
      </c>
      <c r="E41" s="54">
        <v>45716</v>
      </c>
      <c r="F41" s="59" t="s">
        <v>11</v>
      </c>
      <c r="G41" s="55">
        <v>0.01</v>
      </c>
      <c r="H41" s="53">
        <v>5.0000000000000001E-3</v>
      </c>
      <c r="I41" s="53" t="s">
        <v>32</v>
      </c>
      <c r="J41" s="54">
        <v>45701</v>
      </c>
      <c r="K41" s="57" t="s">
        <v>558</v>
      </c>
      <c r="L41" s="58" t="s">
        <v>128</v>
      </c>
    </row>
    <row r="42" spans="1:12">
      <c r="A42" s="37">
        <v>228</v>
      </c>
      <c r="B42" s="52" t="s">
        <v>26</v>
      </c>
      <c r="C42" s="53">
        <v>12105</v>
      </c>
      <c r="D42" s="54">
        <v>45689</v>
      </c>
      <c r="E42" s="54">
        <v>45716</v>
      </c>
      <c r="F42" s="53" t="s">
        <v>11</v>
      </c>
      <c r="G42" s="55">
        <v>0.01</v>
      </c>
      <c r="H42" s="56">
        <v>1.5E-3</v>
      </c>
      <c r="I42" s="53" t="s">
        <v>19</v>
      </c>
      <c r="J42" s="54">
        <v>45701</v>
      </c>
      <c r="K42" s="57" t="s">
        <v>563</v>
      </c>
      <c r="L42" s="58" t="s">
        <v>128</v>
      </c>
    </row>
    <row r="43" spans="1:12">
      <c r="A43" s="37">
        <v>229</v>
      </c>
      <c r="B43" s="52" t="s">
        <v>26</v>
      </c>
      <c r="C43" s="53">
        <v>11009</v>
      </c>
      <c r="D43" s="54">
        <v>45689</v>
      </c>
      <c r="E43" s="54">
        <v>45716</v>
      </c>
      <c r="F43" s="59" t="s">
        <v>11</v>
      </c>
      <c r="G43" s="55">
        <v>0.01</v>
      </c>
      <c r="H43" s="56">
        <v>1.5E-3</v>
      </c>
      <c r="I43" s="53" t="s">
        <v>19</v>
      </c>
      <c r="J43" s="54">
        <v>45701</v>
      </c>
      <c r="K43" s="57" t="s">
        <v>564</v>
      </c>
      <c r="L43" s="64" t="s">
        <v>855</v>
      </c>
    </row>
    <row r="44" spans="1:12">
      <c r="A44" s="37">
        <v>230</v>
      </c>
      <c r="B44" s="52" t="s">
        <v>26</v>
      </c>
      <c r="C44" s="53">
        <v>13900</v>
      </c>
      <c r="D44" s="54">
        <v>45689</v>
      </c>
      <c r="E44" s="54">
        <v>45716</v>
      </c>
      <c r="F44" s="59" t="s">
        <v>11</v>
      </c>
      <c r="G44" s="55">
        <v>0.01</v>
      </c>
      <c r="H44" s="56">
        <v>1E-3</v>
      </c>
      <c r="I44" s="53" t="s">
        <v>14</v>
      </c>
      <c r="J44" s="54">
        <v>45700</v>
      </c>
      <c r="K44" s="57" t="s">
        <v>565</v>
      </c>
      <c r="L44" s="64" t="s">
        <v>162</v>
      </c>
    </row>
    <row r="45" spans="1:12">
      <c r="A45" s="37">
        <v>232</v>
      </c>
      <c r="B45" s="52" t="s">
        <v>26</v>
      </c>
      <c r="C45" s="53" t="s">
        <v>755</v>
      </c>
      <c r="D45" s="54">
        <v>45689</v>
      </c>
      <c r="E45" s="54">
        <v>45716</v>
      </c>
      <c r="F45" s="59" t="s">
        <v>11</v>
      </c>
      <c r="G45" s="55">
        <v>0.01</v>
      </c>
      <c r="H45" s="56">
        <v>0.01</v>
      </c>
      <c r="I45" s="53" t="s">
        <v>168</v>
      </c>
      <c r="J45" s="54">
        <v>45700</v>
      </c>
      <c r="K45" s="57" t="s">
        <v>567</v>
      </c>
      <c r="L45" s="58" t="s">
        <v>752</v>
      </c>
    </row>
    <row r="46" spans="1:12">
      <c r="A46" s="37">
        <v>233</v>
      </c>
      <c r="B46" s="52" t="s">
        <v>26</v>
      </c>
      <c r="C46" s="53">
        <v>13450</v>
      </c>
      <c r="D46" s="54">
        <v>45689</v>
      </c>
      <c r="E46" s="54">
        <v>45716</v>
      </c>
      <c r="F46" s="59" t="s">
        <v>11</v>
      </c>
      <c r="G46" s="55">
        <v>0.01</v>
      </c>
      <c r="H46" s="56">
        <v>7.4999999999999997E-3</v>
      </c>
      <c r="I46" s="53" t="s">
        <v>15</v>
      </c>
      <c r="J46" s="54">
        <v>45701</v>
      </c>
      <c r="K46" s="57" t="s">
        <v>577</v>
      </c>
      <c r="L46" s="58" t="s">
        <v>137</v>
      </c>
    </row>
    <row r="47" spans="1:12">
      <c r="A47" s="37">
        <v>234</v>
      </c>
      <c r="B47" s="52" t="s">
        <v>26</v>
      </c>
      <c r="C47" s="53">
        <v>16250</v>
      </c>
      <c r="D47" s="54">
        <v>45689</v>
      </c>
      <c r="E47" s="54">
        <v>45716</v>
      </c>
      <c r="F47" s="59" t="s">
        <v>11</v>
      </c>
      <c r="G47" s="55">
        <v>0.01</v>
      </c>
      <c r="H47" s="56">
        <v>5.0000000000000001E-3</v>
      </c>
      <c r="I47" s="53" t="s">
        <v>15</v>
      </c>
      <c r="J47" s="54">
        <v>45701</v>
      </c>
      <c r="K47" s="57" t="s">
        <v>580</v>
      </c>
      <c r="L47" s="58" t="s">
        <v>162</v>
      </c>
    </row>
    <row r="48" spans="1:12">
      <c r="A48" s="37">
        <v>235</v>
      </c>
      <c r="B48" s="52" t="s">
        <v>26</v>
      </c>
      <c r="C48" s="53">
        <v>15730</v>
      </c>
      <c r="D48" s="54">
        <v>45689</v>
      </c>
      <c r="E48" s="54">
        <v>45716</v>
      </c>
      <c r="F48" s="59" t="s">
        <v>11</v>
      </c>
      <c r="G48" s="55">
        <v>200000</v>
      </c>
      <c r="H48" s="56">
        <v>2.5000000000000001E-3</v>
      </c>
      <c r="I48" s="53" t="s">
        <v>13</v>
      </c>
      <c r="J48" s="54">
        <v>45701</v>
      </c>
      <c r="K48" s="57" t="s">
        <v>585</v>
      </c>
      <c r="L48" s="63" t="s">
        <v>137</v>
      </c>
    </row>
    <row r="49" spans="1:12">
      <c r="A49" s="37">
        <v>236</v>
      </c>
      <c r="B49" s="52" t="s">
        <v>26</v>
      </c>
      <c r="C49" s="53">
        <v>15730</v>
      </c>
      <c r="D49" s="54">
        <v>45689</v>
      </c>
      <c r="E49" s="54">
        <v>45716</v>
      </c>
      <c r="F49" s="59" t="s">
        <v>11</v>
      </c>
      <c r="G49" s="55">
        <v>300000</v>
      </c>
      <c r="H49" s="56">
        <v>3.0000000000000001E-3</v>
      </c>
      <c r="I49" s="53" t="s">
        <v>13</v>
      </c>
      <c r="J49" s="54">
        <v>45701</v>
      </c>
      <c r="K49" s="57" t="s">
        <v>585</v>
      </c>
      <c r="L49" s="63" t="s">
        <v>137</v>
      </c>
    </row>
    <row r="50" spans="1:12">
      <c r="A50" s="37">
        <v>237</v>
      </c>
      <c r="B50" s="52" t="s">
        <v>26</v>
      </c>
      <c r="C50" s="53">
        <v>15730</v>
      </c>
      <c r="D50" s="54">
        <v>45689</v>
      </c>
      <c r="E50" s="54">
        <v>45716</v>
      </c>
      <c r="F50" s="59" t="s">
        <v>11</v>
      </c>
      <c r="G50" s="55">
        <v>400000</v>
      </c>
      <c r="H50" s="56">
        <v>4.0000000000000001E-3</v>
      </c>
      <c r="I50" s="53" t="s">
        <v>13</v>
      </c>
      <c r="J50" s="54">
        <v>45701</v>
      </c>
      <c r="K50" s="57" t="s">
        <v>585</v>
      </c>
      <c r="L50" s="63" t="s">
        <v>137</v>
      </c>
    </row>
    <row r="51" spans="1:12">
      <c r="A51" s="37">
        <v>238</v>
      </c>
      <c r="B51" s="52" t="s">
        <v>26</v>
      </c>
      <c r="C51" s="53">
        <v>15730</v>
      </c>
      <c r="D51" s="54">
        <v>45689</v>
      </c>
      <c r="E51" s="54">
        <v>45716</v>
      </c>
      <c r="F51" s="59" t="s">
        <v>11</v>
      </c>
      <c r="G51" s="55">
        <v>500000</v>
      </c>
      <c r="H51" s="56">
        <v>5.0000000000000001E-3</v>
      </c>
      <c r="I51" s="53" t="s">
        <v>13</v>
      </c>
      <c r="J51" s="54">
        <v>45701</v>
      </c>
      <c r="K51" s="57" t="s">
        <v>585</v>
      </c>
      <c r="L51" s="63" t="s">
        <v>137</v>
      </c>
    </row>
    <row r="52" spans="1:12">
      <c r="A52" s="37">
        <v>239</v>
      </c>
      <c r="B52" s="52" t="s">
        <v>26</v>
      </c>
      <c r="C52" s="53">
        <v>14826</v>
      </c>
      <c r="D52" s="54">
        <v>45689</v>
      </c>
      <c r="E52" s="54">
        <v>45716</v>
      </c>
      <c r="F52" s="59" t="s">
        <v>11</v>
      </c>
      <c r="G52" s="55">
        <v>1000</v>
      </c>
      <c r="H52" s="56">
        <v>5.0000000000000001E-3</v>
      </c>
      <c r="I52" s="53" t="s">
        <v>53</v>
      </c>
      <c r="J52" s="54">
        <v>45702</v>
      </c>
      <c r="K52" s="57" t="s">
        <v>588</v>
      </c>
      <c r="L52" s="64" t="s">
        <v>162</v>
      </c>
    </row>
    <row r="53" spans="1:12">
      <c r="A53" s="37">
        <v>240</v>
      </c>
      <c r="B53" s="52" t="s">
        <v>26</v>
      </c>
      <c r="C53" s="53">
        <v>11545</v>
      </c>
      <c r="D53" s="54">
        <v>45689</v>
      </c>
      <c r="E53" s="54">
        <v>45716</v>
      </c>
      <c r="F53" s="59" t="s">
        <v>11</v>
      </c>
      <c r="G53" s="55">
        <v>1000</v>
      </c>
      <c r="H53" s="56">
        <v>7.4999999999999997E-3</v>
      </c>
      <c r="I53" s="53" t="s">
        <v>27</v>
      </c>
      <c r="J53" s="54">
        <v>45702</v>
      </c>
      <c r="K53" s="57" t="s">
        <v>592</v>
      </c>
      <c r="L53" s="63" t="s">
        <v>128</v>
      </c>
    </row>
    <row r="54" spans="1:12">
      <c r="A54" s="37">
        <v>241</v>
      </c>
      <c r="B54" s="52" t="s">
        <v>26</v>
      </c>
      <c r="C54" s="53">
        <v>13977</v>
      </c>
      <c r="D54" s="54">
        <v>45689</v>
      </c>
      <c r="E54" s="54">
        <v>45716</v>
      </c>
      <c r="F54" s="59" t="s">
        <v>11</v>
      </c>
      <c r="G54" s="55">
        <v>100</v>
      </c>
      <c r="H54" s="56">
        <v>1.5E-3</v>
      </c>
      <c r="I54" s="53" t="s">
        <v>49</v>
      </c>
      <c r="J54" s="54">
        <v>45702</v>
      </c>
      <c r="K54" s="57" t="s">
        <v>552</v>
      </c>
      <c r="L54" s="63" t="s">
        <v>162</v>
      </c>
    </row>
    <row r="55" spans="1:12">
      <c r="A55" s="37">
        <v>242</v>
      </c>
      <c r="B55" s="52" t="s">
        <v>26</v>
      </c>
      <c r="C55" s="53">
        <v>13977</v>
      </c>
      <c r="D55" s="54">
        <v>45689</v>
      </c>
      <c r="E55" s="54">
        <v>45716</v>
      </c>
      <c r="F55" s="59" t="s">
        <v>11</v>
      </c>
      <c r="G55" s="55">
        <v>100</v>
      </c>
      <c r="H55" s="56">
        <v>5.0000000000000001E-3</v>
      </c>
      <c r="I55" s="53" t="s">
        <v>49</v>
      </c>
      <c r="J55" s="54">
        <v>45702</v>
      </c>
      <c r="K55" s="57" t="s">
        <v>552</v>
      </c>
      <c r="L55" s="63" t="s">
        <v>593</v>
      </c>
    </row>
    <row r="56" spans="1:12">
      <c r="A56" s="37">
        <v>243</v>
      </c>
      <c r="B56" s="52" t="s">
        <v>26</v>
      </c>
      <c r="C56" s="53">
        <v>15421</v>
      </c>
      <c r="D56" s="54">
        <v>45689</v>
      </c>
      <c r="E56" s="54">
        <v>45716</v>
      </c>
      <c r="F56" s="59" t="s">
        <v>11</v>
      </c>
      <c r="G56" s="55">
        <v>0.01</v>
      </c>
      <c r="H56" s="56">
        <v>3.0000000000000001E-3</v>
      </c>
      <c r="I56" s="53" t="s">
        <v>95</v>
      </c>
      <c r="J56" s="54">
        <v>45702</v>
      </c>
      <c r="K56" s="57" t="s">
        <v>597</v>
      </c>
      <c r="L56" s="63" t="s">
        <v>162</v>
      </c>
    </row>
    <row r="57" spans="1:12">
      <c r="A57" s="37">
        <v>244</v>
      </c>
      <c r="B57" s="52" t="s">
        <v>26</v>
      </c>
      <c r="C57" s="53">
        <v>15564</v>
      </c>
      <c r="D57" s="54">
        <v>45689</v>
      </c>
      <c r="E57" s="54">
        <v>45716</v>
      </c>
      <c r="F57" s="59" t="s">
        <v>11</v>
      </c>
      <c r="G57" s="55">
        <v>0.01</v>
      </c>
      <c r="H57" s="56">
        <v>3.0000000000000001E-3</v>
      </c>
      <c r="I57" s="53" t="s">
        <v>95</v>
      </c>
      <c r="J57" s="54">
        <v>45702</v>
      </c>
      <c r="K57" s="57" t="s">
        <v>598</v>
      </c>
      <c r="L57" s="63" t="s">
        <v>162</v>
      </c>
    </row>
    <row r="58" spans="1:12">
      <c r="A58" s="37">
        <v>245</v>
      </c>
      <c r="B58" s="52" t="s">
        <v>26</v>
      </c>
      <c r="C58" s="53">
        <v>13932</v>
      </c>
      <c r="D58" s="54">
        <v>45689</v>
      </c>
      <c r="E58" s="54">
        <v>45716</v>
      </c>
      <c r="F58" s="59" t="s">
        <v>11</v>
      </c>
      <c r="G58" s="55">
        <v>0.01</v>
      </c>
      <c r="H58" s="56">
        <v>3.0000000000000001E-3</v>
      </c>
      <c r="I58" s="53" t="s">
        <v>95</v>
      </c>
      <c r="J58" s="54">
        <v>45702</v>
      </c>
      <c r="K58" s="57" t="s">
        <v>599</v>
      </c>
      <c r="L58" s="63" t="s">
        <v>162</v>
      </c>
    </row>
    <row r="59" spans="1:12">
      <c r="A59" s="37">
        <v>246</v>
      </c>
      <c r="B59" s="52" t="s">
        <v>26</v>
      </c>
      <c r="C59" s="53">
        <v>13718</v>
      </c>
      <c r="D59" s="54">
        <v>45689</v>
      </c>
      <c r="E59" s="54">
        <v>45716</v>
      </c>
      <c r="F59" s="59" t="s">
        <v>11</v>
      </c>
      <c r="G59" s="55">
        <v>0.01</v>
      </c>
      <c r="H59" s="56">
        <v>3.5000000000000003E-2</v>
      </c>
      <c r="I59" s="53" t="s">
        <v>32</v>
      </c>
      <c r="J59" s="54">
        <v>45702</v>
      </c>
      <c r="K59" s="57" t="s">
        <v>600</v>
      </c>
      <c r="L59" s="63" t="s">
        <v>601</v>
      </c>
    </row>
    <row r="60" spans="1:12">
      <c r="A60" s="37">
        <v>247</v>
      </c>
      <c r="B60" s="52" t="s">
        <v>26</v>
      </c>
      <c r="C60" s="53">
        <v>16848</v>
      </c>
      <c r="D60" s="54">
        <v>45689</v>
      </c>
      <c r="E60" s="54">
        <v>45716</v>
      </c>
      <c r="F60" s="59" t="s">
        <v>11</v>
      </c>
      <c r="G60" s="55">
        <v>0.01</v>
      </c>
      <c r="H60" s="56">
        <v>3.0000000000000001E-3</v>
      </c>
      <c r="I60" s="53" t="s">
        <v>95</v>
      </c>
      <c r="J60" s="54">
        <v>45702</v>
      </c>
      <c r="K60" s="57" t="s">
        <v>602</v>
      </c>
      <c r="L60" s="58" t="s">
        <v>162</v>
      </c>
    </row>
    <row r="61" spans="1:12">
      <c r="A61" s="37">
        <v>248</v>
      </c>
      <c r="B61" s="52" t="s">
        <v>26</v>
      </c>
      <c r="C61" s="53">
        <v>16783</v>
      </c>
      <c r="D61" s="54">
        <v>45689</v>
      </c>
      <c r="E61" s="54">
        <v>45716</v>
      </c>
      <c r="F61" s="59" t="s">
        <v>11</v>
      </c>
      <c r="G61" s="55">
        <v>0.01</v>
      </c>
      <c r="H61" s="56">
        <v>3.0000000000000001E-3</v>
      </c>
      <c r="I61" s="53" t="s">
        <v>95</v>
      </c>
      <c r="J61" s="54">
        <v>45702</v>
      </c>
      <c r="K61" s="57" t="s">
        <v>603</v>
      </c>
      <c r="L61" s="63" t="s">
        <v>162</v>
      </c>
    </row>
    <row r="62" spans="1:12">
      <c r="A62" s="37">
        <v>249</v>
      </c>
      <c r="B62" s="52" t="s">
        <v>26</v>
      </c>
      <c r="C62" s="53">
        <v>9580</v>
      </c>
      <c r="D62" s="54">
        <v>45689</v>
      </c>
      <c r="E62" s="54">
        <v>45716</v>
      </c>
      <c r="F62" s="59" t="s">
        <v>11</v>
      </c>
      <c r="G62" s="55">
        <v>0.01</v>
      </c>
      <c r="H62" s="56">
        <v>3.0000000000000001E-3</v>
      </c>
      <c r="I62" s="53" t="s">
        <v>95</v>
      </c>
      <c r="J62" s="54">
        <v>45702</v>
      </c>
      <c r="K62" s="57" t="s">
        <v>604</v>
      </c>
      <c r="L62" s="63" t="s">
        <v>162</v>
      </c>
    </row>
    <row r="63" spans="1:12">
      <c r="A63" s="37">
        <v>250</v>
      </c>
      <c r="B63" s="52" t="s">
        <v>26</v>
      </c>
      <c r="C63" s="53">
        <v>15086</v>
      </c>
      <c r="D63" s="54">
        <v>45689</v>
      </c>
      <c r="E63" s="54">
        <v>45716</v>
      </c>
      <c r="F63" s="59" t="s">
        <v>11</v>
      </c>
      <c r="G63" s="55">
        <v>1000</v>
      </c>
      <c r="H63" s="56">
        <v>5.0000000000000001E-3</v>
      </c>
      <c r="I63" s="53" t="s">
        <v>27</v>
      </c>
      <c r="J63" s="54">
        <v>45702</v>
      </c>
      <c r="K63" s="57" t="s">
        <v>605</v>
      </c>
      <c r="L63" s="63" t="s">
        <v>137</v>
      </c>
    </row>
    <row r="64" spans="1:12">
      <c r="A64" s="37">
        <v>251</v>
      </c>
      <c r="B64" s="52" t="s">
        <v>26</v>
      </c>
      <c r="C64" s="53">
        <v>16892</v>
      </c>
      <c r="D64" s="54">
        <v>45689</v>
      </c>
      <c r="E64" s="54">
        <v>45716</v>
      </c>
      <c r="F64" s="59" t="s">
        <v>11</v>
      </c>
      <c r="G64" s="55">
        <v>0.01</v>
      </c>
      <c r="H64" s="56">
        <v>3.0000000000000001E-3</v>
      </c>
      <c r="I64" s="53" t="s">
        <v>19</v>
      </c>
      <c r="J64" s="54">
        <v>45702</v>
      </c>
      <c r="K64" s="57" t="s">
        <v>606</v>
      </c>
      <c r="L64" s="63" t="s">
        <v>162</v>
      </c>
    </row>
    <row r="65" spans="1:12">
      <c r="A65" s="37">
        <v>252</v>
      </c>
      <c r="B65" s="52" t="s">
        <v>26</v>
      </c>
      <c r="C65" s="53">
        <v>15632</v>
      </c>
      <c r="D65" s="54">
        <v>45689</v>
      </c>
      <c r="E65" s="54">
        <v>45716</v>
      </c>
      <c r="F65" s="59" t="s">
        <v>11</v>
      </c>
      <c r="G65" s="55">
        <v>0.01</v>
      </c>
      <c r="H65" s="56">
        <v>3.0000000000000001E-3</v>
      </c>
      <c r="I65" s="53" t="s">
        <v>19</v>
      </c>
      <c r="J65" s="54">
        <v>45702</v>
      </c>
      <c r="K65" s="57" t="s">
        <v>607</v>
      </c>
      <c r="L65" s="63" t="s">
        <v>162</v>
      </c>
    </row>
    <row r="66" spans="1:12">
      <c r="A66" s="37">
        <v>253</v>
      </c>
      <c r="B66" s="52" t="s">
        <v>26</v>
      </c>
      <c r="C66" s="53">
        <v>12732</v>
      </c>
      <c r="D66" s="54">
        <v>45659</v>
      </c>
      <c r="E66" s="54">
        <v>45716</v>
      </c>
      <c r="F66" s="59" t="s">
        <v>11</v>
      </c>
      <c r="G66" s="55">
        <v>0.01</v>
      </c>
      <c r="H66" s="56">
        <v>5.0000000000000001E-3</v>
      </c>
      <c r="I66" s="53" t="s">
        <v>29</v>
      </c>
      <c r="J66" s="54">
        <v>45702</v>
      </c>
      <c r="K66" s="57" t="s">
        <v>608</v>
      </c>
      <c r="L66" s="63" t="s">
        <v>162</v>
      </c>
    </row>
    <row r="67" spans="1:12" ht="26.25">
      <c r="A67" s="37">
        <v>254</v>
      </c>
      <c r="B67" s="52" t="s">
        <v>26</v>
      </c>
      <c r="C67" s="53">
        <v>6425</v>
      </c>
      <c r="D67" s="54">
        <v>45689</v>
      </c>
      <c r="E67" s="54">
        <v>45716</v>
      </c>
      <c r="F67" s="59" t="s">
        <v>11</v>
      </c>
      <c r="G67" s="55">
        <v>180000</v>
      </c>
      <c r="H67" s="56">
        <v>5.0000000000000001E-3</v>
      </c>
      <c r="I67" s="53" t="s">
        <v>39</v>
      </c>
      <c r="J67" s="54">
        <v>45702</v>
      </c>
      <c r="K67" s="57" t="s">
        <v>614</v>
      </c>
      <c r="L67" s="63" t="s">
        <v>615</v>
      </c>
    </row>
    <row r="68" spans="1:12">
      <c r="A68" s="37">
        <v>255</v>
      </c>
      <c r="B68" s="52" t="s">
        <v>26</v>
      </c>
      <c r="C68" s="53">
        <v>14011</v>
      </c>
      <c r="D68" s="54">
        <v>45689</v>
      </c>
      <c r="E68" s="54">
        <v>45716</v>
      </c>
      <c r="F68" s="59" t="s">
        <v>11</v>
      </c>
      <c r="G68" s="55">
        <v>0.01</v>
      </c>
      <c r="H68" s="56">
        <v>5.0000000000000001E-3</v>
      </c>
      <c r="I68" s="53" t="s">
        <v>95</v>
      </c>
      <c r="J68" s="54">
        <v>45702</v>
      </c>
      <c r="K68" s="57" t="s">
        <v>616</v>
      </c>
      <c r="L68" s="63" t="s">
        <v>76</v>
      </c>
    </row>
    <row r="69" spans="1:12">
      <c r="A69" s="37">
        <v>256</v>
      </c>
      <c r="B69" s="52" t="s">
        <v>26</v>
      </c>
      <c r="C69" s="53">
        <v>15304</v>
      </c>
      <c r="D69" s="54">
        <v>45689</v>
      </c>
      <c r="E69" s="54">
        <v>45716</v>
      </c>
      <c r="F69" s="59" t="s">
        <v>11</v>
      </c>
      <c r="G69" s="55">
        <v>0.01</v>
      </c>
      <c r="H69" s="56">
        <v>2.5000000000000001E-3</v>
      </c>
      <c r="I69" s="53" t="s">
        <v>32</v>
      </c>
      <c r="J69" s="54">
        <v>45703</v>
      </c>
      <c r="K69" s="57" t="s">
        <v>618</v>
      </c>
      <c r="L69" s="63" t="s">
        <v>182</v>
      </c>
    </row>
    <row r="70" spans="1:12">
      <c r="A70" s="37">
        <v>257</v>
      </c>
      <c r="B70" s="52" t="s">
        <v>26</v>
      </c>
      <c r="C70" s="53">
        <v>9248</v>
      </c>
      <c r="D70" s="54">
        <v>45689</v>
      </c>
      <c r="E70" s="54">
        <v>45716</v>
      </c>
      <c r="F70" s="59" t="s">
        <v>11</v>
      </c>
      <c r="G70" s="55">
        <v>0.01</v>
      </c>
      <c r="H70" s="56">
        <v>2.5000000000000001E-3</v>
      </c>
      <c r="I70" s="53" t="s">
        <v>20</v>
      </c>
      <c r="J70" s="54">
        <v>45703</v>
      </c>
      <c r="K70" s="57" t="s">
        <v>317</v>
      </c>
      <c r="L70" s="63" t="s">
        <v>621</v>
      </c>
    </row>
    <row r="71" spans="1:12">
      <c r="A71" s="37">
        <v>258</v>
      </c>
      <c r="B71" s="52" t="s">
        <v>26</v>
      </c>
      <c r="C71" s="53">
        <v>16238</v>
      </c>
      <c r="D71" s="54">
        <v>45689</v>
      </c>
      <c r="E71" s="54">
        <v>45716</v>
      </c>
      <c r="F71" s="59" t="s">
        <v>11</v>
      </c>
      <c r="G71" s="55">
        <v>0.01</v>
      </c>
      <c r="H71" s="56">
        <v>1.4999999999999999E-2</v>
      </c>
      <c r="I71" s="53" t="s">
        <v>19</v>
      </c>
      <c r="J71" s="54">
        <v>45703</v>
      </c>
      <c r="K71" s="57" t="s">
        <v>622</v>
      </c>
      <c r="L71" s="63" t="s">
        <v>623</v>
      </c>
    </row>
    <row r="72" spans="1:12">
      <c r="A72" s="37">
        <v>259</v>
      </c>
      <c r="B72" s="52" t="s">
        <v>26</v>
      </c>
      <c r="C72" s="53">
        <v>13910</v>
      </c>
      <c r="D72" s="54">
        <v>45689</v>
      </c>
      <c r="E72" s="54">
        <v>45716</v>
      </c>
      <c r="F72" s="59" t="s">
        <v>11</v>
      </c>
      <c r="G72" s="55">
        <v>0.01</v>
      </c>
      <c r="H72" s="56">
        <v>2.5000000000000001E-3</v>
      </c>
      <c r="I72" s="53" t="s">
        <v>20</v>
      </c>
      <c r="J72" s="54">
        <v>45703</v>
      </c>
      <c r="K72" s="57" t="s">
        <v>624</v>
      </c>
      <c r="L72" s="63" t="s">
        <v>76</v>
      </c>
    </row>
    <row r="73" spans="1:12">
      <c r="A73" s="37">
        <v>260</v>
      </c>
      <c r="B73" s="52" t="s">
        <v>26</v>
      </c>
      <c r="C73" s="53" t="s">
        <v>787</v>
      </c>
      <c r="D73" s="54">
        <v>45689</v>
      </c>
      <c r="E73" s="54">
        <v>45716</v>
      </c>
      <c r="F73" s="59" t="s">
        <v>11</v>
      </c>
      <c r="G73" s="55">
        <v>200000</v>
      </c>
      <c r="H73" s="56">
        <v>2.5000000000000001E-3</v>
      </c>
      <c r="I73" s="53" t="s">
        <v>20</v>
      </c>
      <c r="J73" s="54">
        <v>45703</v>
      </c>
      <c r="K73" s="57" t="s">
        <v>625</v>
      </c>
      <c r="L73" s="63" t="s">
        <v>856</v>
      </c>
    </row>
    <row r="74" spans="1:12">
      <c r="A74" s="37">
        <v>261</v>
      </c>
      <c r="B74" s="52" t="s">
        <v>26</v>
      </c>
      <c r="C74" s="53">
        <v>14003</v>
      </c>
      <c r="D74" s="54">
        <v>45689</v>
      </c>
      <c r="E74" s="54">
        <v>45716</v>
      </c>
      <c r="F74" s="59" t="s">
        <v>11</v>
      </c>
      <c r="G74" s="55">
        <v>200000</v>
      </c>
      <c r="H74" s="56">
        <v>3.0000000000000001E-3</v>
      </c>
      <c r="I74" s="53" t="s">
        <v>20</v>
      </c>
      <c r="J74" s="54">
        <v>45703</v>
      </c>
      <c r="K74" s="57" t="s">
        <v>626</v>
      </c>
      <c r="L74" s="63" t="s">
        <v>76</v>
      </c>
    </row>
    <row r="75" spans="1:12" ht="64.5">
      <c r="A75" s="37">
        <v>262</v>
      </c>
      <c r="B75" s="52" t="s">
        <v>26</v>
      </c>
      <c r="C75" s="53">
        <v>9971</v>
      </c>
      <c r="D75" s="54">
        <v>45689</v>
      </c>
      <c r="E75" s="54">
        <v>45716</v>
      </c>
      <c r="F75" s="59" t="s">
        <v>11</v>
      </c>
      <c r="G75" s="55">
        <v>350000</v>
      </c>
      <c r="H75" s="56">
        <v>3.0000000000000001E-3</v>
      </c>
      <c r="I75" s="53" t="s">
        <v>39</v>
      </c>
      <c r="J75" s="54">
        <v>45705</v>
      </c>
      <c r="K75" s="57" t="s">
        <v>630</v>
      </c>
      <c r="L75" s="63" t="s">
        <v>792</v>
      </c>
    </row>
    <row r="76" spans="1:12">
      <c r="A76" s="37">
        <v>263</v>
      </c>
      <c r="B76" s="52" t="s">
        <v>26</v>
      </c>
      <c r="C76" s="53">
        <v>3566</v>
      </c>
      <c r="D76" s="54">
        <v>45689</v>
      </c>
      <c r="E76" s="54">
        <v>45716</v>
      </c>
      <c r="F76" s="59" t="s">
        <v>11</v>
      </c>
      <c r="G76" s="55">
        <v>1000000</v>
      </c>
      <c r="H76" s="56">
        <v>2.5000000000000001E-3</v>
      </c>
      <c r="I76" s="53" t="s">
        <v>20</v>
      </c>
      <c r="J76" s="54">
        <v>45705</v>
      </c>
      <c r="K76" s="57" t="s">
        <v>631</v>
      </c>
      <c r="L76" s="63" t="s">
        <v>632</v>
      </c>
    </row>
    <row r="77" spans="1:12" ht="26.25">
      <c r="A77" s="37">
        <v>264</v>
      </c>
      <c r="B77" s="52" t="s">
        <v>26</v>
      </c>
      <c r="C77" s="53" t="s">
        <v>98</v>
      </c>
      <c r="D77" s="54">
        <v>45689</v>
      </c>
      <c r="E77" s="54">
        <v>45716</v>
      </c>
      <c r="F77" s="59" t="s">
        <v>11</v>
      </c>
      <c r="G77" s="55">
        <v>300000</v>
      </c>
      <c r="H77" s="56">
        <v>1E-3</v>
      </c>
      <c r="I77" s="53" t="s">
        <v>17</v>
      </c>
      <c r="J77" s="54">
        <v>45705</v>
      </c>
      <c r="K77" s="57" t="s">
        <v>334</v>
      </c>
      <c r="L77" s="63" t="s">
        <v>636</v>
      </c>
    </row>
    <row r="78" spans="1:12" ht="26.25">
      <c r="A78" s="37">
        <v>265</v>
      </c>
      <c r="B78" s="52" t="s">
        <v>26</v>
      </c>
      <c r="C78" s="53" t="s">
        <v>98</v>
      </c>
      <c r="D78" s="54">
        <v>45689</v>
      </c>
      <c r="E78" s="54">
        <v>45716</v>
      </c>
      <c r="F78" s="59" t="s">
        <v>11</v>
      </c>
      <c r="G78" s="55">
        <v>500000</v>
      </c>
      <c r="H78" s="56">
        <v>2E-3</v>
      </c>
      <c r="I78" s="53" t="s">
        <v>17</v>
      </c>
      <c r="J78" s="54">
        <v>45705</v>
      </c>
      <c r="K78" s="57" t="s">
        <v>334</v>
      </c>
      <c r="L78" s="63" t="s">
        <v>636</v>
      </c>
    </row>
    <row r="79" spans="1:12">
      <c r="A79" s="37">
        <v>266</v>
      </c>
      <c r="B79" s="52" t="s">
        <v>26</v>
      </c>
      <c r="C79" s="53" t="s">
        <v>209</v>
      </c>
      <c r="D79" s="54">
        <v>45689</v>
      </c>
      <c r="E79" s="54">
        <v>45716</v>
      </c>
      <c r="F79" s="59" t="s">
        <v>11</v>
      </c>
      <c r="G79" s="55">
        <v>500000</v>
      </c>
      <c r="H79" s="56">
        <v>1E-3</v>
      </c>
      <c r="I79" s="53" t="s">
        <v>17</v>
      </c>
      <c r="J79" s="54">
        <v>45705</v>
      </c>
      <c r="K79" s="57" t="s">
        <v>298</v>
      </c>
      <c r="L79" s="63" t="s">
        <v>635</v>
      </c>
    </row>
    <row r="80" spans="1:12">
      <c r="A80" s="37">
        <v>267</v>
      </c>
      <c r="B80" s="52" t="s">
        <v>26</v>
      </c>
      <c r="C80" s="53">
        <v>15292</v>
      </c>
      <c r="D80" s="54">
        <v>45689</v>
      </c>
      <c r="E80" s="54">
        <v>45716</v>
      </c>
      <c r="F80" s="59" t="s">
        <v>11</v>
      </c>
      <c r="G80" s="55">
        <v>10000</v>
      </c>
      <c r="H80" s="56">
        <v>3.0000000000000001E-3</v>
      </c>
      <c r="I80" s="53" t="s">
        <v>95</v>
      </c>
      <c r="J80" s="54">
        <v>45705</v>
      </c>
      <c r="K80" s="57" t="s">
        <v>637</v>
      </c>
      <c r="L80" s="63" t="s">
        <v>638</v>
      </c>
    </row>
    <row r="81" spans="1:12">
      <c r="A81" s="37">
        <v>268</v>
      </c>
      <c r="B81" s="52" t="s">
        <v>26</v>
      </c>
      <c r="C81" s="53" t="s">
        <v>642</v>
      </c>
      <c r="D81" s="54">
        <v>45689</v>
      </c>
      <c r="E81" s="54">
        <v>45716</v>
      </c>
      <c r="F81" s="59" t="s">
        <v>11</v>
      </c>
      <c r="G81" s="55">
        <v>500000</v>
      </c>
      <c r="H81" s="56">
        <v>1103.3</v>
      </c>
      <c r="I81" s="53" t="s">
        <v>101</v>
      </c>
      <c r="J81" s="54">
        <v>45705</v>
      </c>
      <c r="K81" s="57" t="s">
        <v>641</v>
      </c>
      <c r="L81" s="63" t="s">
        <v>786</v>
      </c>
    </row>
    <row r="82" spans="1:12">
      <c r="A82" s="37">
        <v>269</v>
      </c>
      <c r="B82" s="52" t="s">
        <v>26</v>
      </c>
      <c r="C82" s="53" t="s">
        <v>188</v>
      </c>
      <c r="D82" s="54">
        <v>45689</v>
      </c>
      <c r="E82" s="54">
        <v>45716</v>
      </c>
      <c r="F82" s="59" t="s">
        <v>11</v>
      </c>
      <c r="G82" s="55">
        <v>900000</v>
      </c>
      <c r="H82" s="56">
        <v>1.5E-3</v>
      </c>
      <c r="I82" s="53" t="s">
        <v>17</v>
      </c>
      <c r="J82" s="54">
        <v>45705</v>
      </c>
      <c r="K82" s="57" t="s">
        <v>643</v>
      </c>
      <c r="L82" s="63" t="s">
        <v>644</v>
      </c>
    </row>
    <row r="83" spans="1:12">
      <c r="A83" s="37">
        <v>270</v>
      </c>
      <c r="B83" s="52" t="s">
        <v>26</v>
      </c>
      <c r="C83" s="53">
        <v>7274</v>
      </c>
      <c r="D83" s="54">
        <v>45705</v>
      </c>
      <c r="E83" s="54">
        <v>45716</v>
      </c>
      <c r="F83" s="59" t="s">
        <v>11</v>
      </c>
      <c r="G83" s="55">
        <v>0.01</v>
      </c>
      <c r="H83" s="56">
        <v>7.4999999999999997E-3</v>
      </c>
      <c r="I83" s="53" t="s">
        <v>30</v>
      </c>
      <c r="J83" s="54">
        <v>45705</v>
      </c>
      <c r="K83" s="57" t="s">
        <v>649</v>
      </c>
      <c r="L83" s="63" t="s">
        <v>128</v>
      </c>
    </row>
    <row r="84" spans="1:12" ht="64.5">
      <c r="A84" s="37">
        <v>271</v>
      </c>
      <c r="B84" s="52" t="s">
        <v>26</v>
      </c>
      <c r="C84" s="53">
        <v>16828</v>
      </c>
      <c r="D84" s="54">
        <v>45689</v>
      </c>
      <c r="E84" s="54">
        <v>45716</v>
      </c>
      <c r="F84" s="59" t="s">
        <v>11</v>
      </c>
      <c r="G84" s="55">
        <v>500000</v>
      </c>
      <c r="H84" s="56">
        <v>3.0000000000000001E-3</v>
      </c>
      <c r="I84" s="53" t="s">
        <v>39</v>
      </c>
      <c r="J84" s="54">
        <v>45705</v>
      </c>
      <c r="K84" s="57" t="s">
        <v>651</v>
      </c>
      <c r="L84" s="63" t="s">
        <v>792</v>
      </c>
    </row>
    <row r="85" spans="1:12" ht="26.25">
      <c r="A85" s="37">
        <v>272</v>
      </c>
      <c r="B85" s="52" t="s">
        <v>26</v>
      </c>
      <c r="C85" s="53">
        <v>1577</v>
      </c>
      <c r="D85" s="54">
        <v>45689</v>
      </c>
      <c r="E85" s="54">
        <v>45716</v>
      </c>
      <c r="F85" s="59" t="s">
        <v>11</v>
      </c>
      <c r="G85" s="55">
        <v>100</v>
      </c>
      <c r="H85" s="56">
        <v>1.5E-3</v>
      </c>
      <c r="I85" s="53" t="s">
        <v>18</v>
      </c>
      <c r="J85" s="54">
        <v>45705</v>
      </c>
      <c r="K85" s="57" t="s">
        <v>652</v>
      </c>
      <c r="L85" s="63" t="s">
        <v>793</v>
      </c>
    </row>
    <row r="86" spans="1:12" ht="64.5">
      <c r="A86" s="37">
        <v>273</v>
      </c>
      <c r="B86" s="52" t="s">
        <v>26</v>
      </c>
      <c r="C86" s="53" t="s">
        <v>125</v>
      </c>
      <c r="D86" s="54">
        <v>45689</v>
      </c>
      <c r="E86" s="54">
        <v>45716</v>
      </c>
      <c r="F86" s="59" t="s">
        <v>11</v>
      </c>
      <c r="G86" s="55">
        <v>150000</v>
      </c>
      <c r="H86" s="56">
        <v>3.0000000000000001E-3</v>
      </c>
      <c r="I86" s="53" t="s">
        <v>18</v>
      </c>
      <c r="J86" s="54">
        <v>45705</v>
      </c>
      <c r="K86" s="57" t="s">
        <v>653</v>
      </c>
      <c r="L86" s="63" t="s">
        <v>857</v>
      </c>
    </row>
    <row r="87" spans="1:12">
      <c r="A87" s="37">
        <v>274</v>
      </c>
      <c r="B87" s="52" t="s">
        <v>26</v>
      </c>
      <c r="C87" s="53">
        <v>14291</v>
      </c>
      <c r="D87" s="54">
        <v>45689</v>
      </c>
      <c r="E87" s="54">
        <v>45716</v>
      </c>
      <c r="F87" s="59" t="s">
        <v>11</v>
      </c>
      <c r="G87" s="55">
        <v>0.01</v>
      </c>
      <c r="H87" s="56">
        <v>2.5000000000000001E-3</v>
      </c>
      <c r="I87" s="53" t="s">
        <v>95</v>
      </c>
      <c r="J87" s="54">
        <v>45706</v>
      </c>
      <c r="K87" s="57" t="s">
        <v>654</v>
      </c>
      <c r="L87" s="63" t="s">
        <v>137</v>
      </c>
    </row>
    <row r="88" spans="1:12">
      <c r="A88" s="37">
        <v>275</v>
      </c>
      <c r="B88" s="52" t="s">
        <v>26</v>
      </c>
      <c r="C88" s="53">
        <v>11994</v>
      </c>
      <c r="D88" s="54">
        <v>45689</v>
      </c>
      <c r="E88" s="54">
        <v>45716</v>
      </c>
      <c r="F88" s="59" t="s">
        <v>11</v>
      </c>
      <c r="G88" s="55">
        <v>10000</v>
      </c>
      <c r="H88" s="56">
        <v>7.4999999999999997E-3</v>
      </c>
      <c r="I88" s="53" t="s">
        <v>30</v>
      </c>
      <c r="J88" s="54">
        <v>45705</v>
      </c>
      <c r="K88" s="57" t="s">
        <v>655</v>
      </c>
      <c r="L88" s="63" t="s">
        <v>137</v>
      </c>
    </row>
    <row r="89" spans="1:12">
      <c r="A89" s="37">
        <v>276</v>
      </c>
      <c r="B89" s="52" t="s">
        <v>26</v>
      </c>
      <c r="C89" s="53">
        <v>11994</v>
      </c>
      <c r="D89" s="54">
        <v>45689</v>
      </c>
      <c r="E89" s="54">
        <v>45716</v>
      </c>
      <c r="F89" s="59" t="s">
        <v>11</v>
      </c>
      <c r="G89" s="55">
        <v>10000</v>
      </c>
      <c r="H89" s="56">
        <v>5.0000000000000001E-4</v>
      </c>
      <c r="I89" s="53" t="s">
        <v>30</v>
      </c>
      <c r="J89" s="54">
        <v>45705</v>
      </c>
      <c r="K89" s="57" t="s">
        <v>655</v>
      </c>
      <c r="L89" s="63" t="s">
        <v>656</v>
      </c>
    </row>
    <row r="90" spans="1:12">
      <c r="A90" s="37">
        <v>277</v>
      </c>
      <c r="B90" s="52" t="s">
        <v>26</v>
      </c>
      <c r="C90" s="53">
        <v>16532</v>
      </c>
      <c r="D90" s="54">
        <v>45689</v>
      </c>
      <c r="E90" s="54">
        <v>45716</v>
      </c>
      <c r="F90" s="59" t="s">
        <v>11</v>
      </c>
      <c r="G90" s="55">
        <v>1000</v>
      </c>
      <c r="H90" s="56">
        <v>0.03</v>
      </c>
      <c r="I90" s="53" t="s">
        <v>30</v>
      </c>
      <c r="J90" s="54">
        <v>45705</v>
      </c>
      <c r="K90" s="57" t="s">
        <v>655</v>
      </c>
      <c r="L90" s="63" t="s">
        <v>657</v>
      </c>
    </row>
    <row r="91" spans="1:12">
      <c r="A91" s="37">
        <v>278</v>
      </c>
      <c r="B91" s="52" t="s">
        <v>26</v>
      </c>
      <c r="C91" s="53">
        <v>16291</v>
      </c>
      <c r="D91" s="54">
        <v>45689</v>
      </c>
      <c r="E91" s="54">
        <v>45716</v>
      </c>
      <c r="F91" s="59" t="s">
        <v>11</v>
      </c>
      <c r="G91" s="55">
        <v>1000</v>
      </c>
      <c r="H91" s="56">
        <v>5.0000000000000001E-3</v>
      </c>
      <c r="I91" s="53" t="s">
        <v>25</v>
      </c>
      <c r="J91" s="54">
        <v>45705</v>
      </c>
      <c r="K91" s="57" t="s">
        <v>655</v>
      </c>
      <c r="L91" s="63" t="s">
        <v>658</v>
      </c>
    </row>
    <row r="92" spans="1:12">
      <c r="A92" s="37">
        <v>279</v>
      </c>
      <c r="B92" s="52" t="s">
        <v>26</v>
      </c>
      <c r="C92" s="53">
        <v>13220</v>
      </c>
      <c r="D92" s="54">
        <v>45689</v>
      </c>
      <c r="E92" s="54">
        <v>45716</v>
      </c>
      <c r="F92" s="59" t="s">
        <v>11</v>
      </c>
      <c r="G92" s="55">
        <v>1000</v>
      </c>
      <c r="H92" s="56">
        <v>5.0000000000000001E-3</v>
      </c>
      <c r="I92" s="53" t="s">
        <v>30</v>
      </c>
      <c r="J92" s="54">
        <v>45705</v>
      </c>
      <c r="K92" s="57" t="s">
        <v>655</v>
      </c>
      <c r="L92" s="63" t="s">
        <v>658</v>
      </c>
    </row>
    <row r="93" spans="1:12">
      <c r="A93" s="37">
        <v>280</v>
      </c>
      <c r="B93" s="52" t="s">
        <v>26</v>
      </c>
      <c r="C93" s="53">
        <v>12800</v>
      </c>
      <c r="D93" s="54">
        <v>45689</v>
      </c>
      <c r="E93" s="54">
        <v>45716</v>
      </c>
      <c r="F93" s="59" t="s">
        <v>11</v>
      </c>
      <c r="G93" s="55">
        <v>0.01</v>
      </c>
      <c r="H93" s="56">
        <v>5.0000000000000001E-3</v>
      </c>
      <c r="I93" s="53" t="s">
        <v>14</v>
      </c>
      <c r="J93" s="54">
        <v>45699</v>
      </c>
      <c r="K93" s="57" t="s">
        <v>660</v>
      </c>
      <c r="L93" s="63" t="s">
        <v>52</v>
      </c>
    </row>
    <row r="94" spans="1:12">
      <c r="A94" s="37">
        <v>281</v>
      </c>
      <c r="B94" s="52" t="s">
        <v>26</v>
      </c>
      <c r="C94" s="53">
        <v>13470</v>
      </c>
      <c r="D94" s="54">
        <v>45689</v>
      </c>
      <c r="E94" s="54">
        <v>45716</v>
      </c>
      <c r="F94" s="59" t="s">
        <v>11</v>
      </c>
      <c r="G94" s="55">
        <v>0.01</v>
      </c>
      <c r="H94" s="56">
        <v>1.5E-3</v>
      </c>
      <c r="I94" s="53" t="s">
        <v>14</v>
      </c>
      <c r="J94" s="54">
        <v>45699</v>
      </c>
      <c r="K94" s="57" t="s">
        <v>660</v>
      </c>
      <c r="L94" s="63" t="s">
        <v>52</v>
      </c>
    </row>
    <row r="95" spans="1:12">
      <c r="A95" s="37">
        <v>282</v>
      </c>
      <c r="B95" s="52" t="s">
        <v>26</v>
      </c>
      <c r="C95" s="53">
        <v>13611</v>
      </c>
      <c r="D95" s="54">
        <v>45689</v>
      </c>
      <c r="E95" s="54">
        <v>45716</v>
      </c>
      <c r="F95" s="59" t="s">
        <v>11</v>
      </c>
      <c r="G95" s="55">
        <v>0.01</v>
      </c>
      <c r="H95" s="56">
        <v>5.0000000000000001E-3</v>
      </c>
      <c r="I95" s="53" t="s">
        <v>14</v>
      </c>
      <c r="J95" s="54">
        <v>45699</v>
      </c>
      <c r="K95" s="57" t="s">
        <v>660</v>
      </c>
      <c r="L95" s="63" t="s">
        <v>107</v>
      </c>
    </row>
    <row r="96" spans="1:12" ht="26.25">
      <c r="A96" s="37">
        <v>283</v>
      </c>
      <c r="B96" s="52" t="s">
        <v>26</v>
      </c>
      <c r="C96" s="53">
        <v>13249</v>
      </c>
      <c r="D96" s="54">
        <v>45689</v>
      </c>
      <c r="E96" s="54">
        <v>45716</v>
      </c>
      <c r="F96" s="59" t="s">
        <v>11</v>
      </c>
      <c r="G96" s="55">
        <v>0.01</v>
      </c>
      <c r="H96" s="56">
        <v>1.7999999999999999E-2</v>
      </c>
      <c r="I96" s="53" t="s">
        <v>14</v>
      </c>
      <c r="J96" s="54">
        <v>45699</v>
      </c>
      <c r="K96" s="57" t="s">
        <v>660</v>
      </c>
      <c r="L96" s="63" t="s">
        <v>438</v>
      </c>
    </row>
    <row r="97" spans="1:12" ht="26.25">
      <c r="A97" s="37">
        <v>284</v>
      </c>
      <c r="B97" s="52" t="s">
        <v>26</v>
      </c>
      <c r="C97" s="53">
        <v>13249</v>
      </c>
      <c r="D97" s="54">
        <v>45689</v>
      </c>
      <c r="E97" s="54">
        <v>45716</v>
      </c>
      <c r="F97" s="59" t="s">
        <v>11</v>
      </c>
      <c r="G97" s="55">
        <v>0.01</v>
      </c>
      <c r="H97" s="56">
        <v>5.0000000000000001E-3</v>
      </c>
      <c r="I97" s="53" t="s">
        <v>14</v>
      </c>
      <c r="J97" s="54">
        <v>45699</v>
      </c>
      <c r="K97" s="57" t="s">
        <v>660</v>
      </c>
      <c r="L97" s="63" t="s">
        <v>439</v>
      </c>
    </row>
    <row r="98" spans="1:12" ht="26.25">
      <c r="A98" s="37">
        <v>285</v>
      </c>
      <c r="B98" s="52" t="s">
        <v>26</v>
      </c>
      <c r="C98" s="53">
        <v>13249</v>
      </c>
      <c r="D98" s="54">
        <v>45689</v>
      </c>
      <c r="E98" s="54">
        <v>45716</v>
      </c>
      <c r="F98" s="59" t="s">
        <v>11</v>
      </c>
      <c r="G98" s="55">
        <v>0.01</v>
      </c>
      <c r="H98" s="56">
        <v>5.0000000000000001E-3</v>
      </c>
      <c r="I98" s="53" t="s">
        <v>14</v>
      </c>
      <c r="J98" s="54">
        <v>45699</v>
      </c>
      <c r="K98" s="57" t="s">
        <v>660</v>
      </c>
      <c r="L98" s="63" t="s">
        <v>441</v>
      </c>
    </row>
    <row r="99" spans="1:12" ht="26.25">
      <c r="A99" s="37">
        <v>286</v>
      </c>
      <c r="B99" s="52" t="s">
        <v>26</v>
      </c>
      <c r="C99" s="53">
        <v>13249</v>
      </c>
      <c r="D99" s="54">
        <v>45689</v>
      </c>
      <c r="E99" s="54">
        <v>45716</v>
      </c>
      <c r="F99" s="59" t="s">
        <v>11</v>
      </c>
      <c r="G99" s="55">
        <v>0.01</v>
      </c>
      <c r="H99" s="56">
        <v>2.75E-2</v>
      </c>
      <c r="I99" s="53" t="s">
        <v>14</v>
      </c>
      <c r="J99" s="54">
        <v>45699</v>
      </c>
      <c r="K99" s="57" t="s">
        <v>660</v>
      </c>
      <c r="L99" s="63" t="s">
        <v>440</v>
      </c>
    </row>
    <row r="100" spans="1:12">
      <c r="A100" s="37">
        <v>287</v>
      </c>
      <c r="B100" s="52" t="s">
        <v>26</v>
      </c>
      <c r="C100" s="53">
        <v>13428</v>
      </c>
      <c r="D100" s="54">
        <v>45689</v>
      </c>
      <c r="E100" s="54">
        <v>45716</v>
      </c>
      <c r="F100" s="59" t="s">
        <v>11</v>
      </c>
      <c r="G100" s="55">
        <v>80000</v>
      </c>
      <c r="H100" s="56">
        <v>2E-3</v>
      </c>
      <c r="I100" s="53" t="s">
        <v>18</v>
      </c>
      <c r="J100" s="54">
        <v>45701</v>
      </c>
      <c r="K100" s="57" t="s">
        <v>665</v>
      </c>
      <c r="L100" s="63" t="s">
        <v>666</v>
      </c>
    </row>
    <row r="101" spans="1:12">
      <c r="A101" s="37">
        <v>288</v>
      </c>
      <c r="B101" s="52" t="s">
        <v>26</v>
      </c>
      <c r="C101" s="53">
        <v>16859</v>
      </c>
      <c r="D101" s="54">
        <v>45689</v>
      </c>
      <c r="E101" s="54">
        <v>45716</v>
      </c>
      <c r="F101" s="59" t="s">
        <v>11</v>
      </c>
      <c r="G101" s="55">
        <v>100000</v>
      </c>
      <c r="H101" s="56">
        <v>5.0000000000000001E-3</v>
      </c>
      <c r="I101" s="53" t="s">
        <v>47</v>
      </c>
      <c r="J101" s="54">
        <v>45699</v>
      </c>
      <c r="K101" s="57" t="s">
        <v>667</v>
      </c>
      <c r="L101" s="63" t="s">
        <v>52</v>
      </c>
    </row>
    <row r="102" spans="1:12">
      <c r="A102" s="37">
        <v>289</v>
      </c>
      <c r="B102" s="52" t="s">
        <v>26</v>
      </c>
      <c r="C102" s="53">
        <v>11820</v>
      </c>
      <c r="D102" s="54">
        <v>45689</v>
      </c>
      <c r="E102" s="54">
        <v>45716</v>
      </c>
      <c r="F102" s="59" t="s">
        <v>11</v>
      </c>
      <c r="G102" s="55">
        <v>0.01</v>
      </c>
      <c r="H102" s="56">
        <v>5.0000000000000001E-3</v>
      </c>
      <c r="I102" s="53" t="s">
        <v>19</v>
      </c>
      <c r="J102" s="54">
        <v>45702</v>
      </c>
      <c r="K102" s="57" t="s">
        <v>608</v>
      </c>
      <c r="L102" s="63" t="s">
        <v>107</v>
      </c>
    </row>
    <row r="103" spans="1:12">
      <c r="A103" s="37">
        <v>290</v>
      </c>
      <c r="B103" s="52" t="s">
        <v>26</v>
      </c>
      <c r="C103" s="53">
        <v>16825</v>
      </c>
      <c r="D103" s="54">
        <v>45689</v>
      </c>
      <c r="E103" s="54">
        <v>45716</v>
      </c>
      <c r="F103" s="59" t="s">
        <v>11</v>
      </c>
      <c r="G103" s="55">
        <v>0.01</v>
      </c>
      <c r="H103" s="56">
        <v>2.5000000000000001E-3</v>
      </c>
      <c r="I103" s="53" t="s">
        <v>20</v>
      </c>
      <c r="J103" s="54">
        <v>45705</v>
      </c>
      <c r="K103" s="57" t="s">
        <v>672</v>
      </c>
      <c r="L103" s="63" t="s">
        <v>124</v>
      </c>
    </row>
    <row r="104" spans="1:12">
      <c r="A104" s="37">
        <v>291</v>
      </c>
      <c r="B104" s="52" t="s">
        <v>26</v>
      </c>
      <c r="C104" s="53">
        <v>13368</v>
      </c>
      <c r="D104" s="54">
        <v>45689</v>
      </c>
      <c r="E104" s="54">
        <v>45716</v>
      </c>
      <c r="F104" s="59" t="s">
        <v>11</v>
      </c>
      <c r="G104" s="55">
        <v>0.01</v>
      </c>
      <c r="H104" s="56">
        <v>5.0000000000000001E-3</v>
      </c>
      <c r="I104" s="53" t="s">
        <v>32</v>
      </c>
      <c r="J104" s="54">
        <v>45706</v>
      </c>
      <c r="K104" s="57" t="s">
        <v>684</v>
      </c>
      <c r="L104" s="63" t="s">
        <v>685</v>
      </c>
    </row>
    <row r="105" spans="1:12">
      <c r="A105" s="37">
        <v>292</v>
      </c>
      <c r="B105" s="52" t="s">
        <v>26</v>
      </c>
      <c r="C105" s="53">
        <v>13368</v>
      </c>
      <c r="D105" s="54">
        <v>45689</v>
      </c>
      <c r="E105" s="54">
        <v>45716</v>
      </c>
      <c r="F105" s="59" t="s">
        <v>11</v>
      </c>
      <c r="G105" s="55">
        <v>0.01</v>
      </c>
      <c r="H105" s="56">
        <v>1.4999999999999999E-2</v>
      </c>
      <c r="I105" s="53" t="s">
        <v>32</v>
      </c>
      <c r="J105" s="54">
        <v>45706</v>
      </c>
      <c r="K105" s="57" t="s">
        <v>684</v>
      </c>
      <c r="L105" s="63" t="s">
        <v>686</v>
      </c>
    </row>
    <row r="106" spans="1:12">
      <c r="A106" s="37">
        <v>293</v>
      </c>
      <c r="B106" s="52" t="s">
        <v>26</v>
      </c>
      <c r="C106" s="53">
        <v>11937</v>
      </c>
      <c r="D106" s="54">
        <v>45689</v>
      </c>
      <c r="E106" s="54">
        <v>45716</v>
      </c>
      <c r="F106" s="59" t="s">
        <v>11</v>
      </c>
      <c r="G106" s="55">
        <v>0.01</v>
      </c>
      <c r="H106" s="56">
        <v>1E-3</v>
      </c>
      <c r="I106" s="53" t="s">
        <v>46</v>
      </c>
      <c r="J106" s="54">
        <v>45706</v>
      </c>
      <c r="K106" s="57" t="s">
        <v>689</v>
      </c>
      <c r="L106" s="63" t="s">
        <v>690</v>
      </c>
    </row>
    <row r="107" spans="1:12">
      <c r="A107" s="37">
        <v>294</v>
      </c>
      <c r="B107" s="52" t="s">
        <v>26</v>
      </c>
      <c r="C107" s="53">
        <v>11937</v>
      </c>
      <c r="D107" s="54">
        <v>45689</v>
      </c>
      <c r="E107" s="54">
        <v>45716</v>
      </c>
      <c r="F107" s="59" t="s">
        <v>11</v>
      </c>
      <c r="G107" s="55">
        <v>0.01</v>
      </c>
      <c r="H107" s="56">
        <v>1E-3</v>
      </c>
      <c r="I107" s="53" t="s">
        <v>46</v>
      </c>
      <c r="J107" s="54">
        <v>45706</v>
      </c>
      <c r="K107" s="57" t="s">
        <v>689</v>
      </c>
      <c r="L107" s="63" t="s">
        <v>691</v>
      </c>
    </row>
    <row r="108" spans="1:12">
      <c r="A108" s="37">
        <v>295</v>
      </c>
      <c r="B108" s="52" t="s">
        <v>26</v>
      </c>
      <c r="C108" s="53">
        <v>11937</v>
      </c>
      <c r="D108" s="54">
        <v>45658</v>
      </c>
      <c r="E108" s="54">
        <v>45716</v>
      </c>
      <c r="F108" s="59" t="s">
        <v>11</v>
      </c>
      <c r="G108" s="55">
        <v>0.01</v>
      </c>
      <c r="H108" s="56">
        <v>5.0000000000000001E-3</v>
      </c>
      <c r="I108" s="53" t="s">
        <v>46</v>
      </c>
      <c r="J108" s="54">
        <v>45706</v>
      </c>
      <c r="K108" s="57" t="s">
        <v>689</v>
      </c>
      <c r="L108" s="63" t="s">
        <v>692</v>
      </c>
    </row>
    <row r="109" spans="1:12">
      <c r="A109" s="37">
        <v>296</v>
      </c>
      <c r="B109" s="52" t="s">
        <v>26</v>
      </c>
      <c r="C109" s="53">
        <v>12021</v>
      </c>
      <c r="D109" s="54">
        <v>45689</v>
      </c>
      <c r="E109" s="54">
        <v>45716</v>
      </c>
      <c r="F109" s="59" t="s">
        <v>11</v>
      </c>
      <c r="G109" s="55">
        <v>0.01</v>
      </c>
      <c r="H109" s="56">
        <v>5.0000000000000001E-3</v>
      </c>
      <c r="I109" s="53" t="s">
        <v>46</v>
      </c>
      <c r="J109" s="54">
        <v>45706</v>
      </c>
      <c r="K109" s="57" t="s">
        <v>689</v>
      </c>
      <c r="L109" s="63" t="s">
        <v>693</v>
      </c>
    </row>
    <row r="110" spans="1:12">
      <c r="A110" s="37">
        <v>297</v>
      </c>
      <c r="B110" s="52" t="s">
        <v>26</v>
      </c>
      <c r="C110" s="53">
        <v>16982</v>
      </c>
      <c r="D110" s="54">
        <v>45702</v>
      </c>
      <c r="E110" s="54">
        <v>45716</v>
      </c>
      <c r="F110" s="59" t="s">
        <v>11</v>
      </c>
      <c r="G110" s="55">
        <v>0.01</v>
      </c>
      <c r="H110" s="56">
        <v>2.5000000000000001E-3</v>
      </c>
      <c r="I110" s="53" t="s">
        <v>34</v>
      </c>
      <c r="J110" s="54">
        <v>45706</v>
      </c>
      <c r="K110" s="57" t="s">
        <v>694</v>
      </c>
      <c r="L110" s="63" t="s">
        <v>685</v>
      </c>
    </row>
    <row r="111" spans="1:12">
      <c r="A111" s="37">
        <v>298</v>
      </c>
      <c r="B111" s="52" t="s">
        <v>26</v>
      </c>
      <c r="C111" s="53">
        <v>16055</v>
      </c>
      <c r="D111" s="54">
        <v>45689</v>
      </c>
      <c r="E111" s="54">
        <v>45716</v>
      </c>
      <c r="F111" s="59" t="s">
        <v>11</v>
      </c>
      <c r="G111" s="55">
        <v>0.01</v>
      </c>
      <c r="H111" s="56">
        <v>5.0000000000000001E-3</v>
      </c>
      <c r="I111" s="53" t="s">
        <v>168</v>
      </c>
      <c r="J111" s="54">
        <v>45706</v>
      </c>
      <c r="K111" s="57" t="s">
        <v>695</v>
      </c>
      <c r="L111" s="63" t="s">
        <v>685</v>
      </c>
    </row>
    <row r="112" spans="1:12">
      <c r="A112" s="37">
        <v>299</v>
      </c>
      <c r="B112" s="52" t="s">
        <v>26</v>
      </c>
      <c r="C112" s="53">
        <v>11301</v>
      </c>
      <c r="D112" s="54">
        <v>45689</v>
      </c>
      <c r="E112" s="54">
        <v>45716</v>
      </c>
      <c r="F112" s="59" t="s">
        <v>11</v>
      </c>
      <c r="G112" s="55">
        <v>0.01</v>
      </c>
      <c r="H112" s="56">
        <v>2.5000000000000001E-3</v>
      </c>
      <c r="I112" s="53" t="s">
        <v>95</v>
      </c>
      <c r="J112" s="54">
        <v>45707</v>
      </c>
      <c r="K112" s="57" t="s">
        <v>698</v>
      </c>
      <c r="L112" s="63" t="s">
        <v>685</v>
      </c>
    </row>
    <row r="113" spans="1:12">
      <c r="A113" s="37">
        <v>300</v>
      </c>
      <c r="B113" s="52" t="s">
        <v>26</v>
      </c>
      <c r="C113" s="53">
        <v>13007</v>
      </c>
      <c r="D113" s="54">
        <v>45689</v>
      </c>
      <c r="E113" s="54">
        <v>45716</v>
      </c>
      <c r="F113" s="59" t="s">
        <v>11</v>
      </c>
      <c r="G113" s="55">
        <v>0.01</v>
      </c>
      <c r="H113" s="56">
        <v>2.5000000000000001E-3</v>
      </c>
      <c r="I113" s="53" t="s">
        <v>95</v>
      </c>
      <c r="J113" s="54">
        <v>45707</v>
      </c>
      <c r="K113" s="57" t="s">
        <v>699</v>
      </c>
      <c r="L113" s="63" t="s">
        <v>685</v>
      </c>
    </row>
    <row r="114" spans="1:12">
      <c r="A114" s="37">
        <v>301</v>
      </c>
      <c r="B114" s="52" t="s">
        <v>26</v>
      </c>
      <c r="C114" s="53" t="s">
        <v>749</v>
      </c>
      <c r="D114" s="54">
        <v>45689</v>
      </c>
      <c r="E114" s="54">
        <v>45716</v>
      </c>
      <c r="F114" s="59" t="s">
        <v>11</v>
      </c>
      <c r="G114" s="55">
        <v>0.01</v>
      </c>
      <c r="H114" s="56">
        <v>2.5000000000000001E-3</v>
      </c>
      <c r="I114" s="53" t="s">
        <v>19</v>
      </c>
      <c r="J114" s="54">
        <v>45707</v>
      </c>
      <c r="K114" s="57" t="s">
        <v>707</v>
      </c>
      <c r="L114" s="63" t="s">
        <v>708</v>
      </c>
    </row>
    <row r="115" spans="1:12">
      <c r="A115" s="37">
        <v>302</v>
      </c>
      <c r="B115" s="52" t="s">
        <v>26</v>
      </c>
      <c r="C115" s="53">
        <v>3446</v>
      </c>
      <c r="D115" s="54">
        <v>45689</v>
      </c>
      <c r="E115" s="54">
        <v>45716</v>
      </c>
      <c r="F115" s="59" t="s">
        <v>11</v>
      </c>
      <c r="G115" s="55">
        <v>0.01</v>
      </c>
      <c r="H115" s="56">
        <v>1.7000000000000001E-2</v>
      </c>
      <c r="I115" s="53" t="s">
        <v>29</v>
      </c>
      <c r="J115" s="54">
        <v>45707</v>
      </c>
      <c r="K115" s="57" t="s">
        <v>712</v>
      </c>
      <c r="L115" s="63" t="s">
        <v>714</v>
      </c>
    </row>
    <row r="116" spans="1:12">
      <c r="A116" s="37">
        <v>303</v>
      </c>
      <c r="B116" s="52" t="s">
        <v>26</v>
      </c>
      <c r="C116" s="53">
        <v>14993</v>
      </c>
      <c r="D116" s="54">
        <v>45689</v>
      </c>
      <c r="E116" s="54">
        <v>45716</v>
      </c>
      <c r="F116" s="59" t="s">
        <v>11</v>
      </c>
      <c r="G116" s="55">
        <v>0.01</v>
      </c>
      <c r="H116" s="56">
        <v>5.0000000000000001E-3</v>
      </c>
      <c r="I116" s="53" t="s">
        <v>20</v>
      </c>
      <c r="J116" s="54">
        <v>45707</v>
      </c>
      <c r="K116" s="57" t="s">
        <v>717</v>
      </c>
      <c r="L116" s="63" t="s">
        <v>232</v>
      </c>
    </row>
    <row r="117" spans="1:12">
      <c r="A117" s="37">
        <v>304</v>
      </c>
      <c r="B117" s="52" t="s">
        <v>26</v>
      </c>
      <c r="C117" s="53">
        <v>15859</v>
      </c>
      <c r="D117" s="54">
        <v>45689</v>
      </c>
      <c r="E117" s="54">
        <v>45716</v>
      </c>
      <c r="F117" s="59" t="s">
        <v>11</v>
      </c>
      <c r="G117" s="55">
        <v>0.01</v>
      </c>
      <c r="H117" s="56">
        <v>4.0000000000000001E-3</v>
      </c>
      <c r="I117" s="53" t="s">
        <v>168</v>
      </c>
      <c r="J117" s="54">
        <v>45708</v>
      </c>
      <c r="K117" s="57" t="s">
        <v>233</v>
      </c>
      <c r="L117" s="63" t="s">
        <v>232</v>
      </c>
    </row>
    <row r="118" spans="1:12">
      <c r="A118" s="37">
        <v>305</v>
      </c>
      <c r="B118" s="52" t="s">
        <v>26</v>
      </c>
      <c r="C118" s="53">
        <v>15859</v>
      </c>
      <c r="D118" s="54">
        <v>45689</v>
      </c>
      <c r="E118" s="54">
        <v>45716</v>
      </c>
      <c r="F118" s="59" t="s">
        <v>11</v>
      </c>
      <c r="G118" s="55">
        <v>0.01</v>
      </c>
      <c r="H118" s="56">
        <v>1.4999999999999999E-2</v>
      </c>
      <c r="I118" s="53" t="s">
        <v>168</v>
      </c>
      <c r="J118" s="54">
        <v>45708</v>
      </c>
      <c r="K118" s="57" t="s">
        <v>233</v>
      </c>
      <c r="L118" s="63" t="s">
        <v>719</v>
      </c>
    </row>
    <row r="119" spans="1:12">
      <c r="A119" s="37">
        <v>306</v>
      </c>
      <c r="B119" s="52" t="s">
        <v>26</v>
      </c>
      <c r="C119" s="53">
        <v>14730</v>
      </c>
      <c r="D119" s="54">
        <v>45689</v>
      </c>
      <c r="E119" s="54">
        <v>45716</v>
      </c>
      <c r="F119" s="59" t="s">
        <v>11</v>
      </c>
      <c r="G119" s="55">
        <v>0.01</v>
      </c>
      <c r="H119" s="56">
        <v>5.0000000000000001E-3</v>
      </c>
      <c r="I119" s="53" t="s">
        <v>20</v>
      </c>
      <c r="J119" s="54">
        <v>45708</v>
      </c>
      <c r="K119" s="57" t="s">
        <v>722</v>
      </c>
      <c r="L119" s="63" t="s">
        <v>232</v>
      </c>
    </row>
    <row r="120" spans="1:12">
      <c r="A120" s="37">
        <v>307</v>
      </c>
      <c r="B120" s="52" t="s">
        <v>26</v>
      </c>
      <c r="C120" s="53">
        <v>14729</v>
      </c>
      <c r="D120" s="54">
        <v>45689</v>
      </c>
      <c r="E120" s="54">
        <v>45716</v>
      </c>
      <c r="F120" s="59" t="s">
        <v>11</v>
      </c>
      <c r="G120" s="55">
        <v>0.01</v>
      </c>
      <c r="H120" s="56">
        <v>5.0000000000000001E-3</v>
      </c>
      <c r="I120" s="53" t="s">
        <v>20</v>
      </c>
      <c r="J120" s="54">
        <v>45708</v>
      </c>
      <c r="K120" s="57" t="s">
        <v>722</v>
      </c>
      <c r="L120" s="63" t="s">
        <v>232</v>
      </c>
    </row>
    <row r="121" spans="1:12">
      <c r="A121" s="37">
        <v>308</v>
      </c>
      <c r="B121" s="52" t="s">
        <v>26</v>
      </c>
      <c r="C121" s="53">
        <v>14703</v>
      </c>
      <c r="D121" s="54">
        <v>45689</v>
      </c>
      <c r="E121" s="54">
        <v>45716</v>
      </c>
      <c r="F121" s="59" t="s">
        <v>11</v>
      </c>
      <c r="G121" s="55">
        <v>0.01</v>
      </c>
      <c r="H121" s="56">
        <v>5.0000000000000001E-3</v>
      </c>
      <c r="I121" s="53" t="s">
        <v>20</v>
      </c>
      <c r="J121" s="54">
        <v>45708</v>
      </c>
      <c r="K121" s="57" t="s">
        <v>722</v>
      </c>
      <c r="L121" s="63" t="s">
        <v>232</v>
      </c>
    </row>
    <row r="122" spans="1:12">
      <c r="A122" s="37">
        <v>309</v>
      </c>
      <c r="B122" s="52" t="s">
        <v>26</v>
      </c>
      <c r="C122" s="53">
        <v>14702</v>
      </c>
      <c r="D122" s="54">
        <v>45689</v>
      </c>
      <c r="E122" s="54">
        <v>45716</v>
      </c>
      <c r="F122" s="59" t="s">
        <v>11</v>
      </c>
      <c r="G122" s="55">
        <v>0.01</v>
      </c>
      <c r="H122" s="56">
        <v>5.0000000000000001E-3</v>
      </c>
      <c r="I122" s="53" t="s">
        <v>20</v>
      </c>
      <c r="J122" s="54">
        <v>45708</v>
      </c>
      <c r="K122" s="57" t="s">
        <v>722</v>
      </c>
      <c r="L122" s="63" t="s">
        <v>232</v>
      </c>
    </row>
    <row r="123" spans="1:12">
      <c r="A123" s="37">
        <v>310</v>
      </c>
      <c r="B123" s="52" t="s">
        <v>26</v>
      </c>
      <c r="C123" s="53">
        <v>14706</v>
      </c>
      <c r="D123" s="54">
        <v>45689</v>
      </c>
      <c r="E123" s="54">
        <v>45716</v>
      </c>
      <c r="F123" s="59" t="s">
        <v>11</v>
      </c>
      <c r="G123" s="55">
        <v>0.01</v>
      </c>
      <c r="H123" s="56">
        <v>5.0000000000000001E-3</v>
      </c>
      <c r="I123" s="53" t="s">
        <v>20</v>
      </c>
      <c r="J123" s="54">
        <v>45708</v>
      </c>
      <c r="K123" s="57" t="s">
        <v>722</v>
      </c>
      <c r="L123" s="63" t="s">
        <v>232</v>
      </c>
    </row>
    <row r="124" spans="1:12">
      <c r="A124" s="37">
        <v>311</v>
      </c>
      <c r="B124" s="52" t="s">
        <v>26</v>
      </c>
      <c r="C124" s="53">
        <v>14704</v>
      </c>
      <c r="D124" s="54">
        <v>45689</v>
      </c>
      <c r="E124" s="54">
        <v>45716</v>
      </c>
      <c r="F124" s="59" t="s">
        <v>11</v>
      </c>
      <c r="G124" s="55">
        <v>0.01</v>
      </c>
      <c r="H124" s="56">
        <v>5.0000000000000001E-3</v>
      </c>
      <c r="I124" s="53" t="s">
        <v>20</v>
      </c>
      <c r="J124" s="54">
        <v>45708</v>
      </c>
      <c r="K124" s="57" t="s">
        <v>722</v>
      </c>
      <c r="L124" s="63" t="s">
        <v>232</v>
      </c>
    </row>
    <row r="125" spans="1:12">
      <c r="A125" s="37">
        <v>312</v>
      </c>
      <c r="B125" s="52" t="s">
        <v>26</v>
      </c>
      <c r="C125" s="53">
        <v>15282</v>
      </c>
      <c r="D125" s="54">
        <v>45689</v>
      </c>
      <c r="E125" s="54">
        <v>45716</v>
      </c>
      <c r="F125" s="59" t="s">
        <v>11</v>
      </c>
      <c r="G125" s="55">
        <v>0.01</v>
      </c>
      <c r="H125" s="56">
        <v>5.0000000000000001E-3</v>
      </c>
      <c r="I125" s="53" t="s">
        <v>20</v>
      </c>
      <c r="J125" s="54">
        <v>45708</v>
      </c>
      <c r="K125" s="57" t="s">
        <v>722</v>
      </c>
      <c r="L125" s="63" t="s">
        <v>232</v>
      </c>
    </row>
    <row r="126" spans="1:12">
      <c r="A126" s="37">
        <v>313</v>
      </c>
      <c r="B126" s="52" t="s">
        <v>26</v>
      </c>
      <c r="C126" s="53">
        <v>9212</v>
      </c>
      <c r="D126" s="54">
        <v>45689</v>
      </c>
      <c r="E126" s="54">
        <v>45716</v>
      </c>
      <c r="F126" s="59" t="s">
        <v>11</v>
      </c>
      <c r="G126" s="55">
        <v>0.01</v>
      </c>
      <c r="H126" s="56">
        <v>6.0000000000000001E-3</v>
      </c>
      <c r="I126" s="53" t="s">
        <v>14</v>
      </c>
      <c r="J126" s="54">
        <v>45709</v>
      </c>
      <c r="K126" s="57" t="s">
        <v>739</v>
      </c>
      <c r="L126" s="63" t="s">
        <v>741</v>
      </c>
    </row>
    <row r="127" spans="1:12">
      <c r="A127" s="37">
        <v>314</v>
      </c>
      <c r="B127" s="52" t="s">
        <v>26</v>
      </c>
      <c r="C127" s="53">
        <v>15925</v>
      </c>
      <c r="D127" s="54">
        <v>45689</v>
      </c>
      <c r="E127" s="54">
        <v>45716</v>
      </c>
      <c r="F127" s="59" t="s">
        <v>11</v>
      </c>
      <c r="G127" s="55">
        <v>1500000</v>
      </c>
      <c r="H127" s="56">
        <v>2.5000000000000001E-3</v>
      </c>
      <c r="I127" s="53" t="s">
        <v>168</v>
      </c>
      <c r="J127" s="54">
        <v>45712</v>
      </c>
      <c r="K127" s="57" t="s">
        <v>742</v>
      </c>
      <c r="L127" s="63" t="s">
        <v>741</v>
      </c>
    </row>
    <row r="128" spans="1:12">
      <c r="A128" s="37">
        <v>315</v>
      </c>
      <c r="B128" s="52" t="s">
        <v>26</v>
      </c>
      <c r="C128" s="53">
        <v>13560</v>
      </c>
      <c r="D128" s="54">
        <v>45689</v>
      </c>
      <c r="E128" s="54">
        <v>45716</v>
      </c>
      <c r="F128" s="59" t="s">
        <v>11</v>
      </c>
      <c r="G128" s="55">
        <v>200000</v>
      </c>
      <c r="H128" s="56">
        <v>6.0000000000000001E-3</v>
      </c>
      <c r="I128" s="53" t="s">
        <v>20</v>
      </c>
      <c r="J128" s="54">
        <v>45708</v>
      </c>
      <c r="K128" s="57" t="s">
        <v>723</v>
      </c>
      <c r="L128" s="63" t="s">
        <v>724</v>
      </c>
    </row>
    <row r="129" spans="1:12">
      <c r="A129" s="37">
        <v>316</v>
      </c>
      <c r="B129" s="52" t="s">
        <v>26</v>
      </c>
      <c r="C129" s="53">
        <v>15980</v>
      </c>
      <c r="D129" s="54">
        <v>45689</v>
      </c>
      <c r="E129" s="54">
        <v>45716</v>
      </c>
      <c r="F129" s="59" t="s">
        <v>11</v>
      </c>
      <c r="G129" s="55">
        <v>1</v>
      </c>
      <c r="H129" s="56">
        <v>7.0000000000000001E-3</v>
      </c>
      <c r="I129" s="53" t="s">
        <v>20</v>
      </c>
      <c r="J129" s="54">
        <v>45712</v>
      </c>
      <c r="K129" s="57" t="s">
        <v>748</v>
      </c>
      <c r="L129" s="63" t="s">
        <v>858</v>
      </c>
    </row>
    <row r="130" spans="1:12">
      <c r="A130" s="37">
        <v>317</v>
      </c>
      <c r="B130" s="52" t="s">
        <v>26</v>
      </c>
      <c r="C130" s="53">
        <v>15064</v>
      </c>
      <c r="D130" s="54">
        <v>45689</v>
      </c>
      <c r="E130" s="54">
        <v>45716</v>
      </c>
      <c r="F130" s="59" t="s">
        <v>11</v>
      </c>
      <c r="G130" s="55">
        <v>1</v>
      </c>
      <c r="H130" s="56">
        <v>2.5000000000000001E-3</v>
      </c>
      <c r="I130" s="53" t="s">
        <v>20</v>
      </c>
      <c r="J130" s="54">
        <v>45713</v>
      </c>
      <c r="K130" s="57" t="s">
        <v>135</v>
      </c>
      <c r="L130" s="63" t="s">
        <v>685</v>
      </c>
    </row>
    <row r="131" spans="1:12">
      <c r="A131" s="37">
        <v>318</v>
      </c>
      <c r="B131" s="52" t="s">
        <v>26</v>
      </c>
      <c r="C131" s="53">
        <v>9994</v>
      </c>
      <c r="D131" s="54">
        <v>45689</v>
      </c>
      <c r="E131" s="54">
        <v>45716</v>
      </c>
      <c r="F131" s="59" t="s">
        <v>11</v>
      </c>
      <c r="G131" s="55">
        <v>0.01</v>
      </c>
      <c r="H131" s="56">
        <v>2.5000000000000001E-3</v>
      </c>
      <c r="I131" s="53" t="s">
        <v>95</v>
      </c>
      <c r="J131" s="54">
        <v>45713</v>
      </c>
      <c r="K131" s="57" t="s">
        <v>756</v>
      </c>
      <c r="L131" s="63" t="s">
        <v>757</v>
      </c>
    </row>
    <row r="132" spans="1:12">
      <c r="A132" s="37">
        <v>319</v>
      </c>
      <c r="B132" s="52" t="s">
        <v>26</v>
      </c>
      <c r="C132" s="53">
        <v>11652</v>
      </c>
      <c r="D132" s="54">
        <v>45705</v>
      </c>
      <c r="E132" s="54">
        <v>45716</v>
      </c>
      <c r="F132" s="59" t="s">
        <v>11</v>
      </c>
      <c r="G132" s="55">
        <v>0.1</v>
      </c>
      <c r="H132" s="56">
        <v>2.5000000000000001E-3</v>
      </c>
      <c r="I132" s="53" t="s">
        <v>46</v>
      </c>
      <c r="J132" s="54">
        <v>45713</v>
      </c>
      <c r="K132" s="57" t="s">
        <v>762</v>
      </c>
      <c r="L132" s="63" t="s">
        <v>763</v>
      </c>
    </row>
    <row r="133" spans="1:12">
      <c r="A133" s="37">
        <v>320</v>
      </c>
      <c r="B133" s="52" t="s">
        <v>26</v>
      </c>
      <c r="C133" s="53">
        <v>14194</v>
      </c>
      <c r="D133" s="54">
        <v>45689</v>
      </c>
      <c r="E133" s="54">
        <v>45716</v>
      </c>
      <c r="F133" s="59" t="s">
        <v>11</v>
      </c>
      <c r="G133" s="55">
        <v>1</v>
      </c>
      <c r="H133" s="56">
        <v>2.5000000000000001E-3</v>
      </c>
      <c r="I133" s="53" t="s">
        <v>20</v>
      </c>
      <c r="J133" s="54">
        <v>45721</v>
      </c>
      <c r="K133" s="57" t="s">
        <v>785</v>
      </c>
      <c r="L133" s="63" t="s">
        <v>106</v>
      </c>
    </row>
    <row r="134" spans="1:12">
      <c r="A134" s="37">
        <v>321</v>
      </c>
      <c r="B134" s="52" t="s">
        <v>26</v>
      </c>
      <c r="C134" s="53">
        <v>1427</v>
      </c>
      <c r="D134" s="54">
        <v>45706</v>
      </c>
      <c r="E134" s="54">
        <v>45713</v>
      </c>
      <c r="F134" s="59" t="s">
        <v>11</v>
      </c>
      <c r="G134" s="55">
        <v>0.01</v>
      </c>
      <c r="H134" s="56">
        <v>4.4999999999999997E-3</v>
      </c>
      <c r="I134" s="53" t="s">
        <v>859</v>
      </c>
      <c r="J134" s="54">
        <v>45721</v>
      </c>
      <c r="K134" s="57" t="s">
        <v>797</v>
      </c>
      <c r="L134" s="63" t="s">
        <v>798</v>
      </c>
    </row>
    <row r="135" spans="1:12">
      <c r="A135" s="37">
        <v>322</v>
      </c>
      <c r="B135" s="52" t="s">
        <v>26</v>
      </c>
      <c r="C135" s="53" t="s">
        <v>284</v>
      </c>
      <c r="D135" s="54">
        <v>45689</v>
      </c>
      <c r="E135" s="54">
        <v>45716</v>
      </c>
      <c r="F135" s="53" t="s">
        <v>11</v>
      </c>
      <c r="G135" s="55">
        <v>0.01</v>
      </c>
      <c r="H135" s="56">
        <v>1E-3</v>
      </c>
      <c r="I135" s="53" t="s">
        <v>29</v>
      </c>
      <c r="J135" s="54">
        <v>45580</v>
      </c>
      <c r="K135" s="57" t="s">
        <v>191</v>
      </c>
      <c r="L135" s="58" t="s">
        <v>193</v>
      </c>
    </row>
    <row r="136" spans="1:12">
      <c r="A136" s="37">
        <v>323</v>
      </c>
      <c r="B136" s="53" t="s">
        <v>26</v>
      </c>
      <c r="C136" s="53">
        <v>14918</v>
      </c>
      <c r="D136" s="54">
        <v>45689</v>
      </c>
      <c r="E136" s="54">
        <v>45716</v>
      </c>
      <c r="F136" s="53" t="s">
        <v>11</v>
      </c>
      <c r="G136" s="55">
        <v>150000</v>
      </c>
      <c r="H136" s="56">
        <v>0.01</v>
      </c>
      <c r="I136" s="53" t="s">
        <v>17</v>
      </c>
      <c r="J136" s="54">
        <v>45684</v>
      </c>
      <c r="K136" s="57" t="s">
        <v>112</v>
      </c>
      <c r="L136" s="58" t="s">
        <v>397</v>
      </c>
    </row>
    <row r="137" spans="1:12">
      <c r="A137" s="37">
        <v>324</v>
      </c>
      <c r="B137" s="52" t="s">
        <v>26</v>
      </c>
      <c r="C137" s="53">
        <v>14918</v>
      </c>
      <c r="D137" s="54">
        <v>45689</v>
      </c>
      <c r="E137" s="54">
        <v>45716</v>
      </c>
      <c r="F137" s="59" t="s">
        <v>11</v>
      </c>
      <c r="G137" s="55">
        <v>100000</v>
      </c>
      <c r="H137" s="60">
        <v>0.01</v>
      </c>
      <c r="I137" s="53" t="s">
        <v>17</v>
      </c>
      <c r="J137" s="54">
        <v>45684</v>
      </c>
      <c r="K137" s="57" t="s">
        <v>112</v>
      </c>
      <c r="L137" s="58" t="s">
        <v>478</v>
      </c>
    </row>
    <row r="138" spans="1:12">
      <c r="A138" s="37">
        <v>325</v>
      </c>
      <c r="B138" s="52" t="s">
        <v>26</v>
      </c>
      <c r="C138" s="53">
        <v>2689</v>
      </c>
      <c r="D138" s="54">
        <v>45689</v>
      </c>
      <c r="E138" s="54">
        <v>45716</v>
      </c>
      <c r="F138" s="53" t="s">
        <v>11</v>
      </c>
      <c r="G138" s="55">
        <v>100000</v>
      </c>
      <c r="H138" s="56">
        <v>5.0000000000000001E-3</v>
      </c>
      <c r="I138" s="53" t="s">
        <v>17</v>
      </c>
      <c r="J138" s="54">
        <v>45684</v>
      </c>
      <c r="K138" s="57" t="s">
        <v>391</v>
      </c>
      <c r="L138" s="58" t="s">
        <v>390</v>
      </c>
    </row>
    <row r="139" spans="1:12">
      <c r="A139" s="37">
        <v>326</v>
      </c>
      <c r="B139" s="53" t="s">
        <v>26</v>
      </c>
      <c r="C139" s="53">
        <v>16403</v>
      </c>
      <c r="D139" s="54">
        <v>45689</v>
      </c>
      <c r="E139" s="54">
        <v>45716</v>
      </c>
      <c r="F139" s="53" t="s">
        <v>11</v>
      </c>
      <c r="G139" s="55">
        <v>100000</v>
      </c>
      <c r="H139" s="56">
        <v>5.0000000000000001E-3</v>
      </c>
      <c r="I139" s="53" t="s">
        <v>17</v>
      </c>
      <c r="J139" s="54">
        <v>45684</v>
      </c>
      <c r="K139" s="57" t="s">
        <v>393</v>
      </c>
      <c r="L139" s="58" t="s">
        <v>390</v>
      </c>
    </row>
    <row r="140" spans="1:12">
      <c r="A140" s="37">
        <v>327</v>
      </c>
      <c r="B140" s="52" t="s">
        <v>26</v>
      </c>
      <c r="C140" s="53" t="s">
        <v>421</v>
      </c>
      <c r="D140" s="54">
        <v>45685</v>
      </c>
      <c r="E140" s="54">
        <v>45716</v>
      </c>
      <c r="F140" s="59" t="s">
        <v>197</v>
      </c>
      <c r="G140" s="55">
        <v>0.01</v>
      </c>
      <c r="H140" s="60">
        <v>0.01</v>
      </c>
      <c r="I140" s="53" t="s">
        <v>14</v>
      </c>
      <c r="J140" s="54">
        <v>45685</v>
      </c>
      <c r="K140" s="57" t="s">
        <v>424</v>
      </c>
      <c r="L140" s="58" t="s">
        <v>422</v>
      </c>
    </row>
    <row r="141" spans="1:12">
      <c r="A141" s="37">
        <v>328</v>
      </c>
      <c r="B141" s="52" t="s">
        <v>26</v>
      </c>
      <c r="C141" s="53" t="s">
        <v>421</v>
      </c>
      <c r="D141" s="54">
        <v>45685</v>
      </c>
      <c r="E141" s="54">
        <v>45716</v>
      </c>
      <c r="F141" s="53" t="s">
        <v>197</v>
      </c>
      <c r="G141" s="55">
        <v>0.01</v>
      </c>
      <c r="H141" s="56">
        <v>5.0000000000000001E-3</v>
      </c>
      <c r="I141" s="53" t="s">
        <v>14</v>
      </c>
      <c r="J141" s="54">
        <v>45685</v>
      </c>
      <c r="K141" s="57" t="s">
        <v>424</v>
      </c>
      <c r="L141" s="58" t="s">
        <v>423</v>
      </c>
    </row>
    <row r="142" spans="1:12">
      <c r="A142" s="37">
        <v>329</v>
      </c>
      <c r="B142" s="53" t="s">
        <v>26</v>
      </c>
      <c r="C142" s="53">
        <v>5804</v>
      </c>
      <c r="D142" s="54">
        <v>45689</v>
      </c>
      <c r="E142" s="54">
        <v>45716</v>
      </c>
      <c r="F142" s="53" t="s">
        <v>11</v>
      </c>
      <c r="G142" s="55">
        <v>1000</v>
      </c>
      <c r="H142" s="56">
        <v>5.0000000000000001E-3</v>
      </c>
      <c r="I142" s="53" t="s">
        <v>27</v>
      </c>
      <c r="J142" s="54">
        <v>45687</v>
      </c>
      <c r="K142" s="57" t="s">
        <v>448</v>
      </c>
      <c r="L142" s="58" t="s">
        <v>679</v>
      </c>
    </row>
    <row r="143" spans="1:12">
      <c r="A143" s="37">
        <v>330</v>
      </c>
      <c r="B143" s="52" t="s">
        <v>26</v>
      </c>
      <c r="C143" s="53">
        <v>11403</v>
      </c>
      <c r="D143" s="54">
        <v>45689</v>
      </c>
      <c r="E143" s="54">
        <v>45716</v>
      </c>
      <c r="F143" s="59" t="s">
        <v>11</v>
      </c>
      <c r="G143" s="55">
        <v>100000</v>
      </c>
      <c r="H143" s="60" t="s">
        <v>860</v>
      </c>
      <c r="I143" s="53" t="s">
        <v>48</v>
      </c>
      <c r="J143" s="54">
        <v>45687</v>
      </c>
      <c r="K143" s="57" t="s">
        <v>449</v>
      </c>
      <c r="L143" s="58" t="s">
        <v>144</v>
      </c>
    </row>
    <row r="144" spans="1:12">
      <c r="A144" s="37">
        <v>331</v>
      </c>
      <c r="B144" s="52" t="s">
        <v>26</v>
      </c>
      <c r="C144" s="53">
        <v>11349</v>
      </c>
      <c r="D144" s="54">
        <v>45689</v>
      </c>
      <c r="E144" s="54">
        <v>45716</v>
      </c>
      <c r="F144" s="53" t="s">
        <v>11</v>
      </c>
      <c r="G144" s="55">
        <v>100000</v>
      </c>
      <c r="H144" s="56" t="s">
        <v>860</v>
      </c>
      <c r="I144" s="53" t="s">
        <v>48</v>
      </c>
      <c r="J144" s="54">
        <v>45687</v>
      </c>
      <c r="K144" s="57" t="s">
        <v>449</v>
      </c>
      <c r="L144" s="58" t="s">
        <v>144</v>
      </c>
    </row>
    <row r="145" spans="1:12">
      <c r="A145" s="37">
        <v>332</v>
      </c>
      <c r="B145" s="53" t="s">
        <v>26</v>
      </c>
      <c r="C145" s="53">
        <v>12288</v>
      </c>
      <c r="D145" s="54">
        <v>45687</v>
      </c>
      <c r="E145" s="54">
        <v>45716</v>
      </c>
      <c r="F145" s="53" t="s">
        <v>197</v>
      </c>
      <c r="G145" s="55">
        <v>0.01</v>
      </c>
      <c r="H145" s="56" t="s">
        <v>861</v>
      </c>
      <c r="I145" s="53" t="s">
        <v>14</v>
      </c>
      <c r="J145" s="54">
        <v>45687</v>
      </c>
      <c r="K145" s="57" t="s">
        <v>450</v>
      </c>
      <c r="L145" s="58" t="s">
        <v>451</v>
      </c>
    </row>
    <row r="146" spans="1:12">
      <c r="A146" s="37">
        <v>333</v>
      </c>
      <c r="B146" s="52" t="s">
        <v>26</v>
      </c>
      <c r="C146" s="53" t="s">
        <v>149</v>
      </c>
      <c r="D146" s="54">
        <v>45687</v>
      </c>
      <c r="E146" s="54">
        <v>45716</v>
      </c>
      <c r="F146" s="59" t="s">
        <v>197</v>
      </c>
      <c r="G146" s="55">
        <v>1000</v>
      </c>
      <c r="H146" s="60">
        <v>0.01</v>
      </c>
      <c r="I146" s="53" t="s">
        <v>27</v>
      </c>
      <c r="J146" s="54">
        <v>45688</v>
      </c>
      <c r="K146" s="57" t="s">
        <v>453</v>
      </c>
      <c r="L146" s="58" t="s">
        <v>454</v>
      </c>
    </row>
    <row r="147" spans="1:12">
      <c r="A147" s="37">
        <v>334</v>
      </c>
      <c r="B147" s="52" t="s">
        <v>26</v>
      </c>
      <c r="C147" s="53">
        <v>12385</v>
      </c>
      <c r="D147" s="54">
        <v>45689</v>
      </c>
      <c r="E147" s="54">
        <v>45716</v>
      </c>
      <c r="F147" s="53" t="s">
        <v>197</v>
      </c>
      <c r="G147" s="55">
        <v>0.01</v>
      </c>
      <c r="H147" s="56">
        <v>0.01</v>
      </c>
      <c r="I147" s="53" t="s">
        <v>46</v>
      </c>
      <c r="J147" s="54">
        <v>45688</v>
      </c>
      <c r="K147" s="57" t="s">
        <v>455</v>
      </c>
      <c r="L147" s="58" t="s">
        <v>456</v>
      </c>
    </row>
    <row r="148" spans="1:12">
      <c r="A148" s="37">
        <v>335</v>
      </c>
      <c r="B148" s="53" t="s">
        <v>26</v>
      </c>
      <c r="C148" s="53">
        <v>10293</v>
      </c>
      <c r="D148" s="54">
        <v>45689</v>
      </c>
      <c r="E148" s="54">
        <v>45716</v>
      </c>
      <c r="F148" s="53" t="s">
        <v>11</v>
      </c>
      <c r="G148" s="55">
        <v>1000</v>
      </c>
      <c r="H148" s="56">
        <v>0.01</v>
      </c>
      <c r="I148" s="53" t="s">
        <v>27</v>
      </c>
      <c r="J148" s="54">
        <v>45691</v>
      </c>
      <c r="K148" s="57" t="s">
        <v>461</v>
      </c>
      <c r="L148" s="58" t="s">
        <v>701</v>
      </c>
    </row>
    <row r="149" spans="1:12">
      <c r="A149" s="37">
        <v>336</v>
      </c>
      <c r="B149" s="52" t="s">
        <v>26</v>
      </c>
      <c r="C149" s="53">
        <v>15450</v>
      </c>
      <c r="D149" s="54">
        <v>45689</v>
      </c>
      <c r="E149" s="54">
        <v>45716</v>
      </c>
      <c r="F149" s="59" t="s">
        <v>11</v>
      </c>
      <c r="G149" s="55">
        <v>150000</v>
      </c>
      <c r="H149" s="60">
        <v>1.5E-3</v>
      </c>
      <c r="I149" s="53" t="s">
        <v>18</v>
      </c>
      <c r="J149" s="54">
        <v>45691</v>
      </c>
      <c r="K149" s="57" t="s">
        <v>462</v>
      </c>
      <c r="L149" s="58" t="s">
        <v>463</v>
      </c>
    </row>
    <row r="150" spans="1:12">
      <c r="A150" s="37">
        <v>337</v>
      </c>
      <c r="B150" s="52" t="s">
        <v>26</v>
      </c>
      <c r="C150" s="53">
        <v>4353</v>
      </c>
      <c r="D150" s="54">
        <v>45689</v>
      </c>
      <c r="E150" s="54">
        <v>45716</v>
      </c>
      <c r="F150" s="53" t="s">
        <v>11</v>
      </c>
      <c r="G150" s="55">
        <v>1000</v>
      </c>
      <c r="H150" s="56">
        <v>0.01</v>
      </c>
      <c r="I150" s="53" t="s">
        <v>25</v>
      </c>
      <c r="J150" s="54">
        <v>45691</v>
      </c>
      <c r="K150" s="57" t="s">
        <v>465</v>
      </c>
      <c r="L150" s="58" t="s">
        <v>702</v>
      </c>
    </row>
    <row r="151" spans="1:12">
      <c r="A151" s="37">
        <v>338</v>
      </c>
      <c r="B151" s="53" t="s">
        <v>26</v>
      </c>
      <c r="C151" s="53">
        <v>10109</v>
      </c>
      <c r="D151" s="54">
        <v>45689</v>
      </c>
      <c r="E151" s="54">
        <v>45716</v>
      </c>
      <c r="F151" s="53" t="s">
        <v>11</v>
      </c>
      <c r="G151" s="55">
        <v>300000</v>
      </c>
      <c r="H151" s="56">
        <v>2E-3</v>
      </c>
      <c r="I151" s="53" t="s">
        <v>41</v>
      </c>
      <c r="J151" s="54">
        <v>45693</v>
      </c>
      <c r="K151" s="57" t="s">
        <v>486</v>
      </c>
      <c r="L151" s="58" t="s">
        <v>703</v>
      </c>
    </row>
    <row r="152" spans="1:12">
      <c r="A152" s="37">
        <v>339</v>
      </c>
      <c r="B152" s="52" t="s">
        <v>26</v>
      </c>
      <c r="C152" s="53">
        <v>15778</v>
      </c>
      <c r="D152" s="54">
        <v>45689</v>
      </c>
      <c r="E152" s="54">
        <v>45716</v>
      </c>
      <c r="F152" s="59" t="s">
        <v>11</v>
      </c>
      <c r="G152" s="55">
        <v>400000</v>
      </c>
      <c r="H152" s="60">
        <v>2E-3</v>
      </c>
      <c r="I152" s="53" t="s">
        <v>168</v>
      </c>
      <c r="J152" s="54">
        <v>45693</v>
      </c>
      <c r="K152" s="57" t="s">
        <v>487</v>
      </c>
      <c r="L152" s="58" t="s">
        <v>501</v>
      </c>
    </row>
    <row r="153" spans="1:12">
      <c r="A153" s="37">
        <v>340</v>
      </c>
      <c r="B153" s="52" t="s">
        <v>26</v>
      </c>
      <c r="C153" s="53" t="s">
        <v>489</v>
      </c>
      <c r="D153" s="54">
        <v>45689</v>
      </c>
      <c r="E153" s="54">
        <v>45716</v>
      </c>
      <c r="F153" s="53" t="s">
        <v>11</v>
      </c>
      <c r="G153" s="55">
        <v>0.01</v>
      </c>
      <c r="H153" s="56">
        <v>3.0000000000000001E-3</v>
      </c>
      <c r="I153" s="53" t="s">
        <v>19</v>
      </c>
      <c r="J153" s="54">
        <v>45692</v>
      </c>
      <c r="K153" s="57" t="s">
        <v>488</v>
      </c>
      <c r="L153" s="58" t="s">
        <v>498</v>
      </c>
    </row>
    <row r="154" spans="1:12">
      <c r="A154" s="37">
        <v>341</v>
      </c>
      <c r="B154" s="53" t="s">
        <v>26</v>
      </c>
      <c r="C154" s="53">
        <v>1818</v>
      </c>
      <c r="D154" s="54">
        <v>45689</v>
      </c>
      <c r="E154" s="54">
        <v>45716</v>
      </c>
      <c r="F154" s="53" t="s">
        <v>11</v>
      </c>
      <c r="G154" s="55">
        <v>500000</v>
      </c>
      <c r="H154" s="56">
        <v>2E-3</v>
      </c>
      <c r="I154" s="53" t="s">
        <v>19</v>
      </c>
      <c r="J154" s="54">
        <v>45692</v>
      </c>
      <c r="K154" s="57" t="s">
        <v>490</v>
      </c>
      <c r="L154" s="58" t="s">
        <v>144</v>
      </c>
    </row>
    <row r="155" spans="1:12">
      <c r="A155" s="37">
        <v>342</v>
      </c>
      <c r="B155" s="52" t="s">
        <v>26</v>
      </c>
      <c r="C155" s="53">
        <v>6719</v>
      </c>
      <c r="D155" s="54">
        <v>45689</v>
      </c>
      <c r="E155" s="54">
        <v>45716</v>
      </c>
      <c r="F155" s="59" t="s">
        <v>11</v>
      </c>
      <c r="G155" s="55">
        <v>0.01</v>
      </c>
      <c r="H155" s="60">
        <v>3.0000000000000001E-3</v>
      </c>
      <c r="I155" s="53" t="s">
        <v>19</v>
      </c>
      <c r="J155" s="54">
        <v>45692</v>
      </c>
      <c r="K155" s="57" t="s">
        <v>491</v>
      </c>
      <c r="L155" s="58" t="s">
        <v>144</v>
      </c>
    </row>
    <row r="156" spans="1:12">
      <c r="A156" s="37">
        <v>343</v>
      </c>
      <c r="B156" s="52" t="s">
        <v>26</v>
      </c>
      <c r="C156" s="53">
        <v>9600</v>
      </c>
      <c r="D156" s="54">
        <v>45689</v>
      </c>
      <c r="E156" s="54">
        <v>45716</v>
      </c>
      <c r="F156" s="53" t="s">
        <v>11</v>
      </c>
      <c r="G156" s="55">
        <v>0.01</v>
      </c>
      <c r="H156" s="56">
        <v>3.0000000000000001E-3</v>
      </c>
      <c r="I156" s="53" t="s">
        <v>13</v>
      </c>
      <c r="J156" s="54"/>
      <c r="K156" s="57" t="s">
        <v>492</v>
      </c>
      <c r="L156" s="58" t="s">
        <v>493</v>
      </c>
    </row>
    <row r="157" spans="1:12">
      <c r="A157" s="37">
        <v>344</v>
      </c>
      <c r="B157" s="53" t="s">
        <v>26</v>
      </c>
      <c r="C157" s="53">
        <v>13053</v>
      </c>
      <c r="D157" s="54">
        <v>45689</v>
      </c>
      <c r="E157" s="54">
        <v>45716</v>
      </c>
      <c r="F157" s="53" t="s">
        <v>11</v>
      </c>
      <c r="G157" s="55">
        <v>50000</v>
      </c>
      <c r="H157" s="56">
        <v>1.6500000000000001E-2</v>
      </c>
      <c r="I157" s="53" t="s">
        <v>18</v>
      </c>
      <c r="J157" s="54">
        <v>45691</v>
      </c>
      <c r="K157" s="57" t="s">
        <v>496</v>
      </c>
      <c r="L157" s="58" t="s">
        <v>704</v>
      </c>
    </row>
    <row r="158" spans="1:12">
      <c r="A158" s="37">
        <v>345</v>
      </c>
      <c r="B158" s="52" t="s">
        <v>26</v>
      </c>
      <c r="C158" s="53">
        <v>13053</v>
      </c>
      <c r="D158" s="54">
        <v>45689</v>
      </c>
      <c r="E158" s="54">
        <v>45716</v>
      </c>
      <c r="F158" s="59" t="s">
        <v>11</v>
      </c>
      <c r="G158" s="55">
        <v>50000</v>
      </c>
      <c r="H158" s="60">
        <v>1.5E-3</v>
      </c>
      <c r="I158" s="53" t="s">
        <v>18</v>
      </c>
      <c r="J158" s="54">
        <v>45691</v>
      </c>
      <c r="K158" s="57" t="s">
        <v>496</v>
      </c>
      <c r="L158" s="58" t="s">
        <v>705</v>
      </c>
    </row>
    <row r="159" spans="1:12">
      <c r="A159" s="37">
        <v>346</v>
      </c>
      <c r="B159" s="52" t="s">
        <v>26</v>
      </c>
      <c r="C159" s="53">
        <v>16024</v>
      </c>
      <c r="D159" s="54">
        <v>45689</v>
      </c>
      <c r="E159" s="54">
        <v>45716</v>
      </c>
      <c r="F159" s="53" t="s">
        <v>11</v>
      </c>
      <c r="G159" s="55">
        <v>0.01</v>
      </c>
      <c r="H159" s="56">
        <v>4.0000000000000001E-3</v>
      </c>
      <c r="I159" s="53" t="s">
        <v>13</v>
      </c>
      <c r="J159" s="54">
        <v>45694</v>
      </c>
      <c r="K159" s="57" t="s">
        <v>497</v>
      </c>
      <c r="L159" s="58" t="s">
        <v>203</v>
      </c>
    </row>
    <row r="160" spans="1:12" ht="25.5">
      <c r="A160" s="37">
        <v>347</v>
      </c>
      <c r="B160" s="53" t="s">
        <v>26</v>
      </c>
      <c r="C160" s="53">
        <v>15143</v>
      </c>
      <c r="D160" s="54">
        <v>45689</v>
      </c>
      <c r="E160" s="54">
        <v>45716</v>
      </c>
      <c r="F160" s="53" t="s">
        <v>11</v>
      </c>
      <c r="G160" s="55">
        <v>100000</v>
      </c>
      <c r="H160" s="56">
        <v>2.5000000000000001E-3</v>
      </c>
      <c r="I160" s="53" t="s">
        <v>101</v>
      </c>
      <c r="J160" s="54">
        <v>45694</v>
      </c>
      <c r="K160" s="57" t="s">
        <v>504</v>
      </c>
      <c r="L160" s="58" t="s">
        <v>706</v>
      </c>
    </row>
    <row r="161" spans="1:12">
      <c r="A161" s="37">
        <v>348</v>
      </c>
      <c r="B161" s="52" t="s">
        <v>26</v>
      </c>
      <c r="C161" s="53">
        <v>15993</v>
      </c>
      <c r="D161" s="54">
        <v>45691</v>
      </c>
      <c r="E161" s="54">
        <v>45716</v>
      </c>
      <c r="F161" s="59" t="s">
        <v>11</v>
      </c>
      <c r="G161" s="55">
        <v>0.01</v>
      </c>
      <c r="H161" s="60">
        <v>5.0000000000000001E-3</v>
      </c>
      <c r="I161" s="53" t="s">
        <v>13</v>
      </c>
      <c r="J161" s="54">
        <v>45694</v>
      </c>
      <c r="K161" s="57" t="s">
        <v>507</v>
      </c>
      <c r="L161" s="58" t="s">
        <v>508</v>
      </c>
    </row>
    <row r="162" spans="1:12">
      <c r="A162" s="37">
        <v>349</v>
      </c>
      <c r="B162" s="52" t="s">
        <v>26</v>
      </c>
      <c r="C162" s="53">
        <v>10565</v>
      </c>
      <c r="D162" s="54">
        <v>45691</v>
      </c>
      <c r="E162" s="54">
        <v>45716</v>
      </c>
      <c r="F162" s="53" t="s">
        <v>11</v>
      </c>
      <c r="G162" s="55">
        <v>0.01</v>
      </c>
      <c r="H162" s="56">
        <v>5.0000000000000001E-3</v>
      </c>
      <c r="I162" s="53" t="s">
        <v>13</v>
      </c>
      <c r="J162" s="54">
        <v>45694</v>
      </c>
      <c r="K162" s="57" t="s">
        <v>507</v>
      </c>
      <c r="L162" s="58" t="s">
        <v>508</v>
      </c>
    </row>
    <row r="163" spans="1:12">
      <c r="A163" s="37">
        <v>350</v>
      </c>
      <c r="B163" s="53" t="s">
        <v>26</v>
      </c>
      <c r="C163" s="53">
        <v>16050</v>
      </c>
      <c r="D163" s="54">
        <v>45691</v>
      </c>
      <c r="E163" s="54">
        <v>45716</v>
      </c>
      <c r="F163" s="53" t="s">
        <v>11</v>
      </c>
      <c r="G163" s="55">
        <v>0.01</v>
      </c>
      <c r="H163" s="56">
        <v>5.0000000000000001E-3</v>
      </c>
      <c r="I163" s="53" t="s">
        <v>13</v>
      </c>
      <c r="J163" s="54">
        <v>45694</v>
      </c>
      <c r="K163" s="57" t="s">
        <v>507</v>
      </c>
      <c r="L163" s="58" t="s">
        <v>508</v>
      </c>
    </row>
    <row r="164" spans="1:12">
      <c r="A164" s="37">
        <v>351</v>
      </c>
      <c r="B164" s="52" t="s">
        <v>26</v>
      </c>
      <c r="C164" s="53">
        <v>10879</v>
      </c>
      <c r="D164" s="54">
        <v>45691</v>
      </c>
      <c r="E164" s="54">
        <v>45716</v>
      </c>
      <c r="F164" s="59" t="s">
        <v>11</v>
      </c>
      <c r="G164" s="55">
        <v>0.01</v>
      </c>
      <c r="H164" s="60">
        <v>5.0000000000000001E-3</v>
      </c>
      <c r="I164" s="53" t="s">
        <v>13</v>
      </c>
      <c r="J164" s="54">
        <v>45694</v>
      </c>
      <c r="K164" s="57" t="s">
        <v>507</v>
      </c>
      <c r="L164" s="58" t="s">
        <v>508</v>
      </c>
    </row>
    <row r="165" spans="1:12">
      <c r="A165" s="37">
        <v>352</v>
      </c>
      <c r="B165" s="52" t="s">
        <v>26</v>
      </c>
      <c r="C165" s="53">
        <v>16162</v>
      </c>
      <c r="D165" s="54">
        <v>45691</v>
      </c>
      <c r="E165" s="54">
        <v>45716</v>
      </c>
      <c r="F165" s="53" t="s">
        <v>11</v>
      </c>
      <c r="G165" s="55">
        <v>0.01</v>
      </c>
      <c r="H165" s="56">
        <v>5.0000000000000001E-3</v>
      </c>
      <c r="I165" s="53" t="s">
        <v>13</v>
      </c>
      <c r="J165" s="54">
        <v>45694</v>
      </c>
      <c r="K165" s="57" t="s">
        <v>507</v>
      </c>
      <c r="L165" s="58" t="s">
        <v>508</v>
      </c>
    </row>
    <row r="166" spans="1:12">
      <c r="A166" s="37">
        <v>353</v>
      </c>
      <c r="B166" s="53" t="s">
        <v>26</v>
      </c>
      <c r="C166" s="53">
        <v>16451</v>
      </c>
      <c r="D166" s="54">
        <v>45691</v>
      </c>
      <c r="E166" s="54">
        <v>45716</v>
      </c>
      <c r="F166" s="53" t="s">
        <v>11</v>
      </c>
      <c r="G166" s="55">
        <v>0.01</v>
      </c>
      <c r="H166" s="56">
        <v>5.0000000000000001E-3</v>
      </c>
      <c r="I166" s="53" t="s">
        <v>13</v>
      </c>
      <c r="J166" s="54">
        <v>45694</v>
      </c>
      <c r="K166" s="57" t="s">
        <v>507</v>
      </c>
      <c r="L166" s="58" t="s">
        <v>508</v>
      </c>
    </row>
    <row r="167" spans="1:12">
      <c r="A167" s="37">
        <v>354</v>
      </c>
      <c r="B167" s="52" t="s">
        <v>26</v>
      </c>
      <c r="C167" s="53">
        <v>16503</v>
      </c>
      <c r="D167" s="54">
        <v>45691</v>
      </c>
      <c r="E167" s="54">
        <v>45716</v>
      </c>
      <c r="F167" s="59" t="s">
        <v>11</v>
      </c>
      <c r="G167" s="55">
        <v>0.01</v>
      </c>
      <c r="H167" s="60">
        <v>5.0000000000000001E-3</v>
      </c>
      <c r="I167" s="53" t="s">
        <v>13</v>
      </c>
      <c r="J167" s="54" t="s">
        <v>533</v>
      </c>
      <c r="K167" s="57" t="s">
        <v>507</v>
      </c>
      <c r="L167" s="58" t="s">
        <v>508</v>
      </c>
    </row>
    <row r="168" spans="1:12">
      <c r="A168" s="37">
        <v>355</v>
      </c>
      <c r="B168" s="52" t="s">
        <v>26</v>
      </c>
      <c r="C168" s="53">
        <v>16772</v>
      </c>
      <c r="D168" s="54">
        <v>45691</v>
      </c>
      <c r="E168" s="54">
        <v>45716</v>
      </c>
      <c r="F168" s="53" t="s">
        <v>11</v>
      </c>
      <c r="G168" s="55">
        <v>0.01</v>
      </c>
      <c r="H168" s="56">
        <v>5.0000000000000001E-3</v>
      </c>
      <c r="I168" s="53" t="s">
        <v>13</v>
      </c>
      <c r="J168" s="54">
        <v>45694</v>
      </c>
      <c r="K168" s="57" t="s">
        <v>507</v>
      </c>
      <c r="L168" s="58" t="s">
        <v>508</v>
      </c>
    </row>
    <row r="169" spans="1:12">
      <c r="A169" s="37">
        <v>356</v>
      </c>
      <c r="B169" s="53" t="s">
        <v>26</v>
      </c>
      <c r="C169" s="53">
        <v>15087</v>
      </c>
      <c r="D169" s="54">
        <v>45689</v>
      </c>
      <c r="E169" s="54">
        <v>45716</v>
      </c>
      <c r="F169" s="53" t="s">
        <v>11</v>
      </c>
      <c r="G169" s="55">
        <v>30000</v>
      </c>
      <c r="H169" s="56">
        <v>0.01</v>
      </c>
      <c r="I169" s="53" t="s">
        <v>48</v>
      </c>
      <c r="J169" s="54">
        <v>45694</v>
      </c>
      <c r="K169" s="57" t="s">
        <v>509</v>
      </c>
      <c r="L169" s="58" t="s">
        <v>510</v>
      </c>
    </row>
    <row r="170" spans="1:12">
      <c r="A170" s="37">
        <v>357</v>
      </c>
      <c r="B170" s="52" t="s">
        <v>26</v>
      </c>
      <c r="C170" s="53">
        <v>8447</v>
      </c>
      <c r="D170" s="54">
        <v>45689</v>
      </c>
      <c r="E170" s="54">
        <v>45716</v>
      </c>
      <c r="F170" s="59" t="s">
        <v>11</v>
      </c>
      <c r="G170" s="55">
        <v>0.01</v>
      </c>
      <c r="H170" s="60">
        <v>5.0000000000000001E-3</v>
      </c>
      <c r="I170" s="53" t="s">
        <v>14</v>
      </c>
      <c r="J170" s="54">
        <v>45698</v>
      </c>
      <c r="K170" s="57" t="s">
        <v>86</v>
      </c>
      <c r="L170" s="58" t="s">
        <v>379</v>
      </c>
    </row>
    <row r="171" spans="1:12">
      <c r="A171" s="37">
        <v>358</v>
      </c>
      <c r="B171" s="52" t="s">
        <v>26</v>
      </c>
      <c r="C171" s="53">
        <v>7300</v>
      </c>
      <c r="D171" s="54">
        <v>45689</v>
      </c>
      <c r="E171" s="54">
        <v>45716</v>
      </c>
      <c r="F171" s="53" t="s">
        <v>11</v>
      </c>
      <c r="G171" s="55">
        <v>0.01</v>
      </c>
      <c r="H171" s="56">
        <v>5.0000000000000001E-3</v>
      </c>
      <c r="I171" s="53" t="s">
        <v>14</v>
      </c>
      <c r="J171" s="54">
        <v>45698</v>
      </c>
      <c r="K171" s="57" t="s">
        <v>86</v>
      </c>
      <c r="L171" s="58" t="s">
        <v>379</v>
      </c>
    </row>
    <row r="172" spans="1:12">
      <c r="A172" s="37">
        <v>359</v>
      </c>
      <c r="B172" s="53" t="s">
        <v>26</v>
      </c>
      <c r="C172" s="53">
        <v>8571</v>
      </c>
      <c r="D172" s="54">
        <v>45689</v>
      </c>
      <c r="E172" s="54">
        <v>45716</v>
      </c>
      <c r="F172" s="53" t="s">
        <v>11</v>
      </c>
      <c r="G172" s="55">
        <v>0.01</v>
      </c>
      <c r="H172" s="56">
        <v>5.0000000000000001E-3</v>
      </c>
      <c r="I172" s="53" t="s">
        <v>14</v>
      </c>
      <c r="J172" s="54">
        <v>45698</v>
      </c>
      <c r="K172" s="57" t="s">
        <v>86</v>
      </c>
      <c r="L172" s="58" t="s">
        <v>379</v>
      </c>
    </row>
    <row r="173" spans="1:12">
      <c r="A173" s="37">
        <v>360</v>
      </c>
      <c r="B173" s="52" t="s">
        <v>26</v>
      </c>
      <c r="C173" s="53">
        <v>12776</v>
      </c>
      <c r="D173" s="54">
        <v>45689</v>
      </c>
      <c r="E173" s="54">
        <v>45716</v>
      </c>
      <c r="F173" s="59" t="s">
        <v>11</v>
      </c>
      <c r="G173" s="55">
        <v>0.01</v>
      </c>
      <c r="H173" s="60">
        <v>5.0000000000000001E-3</v>
      </c>
      <c r="I173" s="53" t="s">
        <v>14</v>
      </c>
      <c r="J173" s="54">
        <v>45698</v>
      </c>
      <c r="K173" s="57" t="s">
        <v>86</v>
      </c>
      <c r="L173" s="58" t="s">
        <v>379</v>
      </c>
    </row>
    <row r="174" spans="1:12">
      <c r="A174" s="37">
        <v>361</v>
      </c>
      <c r="B174" s="52" t="s">
        <v>26</v>
      </c>
      <c r="C174" s="53">
        <v>7523</v>
      </c>
      <c r="D174" s="54">
        <v>45689</v>
      </c>
      <c r="E174" s="54">
        <v>45716</v>
      </c>
      <c r="F174" s="53" t="s">
        <v>11</v>
      </c>
      <c r="G174" s="55">
        <v>0.01</v>
      </c>
      <c r="H174" s="56">
        <v>5.0000000000000001E-3</v>
      </c>
      <c r="I174" s="53" t="s">
        <v>14</v>
      </c>
      <c r="J174" s="54">
        <v>45698</v>
      </c>
      <c r="K174" s="57" t="s">
        <v>86</v>
      </c>
      <c r="L174" s="58" t="s">
        <v>379</v>
      </c>
    </row>
    <row r="175" spans="1:12">
      <c r="A175" s="37">
        <v>362</v>
      </c>
      <c r="B175" s="53" t="s">
        <v>26</v>
      </c>
      <c r="C175" s="53">
        <v>7150</v>
      </c>
      <c r="D175" s="54">
        <v>45705</v>
      </c>
      <c r="E175" s="54">
        <v>45716</v>
      </c>
      <c r="F175" s="53" t="s">
        <v>11</v>
      </c>
      <c r="G175" s="55">
        <v>0.01</v>
      </c>
      <c r="H175" s="56">
        <v>5.0000000000000001E-3</v>
      </c>
      <c r="I175" s="53" t="s">
        <v>14</v>
      </c>
      <c r="J175" s="54">
        <v>45698</v>
      </c>
      <c r="K175" s="57" t="s">
        <v>86</v>
      </c>
      <c r="L175" s="58" t="s">
        <v>711</v>
      </c>
    </row>
    <row r="176" spans="1:12">
      <c r="A176" s="37">
        <v>363</v>
      </c>
      <c r="B176" s="52" t="s">
        <v>26</v>
      </c>
      <c r="C176" s="53" t="s">
        <v>709</v>
      </c>
      <c r="D176" s="54">
        <v>45705</v>
      </c>
      <c r="E176" s="54">
        <v>45716</v>
      </c>
      <c r="F176" s="59" t="s">
        <v>11</v>
      </c>
      <c r="G176" s="55">
        <v>0.01</v>
      </c>
      <c r="H176" s="60">
        <v>5.0000000000000001E-3</v>
      </c>
      <c r="I176" s="53" t="s">
        <v>14</v>
      </c>
      <c r="J176" s="54">
        <v>45698</v>
      </c>
      <c r="K176" s="57" t="s">
        <v>86</v>
      </c>
      <c r="L176" s="58" t="s">
        <v>711</v>
      </c>
    </row>
    <row r="177" spans="1:12">
      <c r="A177" s="37">
        <v>364</v>
      </c>
      <c r="B177" s="52" t="s">
        <v>26</v>
      </c>
      <c r="C177" s="53" t="s">
        <v>710</v>
      </c>
      <c r="D177" s="54">
        <v>45705</v>
      </c>
      <c r="E177" s="54">
        <v>45716</v>
      </c>
      <c r="F177" s="53" t="s">
        <v>11</v>
      </c>
      <c r="G177" s="55">
        <v>0.01</v>
      </c>
      <c r="H177" s="56">
        <v>5.0000000000000001E-3</v>
      </c>
      <c r="I177" s="53" t="s">
        <v>14</v>
      </c>
      <c r="J177" s="54">
        <v>45698</v>
      </c>
      <c r="K177" s="57" t="s">
        <v>86</v>
      </c>
      <c r="L177" s="58" t="s">
        <v>711</v>
      </c>
    </row>
    <row r="178" spans="1:12">
      <c r="A178" s="37">
        <v>365</v>
      </c>
      <c r="B178" s="53" t="s">
        <v>26</v>
      </c>
      <c r="C178" s="53">
        <v>6458</v>
      </c>
      <c r="D178" s="54">
        <v>45689</v>
      </c>
      <c r="E178" s="54">
        <v>45714</v>
      </c>
      <c r="F178" s="53" t="s">
        <v>11</v>
      </c>
      <c r="G178" s="55">
        <v>0.01</v>
      </c>
      <c r="H178" s="56">
        <v>3.0000000000000001E-3</v>
      </c>
      <c r="I178" s="53" t="s">
        <v>13</v>
      </c>
      <c r="J178" s="54">
        <v>45698</v>
      </c>
      <c r="K178" s="57" t="s">
        <v>534</v>
      </c>
      <c r="L178" s="58" t="s">
        <v>569</v>
      </c>
    </row>
    <row r="179" spans="1:12">
      <c r="A179" s="37">
        <v>366</v>
      </c>
      <c r="B179" s="52" t="s">
        <v>26</v>
      </c>
      <c r="C179" s="53">
        <v>6869</v>
      </c>
      <c r="D179" s="54">
        <v>45689</v>
      </c>
      <c r="E179" s="54">
        <v>45716</v>
      </c>
      <c r="F179" s="59" t="s">
        <v>11</v>
      </c>
      <c r="G179" s="55">
        <v>500000</v>
      </c>
      <c r="H179" s="60">
        <v>3.0000000000000001E-3</v>
      </c>
      <c r="I179" s="53" t="s">
        <v>18</v>
      </c>
      <c r="J179" s="54">
        <v>45698</v>
      </c>
      <c r="K179" s="57" t="s">
        <v>535</v>
      </c>
      <c r="L179" s="58" t="s">
        <v>570</v>
      </c>
    </row>
    <row r="180" spans="1:12">
      <c r="A180" s="37">
        <v>367</v>
      </c>
      <c r="B180" s="52" t="s">
        <v>26</v>
      </c>
      <c r="C180" s="53">
        <v>10461</v>
      </c>
      <c r="D180" s="54">
        <v>45695</v>
      </c>
      <c r="E180" s="54">
        <v>45716</v>
      </c>
      <c r="F180" s="53" t="s">
        <v>11</v>
      </c>
      <c r="G180" s="55">
        <v>0.01</v>
      </c>
      <c r="H180" s="56">
        <v>0.01</v>
      </c>
      <c r="I180" s="53" t="s">
        <v>14</v>
      </c>
      <c r="J180" s="54">
        <v>45699</v>
      </c>
      <c r="K180" s="57" t="s">
        <v>538</v>
      </c>
      <c r="L180" s="58" t="s">
        <v>540</v>
      </c>
    </row>
    <row r="181" spans="1:12">
      <c r="A181" s="37">
        <v>368</v>
      </c>
      <c r="B181" s="53" t="s">
        <v>26</v>
      </c>
      <c r="C181" s="53">
        <v>12385</v>
      </c>
      <c r="D181" s="54">
        <v>45689</v>
      </c>
      <c r="E181" s="54">
        <v>45716</v>
      </c>
      <c r="F181" s="53" t="s">
        <v>11</v>
      </c>
      <c r="G181" s="55">
        <v>0.01</v>
      </c>
      <c r="H181" s="56">
        <v>0.01</v>
      </c>
      <c r="I181" s="53" t="s">
        <v>46</v>
      </c>
      <c r="J181" s="54">
        <v>45699</v>
      </c>
      <c r="K181" s="57" t="s">
        <v>538</v>
      </c>
      <c r="L181" s="58" t="s">
        <v>540</v>
      </c>
    </row>
    <row r="182" spans="1:12">
      <c r="A182" s="37">
        <v>369</v>
      </c>
      <c r="B182" s="52" t="s">
        <v>26</v>
      </c>
      <c r="C182" s="53">
        <v>11725</v>
      </c>
      <c r="D182" s="54">
        <v>45689</v>
      </c>
      <c r="E182" s="54">
        <v>45716</v>
      </c>
      <c r="F182" s="59" t="s">
        <v>11</v>
      </c>
      <c r="G182" s="55">
        <v>30000</v>
      </c>
      <c r="H182" s="60">
        <v>0.01</v>
      </c>
      <c r="I182" s="53" t="s">
        <v>48</v>
      </c>
      <c r="J182" s="54">
        <v>45699</v>
      </c>
      <c r="K182" s="57" t="s">
        <v>93</v>
      </c>
      <c r="L182" s="58" t="s">
        <v>544</v>
      </c>
    </row>
    <row r="183" spans="1:12" ht="38.25">
      <c r="A183" s="37">
        <v>370</v>
      </c>
      <c r="B183" s="52" t="s">
        <v>26</v>
      </c>
      <c r="C183" s="53">
        <v>16918</v>
      </c>
      <c r="D183" s="54">
        <v>45699</v>
      </c>
      <c r="E183" s="54">
        <v>45716</v>
      </c>
      <c r="F183" s="53" t="s">
        <v>11</v>
      </c>
      <c r="G183" s="55">
        <v>1000</v>
      </c>
      <c r="H183" s="56">
        <v>0.01</v>
      </c>
      <c r="I183" s="53" t="s">
        <v>15</v>
      </c>
      <c r="J183" s="54">
        <v>45699</v>
      </c>
      <c r="K183" s="57" t="s">
        <v>545</v>
      </c>
      <c r="L183" s="58" t="s">
        <v>546</v>
      </c>
    </row>
    <row r="184" spans="1:12" ht="38.25">
      <c r="A184" s="37">
        <v>371</v>
      </c>
      <c r="B184" s="53" t="s">
        <v>26</v>
      </c>
      <c r="C184" s="53">
        <v>16250</v>
      </c>
      <c r="D184" s="54">
        <v>45699</v>
      </c>
      <c r="E184" s="54">
        <v>45716</v>
      </c>
      <c r="F184" s="53" t="s">
        <v>11</v>
      </c>
      <c r="G184" s="55">
        <v>1000</v>
      </c>
      <c r="H184" s="56">
        <v>0.01</v>
      </c>
      <c r="I184" s="53" t="s">
        <v>15</v>
      </c>
      <c r="J184" s="54">
        <v>45699</v>
      </c>
      <c r="K184" s="57" t="s">
        <v>549</v>
      </c>
      <c r="L184" s="58" t="s">
        <v>550</v>
      </c>
    </row>
    <row r="185" spans="1:12">
      <c r="A185" s="37">
        <v>372</v>
      </c>
      <c r="B185" s="52" t="s">
        <v>26</v>
      </c>
      <c r="C185" s="53">
        <v>4629</v>
      </c>
      <c r="D185" s="54">
        <v>45689</v>
      </c>
      <c r="E185" s="54">
        <v>45716</v>
      </c>
      <c r="F185" s="59" t="s">
        <v>11</v>
      </c>
      <c r="G185" s="55">
        <v>0.01</v>
      </c>
      <c r="H185" s="60">
        <v>0.01</v>
      </c>
      <c r="I185" s="53" t="s">
        <v>46</v>
      </c>
      <c r="J185" s="54">
        <v>45700</v>
      </c>
      <c r="K185" s="57" t="s">
        <v>551</v>
      </c>
      <c r="L185" s="58" t="s">
        <v>445</v>
      </c>
    </row>
    <row r="186" spans="1:12">
      <c r="A186" s="37">
        <v>373</v>
      </c>
      <c r="B186" s="52" t="s">
        <v>26</v>
      </c>
      <c r="C186" s="53">
        <v>11652</v>
      </c>
      <c r="D186" s="54">
        <v>45689</v>
      </c>
      <c r="E186" s="54">
        <v>45716</v>
      </c>
      <c r="F186" s="53" t="s">
        <v>11</v>
      </c>
      <c r="G186" s="55">
        <v>0.01</v>
      </c>
      <c r="H186" s="56">
        <v>0.01</v>
      </c>
      <c r="I186" s="53" t="s">
        <v>46</v>
      </c>
      <c r="J186" s="54">
        <v>45700</v>
      </c>
      <c r="K186" s="57" t="s">
        <v>551</v>
      </c>
      <c r="L186" s="58" t="s">
        <v>445</v>
      </c>
    </row>
    <row r="187" spans="1:12">
      <c r="A187" s="37">
        <v>374</v>
      </c>
      <c r="B187" s="53" t="s">
        <v>26</v>
      </c>
      <c r="C187" s="53">
        <v>14533</v>
      </c>
      <c r="D187" s="54">
        <v>45689</v>
      </c>
      <c r="E187" s="54">
        <v>45716</v>
      </c>
      <c r="F187" s="53" t="s">
        <v>11</v>
      </c>
      <c r="G187" s="55">
        <v>0.01</v>
      </c>
      <c r="H187" s="56">
        <v>0.01</v>
      </c>
      <c r="I187" s="53" t="s">
        <v>46</v>
      </c>
      <c r="J187" s="54">
        <v>45700</v>
      </c>
      <c r="K187" s="57" t="s">
        <v>551</v>
      </c>
      <c r="L187" s="58" t="s">
        <v>445</v>
      </c>
    </row>
    <row r="188" spans="1:12">
      <c r="A188" s="37">
        <v>375</v>
      </c>
      <c r="B188" s="52" t="s">
        <v>26</v>
      </c>
      <c r="C188" s="53">
        <v>16839</v>
      </c>
      <c r="D188" s="54">
        <v>45689</v>
      </c>
      <c r="E188" s="54">
        <v>45716</v>
      </c>
      <c r="F188" s="59" t="s">
        <v>11</v>
      </c>
      <c r="G188" s="55">
        <v>0.01</v>
      </c>
      <c r="H188" s="60">
        <v>0.01</v>
      </c>
      <c r="I188" s="53" t="s">
        <v>46</v>
      </c>
      <c r="J188" s="54">
        <v>45700</v>
      </c>
      <c r="K188" s="57" t="s">
        <v>551</v>
      </c>
      <c r="L188" s="58" t="s">
        <v>445</v>
      </c>
    </row>
    <row r="189" spans="1:12">
      <c r="A189" s="37">
        <v>376</v>
      </c>
      <c r="B189" s="52" t="s">
        <v>26</v>
      </c>
      <c r="C189" s="53">
        <v>16775</v>
      </c>
      <c r="D189" s="54">
        <v>45689</v>
      </c>
      <c r="E189" s="54">
        <v>45716</v>
      </c>
      <c r="F189" s="53" t="s">
        <v>11</v>
      </c>
      <c r="G189" s="55">
        <v>0.01</v>
      </c>
      <c r="H189" s="56">
        <v>0.01</v>
      </c>
      <c r="I189" s="53" t="s">
        <v>46</v>
      </c>
      <c r="J189" s="54">
        <v>45700</v>
      </c>
      <c r="K189" s="57" t="s">
        <v>551</v>
      </c>
      <c r="L189" s="58" t="s">
        <v>445</v>
      </c>
    </row>
    <row r="190" spans="1:12">
      <c r="A190" s="37">
        <v>377</v>
      </c>
      <c r="B190" s="53" t="s">
        <v>26</v>
      </c>
      <c r="C190" s="53">
        <v>13667</v>
      </c>
      <c r="D190" s="54">
        <v>45689</v>
      </c>
      <c r="E190" s="54">
        <v>45716</v>
      </c>
      <c r="F190" s="53" t="s">
        <v>11</v>
      </c>
      <c r="G190" s="55">
        <v>200000</v>
      </c>
      <c r="H190" s="56">
        <v>5.0000000000000001E-3</v>
      </c>
      <c r="I190" s="53" t="s">
        <v>39</v>
      </c>
      <c r="J190" s="54">
        <v>45700</v>
      </c>
      <c r="K190" s="57" t="s">
        <v>554</v>
      </c>
      <c r="L190" s="58" t="s">
        <v>555</v>
      </c>
    </row>
    <row r="191" spans="1:12">
      <c r="A191" s="37">
        <v>378</v>
      </c>
      <c r="B191" s="52" t="s">
        <v>26</v>
      </c>
      <c r="C191" s="53">
        <v>2838</v>
      </c>
      <c r="D191" s="54">
        <v>45689</v>
      </c>
      <c r="E191" s="54">
        <v>45716</v>
      </c>
      <c r="F191" s="59" t="s">
        <v>11</v>
      </c>
      <c r="G191" s="55">
        <v>0.01</v>
      </c>
      <c r="H191" s="60">
        <v>0.01</v>
      </c>
      <c r="I191" s="53" t="s">
        <v>29</v>
      </c>
      <c r="J191" s="54">
        <v>45701</v>
      </c>
      <c r="K191" s="57" t="s">
        <v>557</v>
      </c>
      <c r="L191" s="58" t="s">
        <v>750</v>
      </c>
    </row>
    <row r="192" spans="1:12">
      <c r="A192" s="37">
        <v>379</v>
      </c>
      <c r="B192" s="52" t="s">
        <v>26</v>
      </c>
      <c r="C192" s="53" t="s">
        <v>560</v>
      </c>
      <c r="D192" s="54">
        <v>45698</v>
      </c>
      <c r="E192" s="54">
        <v>45716</v>
      </c>
      <c r="F192" s="53" t="s">
        <v>11</v>
      </c>
      <c r="G192" s="55">
        <v>50000</v>
      </c>
      <c r="H192" s="56">
        <v>160</v>
      </c>
      <c r="I192" s="53" t="s">
        <v>101</v>
      </c>
      <c r="J192" s="54">
        <v>45701</v>
      </c>
      <c r="K192" s="57" t="s">
        <v>559</v>
      </c>
      <c r="L192" s="58" t="s">
        <v>561</v>
      </c>
    </row>
    <row r="193" spans="1:12">
      <c r="A193" s="37">
        <v>380</v>
      </c>
      <c r="B193" s="53" t="s">
        <v>26</v>
      </c>
      <c r="C193" s="53">
        <v>5144</v>
      </c>
      <c r="D193" s="54">
        <v>45689</v>
      </c>
      <c r="E193" s="54">
        <v>45716</v>
      </c>
      <c r="F193" s="53" t="s">
        <v>11</v>
      </c>
      <c r="G193" s="55">
        <v>10000</v>
      </c>
      <c r="H193" s="56">
        <v>2.5000000000000001E-3</v>
      </c>
      <c r="I193" s="53" t="s">
        <v>18</v>
      </c>
      <c r="J193" s="54">
        <v>45701</v>
      </c>
      <c r="K193" s="57" t="s">
        <v>562</v>
      </c>
      <c r="L193" s="58" t="s">
        <v>751</v>
      </c>
    </row>
    <row r="194" spans="1:12">
      <c r="A194" s="37">
        <v>381</v>
      </c>
      <c r="B194" s="52" t="s">
        <v>26</v>
      </c>
      <c r="C194" s="53">
        <v>5733</v>
      </c>
      <c r="D194" s="54">
        <v>45689</v>
      </c>
      <c r="E194" s="54">
        <v>45716</v>
      </c>
      <c r="F194" s="59" t="s">
        <v>11</v>
      </c>
      <c r="G194" s="55">
        <v>100000</v>
      </c>
      <c r="H194" s="60">
        <v>5.0000000000000001E-3</v>
      </c>
      <c r="I194" s="53" t="s">
        <v>39</v>
      </c>
      <c r="J194" s="54">
        <v>45701</v>
      </c>
      <c r="K194" s="57" t="s">
        <v>571</v>
      </c>
      <c r="L194" s="58" t="s">
        <v>572</v>
      </c>
    </row>
    <row r="195" spans="1:12">
      <c r="A195" s="37">
        <v>382</v>
      </c>
      <c r="B195" s="52" t="s">
        <v>26</v>
      </c>
      <c r="C195" s="53">
        <v>6754</v>
      </c>
      <c r="D195" s="54">
        <v>45689</v>
      </c>
      <c r="E195" s="54">
        <v>45716</v>
      </c>
      <c r="F195" s="53" t="s">
        <v>11</v>
      </c>
      <c r="G195" s="55">
        <v>90000</v>
      </c>
      <c r="H195" s="56">
        <v>5.0000000000000001E-3</v>
      </c>
      <c r="I195" s="53" t="s">
        <v>39</v>
      </c>
      <c r="J195" s="54">
        <v>45701</v>
      </c>
      <c r="K195" s="57" t="s">
        <v>573</v>
      </c>
      <c r="L195" s="58" t="s">
        <v>574</v>
      </c>
    </row>
    <row r="196" spans="1:12">
      <c r="A196" s="37">
        <v>383</v>
      </c>
      <c r="B196" s="53" t="s">
        <v>26</v>
      </c>
      <c r="C196" s="53">
        <v>11547</v>
      </c>
      <c r="D196" s="54">
        <v>45689</v>
      </c>
      <c r="E196" s="54">
        <v>45716</v>
      </c>
      <c r="F196" s="53" t="s">
        <v>11</v>
      </c>
      <c r="G196" s="55">
        <v>150000</v>
      </c>
      <c r="H196" s="56">
        <v>5.0000000000000001E-3</v>
      </c>
      <c r="I196" s="53" t="s">
        <v>39</v>
      </c>
      <c r="J196" s="54">
        <v>45701</v>
      </c>
      <c r="K196" s="57" t="s">
        <v>575</v>
      </c>
      <c r="L196" s="58" t="s">
        <v>576</v>
      </c>
    </row>
    <row r="197" spans="1:12">
      <c r="A197" s="37">
        <v>384</v>
      </c>
      <c r="B197" s="52" t="s">
        <v>26</v>
      </c>
      <c r="C197" s="53">
        <v>8024</v>
      </c>
      <c r="D197" s="54">
        <v>45689</v>
      </c>
      <c r="E197" s="54">
        <v>45716</v>
      </c>
      <c r="F197" s="59" t="s">
        <v>11</v>
      </c>
      <c r="G197" s="55">
        <v>100000</v>
      </c>
      <c r="H197" s="60">
        <v>5.0000000000000001E-3</v>
      </c>
      <c r="I197" s="53" t="s">
        <v>39</v>
      </c>
      <c r="J197" s="54">
        <v>45701</v>
      </c>
      <c r="K197" s="57" t="s">
        <v>578</v>
      </c>
      <c r="L197" s="58" t="s">
        <v>579</v>
      </c>
    </row>
    <row r="198" spans="1:12">
      <c r="A198" s="37">
        <v>385</v>
      </c>
      <c r="B198" s="52" t="s">
        <v>26</v>
      </c>
      <c r="C198" s="53">
        <v>5633</v>
      </c>
      <c r="D198" s="54">
        <v>45689</v>
      </c>
      <c r="E198" s="54">
        <v>45716</v>
      </c>
      <c r="F198" s="53" t="s">
        <v>11</v>
      </c>
      <c r="G198" s="55">
        <v>90000</v>
      </c>
      <c r="H198" s="56">
        <v>5.0000000000000001E-3</v>
      </c>
      <c r="I198" s="53" t="s">
        <v>39</v>
      </c>
      <c r="J198" s="54">
        <v>45701</v>
      </c>
      <c r="K198" s="57" t="s">
        <v>581</v>
      </c>
      <c r="L198" s="58" t="s">
        <v>582</v>
      </c>
    </row>
    <row r="199" spans="1:12">
      <c r="A199" s="37">
        <v>386</v>
      </c>
      <c r="B199" s="53" t="s">
        <v>26</v>
      </c>
      <c r="C199" s="53">
        <v>14206</v>
      </c>
      <c r="D199" s="54">
        <v>45689</v>
      </c>
      <c r="E199" s="54">
        <v>45716</v>
      </c>
      <c r="F199" s="53" t="s">
        <v>11</v>
      </c>
      <c r="G199" s="55">
        <v>0.01</v>
      </c>
      <c r="H199" s="56">
        <v>0.01</v>
      </c>
      <c r="I199" s="53" t="s">
        <v>46</v>
      </c>
      <c r="J199" s="54">
        <v>45701</v>
      </c>
      <c r="K199" s="57" t="s">
        <v>583</v>
      </c>
      <c r="L199" s="58" t="s">
        <v>584</v>
      </c>
    </row>
    <row r="200" spans="1:12">
      <c r="A200" s="37">
        <v>387</v>
      </c>
      <c r="B200" s="52" t="s">
        <v>26</v>
      </c>
      <c r="C200" s="53">
        <v>14227</v>
      </c>
      <c r="D200" s="54">
        <v>45689</v>
      </c>
      <c r="E200" s="54">
        <v>45716</v>
      </c>
      <c r="F200" s="59" t="s">
        <v>11</v>
      </c>
      <c r="G200" s="55">
        <v>0.01</v>
      </c>
      <c r="H200" s="60">
        <v>0.01</v>
      </c>
      <c r="I200" s="53" t="s">
        <v>46</v>
      </c>
      <c r="J200" s="54">
        <v>45701</v>
      </c>
      <c r="K200" s="57" t="s">
        <v>583</v>
      </c>
      <c r="L200" s="58" t="s">
        <v>584</v>
      </c>
    </row>
    <row r="201" spans="1:12">
      <c r="A201" s="37">
        <v>388</v>
      </c>
      <c r="B201" s="52" t="s">
        <v>26</v>
      </c>
      <c r="C201" s="53">
        <v>15838</v>
      </c>
      <c r="D201" s="54">
        <v>45689</v>
      </c>
      <c r="E201" s="54">
        <v>45716</v>
      </c>
      <c r="F201" s="53" t="s">
        <v>11</v>
      </c>
      <c r="G201" s="55">
        <v>0.01</v>
      </c>
      <c r="H201" s="56">
        <v>0.01</v>
      </c>
      <c r="I201" s="53" t="s">
        <v>46</v>
      </c>
      <c r="J201" s="54">
        <v>45701</v>
      </c>
      <c r="K201" s="57" t="s">
        <v>583</v>
      </c>
      <c r="L201" s="58" t="s">
        <v>584</v>
      </c>
    </row>
    <row r="202" spans="1:12">
      <c r="A202" s="37">
        <v>389</v>
      </c>
      <c r="B202" s="53" t="s">
        <v>26</v>
      </c>
      <c r="C202" s="53">
        <v>16696</v>
      </c>
      <c r="D202" s="54">
        <v>45689</v>
      </c>
      <c r="E202" s="54">
        <v>45716</v>
      </c>
      <c r="F202" s="53" t="s">
        <v>11</v>
      </c>
      <c r="G202" s="55">
        <v>0.01</v>
      </c>
      <c r="H202" s="56">
        <v>0.01</v>
      </c>
      <c r="I202" s="53" t="s">
        <v>46</v>
      </c>
      <c r="J202" s="54">
        <v>45701</v>
      </c>
      <c r="K202" s="57" t="s">
        <v>583</v>
      </c>
      <c r="L202" s="58" t="s">
        <v>584</v>
      </c>
    </row>
    <row r="203" spans="1:12">
      <c r="A203" s="37">
        <v>390</v>
      </c>
      <c r="B203" s="52" t="s">
        <v>26</v>
      </c>
      <c r="C203" s="53">
        <v>16678</v>
      </c>
      <c r="D203" s="54">
        <v>45689</v>
      </c>
      <c r="E203" s="54">
        <v>45716</v>
      </c>
      <c r="F203" s="59" t="s">
        <v>11</v>
      </c>
      <c r="G203" s="55">
        <v>0.01</v>
      </c>
      <c r="H203" s="60">
        <v>0.01</v>
      </c>
      <c r="I203" s="53" t="s">
        <v>95</v>
      </c>
      <c r="J203" s="54">
        <v>45701</v>
      </c>
      <c r="K203" s="57" t="s">
        <v>583</v>
      </c>
      <c r="L203" s="58" t="s">
        <v>584</v>
      </c>
    </row>
    <row r="204" spans="1:12">
      <c r="A204" s="37">
        <v>391</v>
      </c>
      <c r="B204" s="52" t="s">
        <v>26</v>
      </c>
      <c r="C204" s="53">
        <v>14105</v>
      </c>
      <c r="D204" s="54">
        <v>45689</v>
      </c>
      <c r="E204" s="54">
        <v>45716</v>
      </c>
      <c r="F204" s="53" t="s">
        <v>11</v>
      </c>
      <c r="G204" s="55">
        <v>0.01</v>
      </c>
      <c r="H204" s="56">
        <v>2E-3</v>
      </c>
      <c r="I204" s="53" t="s">
        <v>32</v>
      </c>
      <c r="J204" s="54">
        <v>45702</v>
      </c>
      <c r="K204" s="57" t="s">
        <v>586</v>
      </c>
      <c r="L204" s="58" t="s">
        <v>587</v>
      </c>
    </row>
    <row r="205" spans="1:12">
      <c r="A205" s="37">
        <v>392</v>
      </c>
      <c r="B205" s="53" t="s">
        <v>26</v>
      </c>
      <c r="C205" s="53">
        <v>13749</v>
      </c>
      <c r="D205" s="54">
        <v>45689</v>
      </c>
      <c r="E205" s="54">
        <v>45716</v>
      </c>
      <c r="F205" s="53" t="s">
        <v>11</v>
      </c>
      <c r="G205" s="55">
        <v>1000</v>
      </c>
      <c r="H205" s="56">
        <v>1.7999999999999999E-2</v>
      </c>
      <c r="I205" s="53" t="s">
        <v>53</v>
      </c>
      <c r="J205" s="54">
        <v>45702</v>
      </c>
      <c r="K205" s="57" t="s">
        <v>589</v>
      </c>
      <c r="L205" s="58" t="s">
        <v>181</v>
      </c>
    </row>
    <row r="206" spans="1:12">
      <c r="A206" s="37">
        <v>393</v>
      </c>
      <c r="B206" s="52" t="s">
        <v>26</v>
      </c>
      <c r="C206" s="53">
        <v>8928</v>
      </c>
      <c r="D206" s="54">
        <v>45689</v>
      </c>
      <c r="E206" s="54">
        <v>45716</v>
      </c>
      <c r="F206" s="59" t="s">
        <v>11</v>
      </c>
      <c r="G206" s="55">
        <v>500000</v>
      </c>
      <c r="H206" s="60">
        <v>5.0000000000000001E-3</v>
      </c>
      <c r="I206" s="53" t="s">
        <v>20</v>
      </c>
      <c r="J206" s="54">
        <v>45702</v>
      </c>
      <c r="K206" s="57" t="s">
        <v>590</v>
      </c>
      <c r="L206" s="58" t="s">
        <v>591</v>
      </c>
    </row>
    <row r="207" spans="1:12">
      <c r="A207" s="37">
        <v>394</v>
      </c>
      <c r="B207" s="52" t="s">
        <v>26</v>
      </c>
      <c r="C207" s="53">
        <v>7640</v>
      </c>
      <c r="D207" s="54">
        <v>45689</v>
      </c>
      <c r="E207" s="54">
        <v>45716</v>
      </c>
      <c r="F207" s="53" t="s">
        <v>11</v>
      </c>
      <c r="G207" s="55">
        <v>100</v>
      </c>
      <c r="H207" s="56">
        <v>0.01</v>
      </c>
      <c r="I207" s="53" t="s">
        <v>49</v>
      </c>
      <c r="J207" s="54">
        <v>45702</v>
      </c>
      <c r="K207" s="57" t="s">
        <v>552</v>
      </c>
      <c r="L207" s="58" t="s">
        <v>553</v>
      </c>
    </row>
    <row r="208" spans="1:12">
      <c r="A208" s="37">
        <v>395</v>
      </c>
      <c r="B208" s="53" t="s">
        <v>26</v>
      </c>
      <c r="C208" s="53">
        <v>13977</v>
      </c>
      <c r="D208" s="54">
        <v>45689</v>
      </c>
      <c r="E208" s="54">
        <v>45716</v>
      </c>
      <c r="F208" s="53" t="s">
        <v>11</v>
      </c>
      <c r="G208" s="55">
        <v>100</v>
      </c>
      <c r="H208" s="56">
        <v>0.03</v>
      </c>
      <c r="I208" s="53" t="s">
        <v>49</v>
      </c>
      <c r="J208" s="54">
        <v>45702</v>
      </c>
      <c r="K208" s="57" t="s">
        <v>552</v>
      </c>
      <c r="L208" s="58" t="s">
        <v>301</v>
      </c>
    </row>
    <row r="209" spans="1:12">
      <c r="A209" s="37">
        <v>396</v>
      </c>
      <c r="B209" s="52" t="s">
        <v>26</v>
      </c>
      <c r="C209" s="53">
        <v>14129</v>
      </c>
      <c r="D209" s="54">
        <v>45689</v>
      </c>
      <c r="E209" s="54">
        <v>45716</v>
      </c>
      <c r="F209" s="59" t="s">
        <v>11</v>
      </c>
      <c r="G209" s="55">
        <v>10000</v>
      </c>
      <c r="H209" s="60">
        <v>0.01</v>
      </c>
      <c r="I209" s="53" t="s">
        <v>12</v>
      </c>
      <c r="J209" s="54">
        <v>45702</v>
      </c>
      <c r="K209" s="57" t="s">
        <v>594</v>
      </c>
      <c r="L209" s="58" t="s">
        <v>595</v>
      </c>
    </row>
    <row r="210" spans="1:12">
      <c r="A210" s="37">
        <v>397</v>
      </c>
      <c r="B210" s="52" t="s">
        <v>26</v>
      </c>
      <c r="C210" s="53">
        <v>10332</v>
      </c>
      <c r="D210" s="54">
        <v>45689</v>
      </c>
      <c r="E210" s="54">
        <v>45716</v>
      </c>
      <c r="F210" s="53" t="s">
        <v>11</v>
      </c>
      <c r="G210" s="55">
        <v>80000</v>
      </c>
      <c r="H210" s="56">
        <v>5.0000000000000001E-3</v>
      </c>
      <c r="I210" s="53" t="s">
        <v>39</v>
      </c>
      <c r="J210" s="54">
        <v>45702</v>
      </c>
      <c r="K210" s="57" t="s">
        <v>596</v>
      </c>
      <c r="L210" s="58" t="s">
        <v>759</v>
      </c>
    </row>
    <row r="211" spans="1:12">
      <c r="A211" s="37">
        <v>398</v>
      </c>
      <c r="B211" s="53" t="s">
        <v>26</v>
      </c>
      <c r="C211" s="53">
        <v>13694</v>
      </c>
      <c r="D211" s="54">
        <v>45689</v>
      </c>
      <c r="E211" s="54">
        <v>45716</v>
      </c>
      <c r="F211" s="53" t="s">
        <v>11</v>
      </c>
      <c r="G211" s="55">
        <v>200000</v>
      </c>
      <c r="H211" s="56">
        <v>5.0000000000000001E-3</v>
      </c>
      <c r="I211" s="53" t="s">
        <v>39</v>
      </c>
      <c r="J211" s="54">
        <v>45702</v>
      </c>
      <c r="K211" s="57" t="s">
        <v>596</v>
      </c>
      <c r="L211" s="58" t="s">
        <v>758</v>
      </c>
    </row>
    <row r="212" spans="1:12">
      <c r="A212" s="37">
        <v>399</v>
      </c>
      <c r="B212" s="52" t="s">
        <v>26</v>
      </c>
      <c r="C212" s="53">
        <v>6462</v>
      </c>
      <c r="D212" s="54">
        <v>45689</v>
      </c>
      <c r="E212" s="54">
        <v>45716</v>
      </c>
      <c r="F212" s="59" t="s">
        <v>11</v>
      </c>
      <c r="G212" s="55">
        <v>120000</v>
      </c>
      <c r="H212" s="60">
        <v>5.0000000000000001E-3</v>
      </c>
      <c r="I212" s="53" t="s">
        <v>39</v>
      </c>
      <c r="J212" s="54">
        <v>45702</v>
      </c>
      <c r="K212" s="57" t="s">
        <v>596</v>
      </c>
      <c r="L212" s="58" t="s">
        <v>758</v>
      </c>
    </row>
    <row r="213" spans="1:12">
      <c r="A213" s="37">
        <v>400</v>
      </c>
      <c r="B213" s="52" t="s">
        <v>26</v>
      </c>
      <c r="C213" s="53">
        <v>7629</v>
      </c>
      <c r="D213" s="54">
        <v>45689</v>
      </c>
      <c r="E213" s="54">
        <v>45716</v>
      </c>
      <c r="F213" s="53" t="s">
        <v>11</v>
      </c>
      <c r="G213" s="55">
        <v>100000</v>
      </c>
      <c r="H213" s="56">
        <v>2E-3</v>
      </c>
      <c r="I213" s="53" t="s">
        <v>39</v>
      </c>
      <c r="J213" s="54">
        <v>45702</v>
      </c>
      <c r="K213" s="57" t="s">
        <v>596</v>
      </c>
      <c r="L213" s="58" t="s">
        <v>758</v>
      </c>
    </row>
    <row r="214" spans="1:12">
      <c r="A214" s="37">
        <v>401</v>
      </c>
      <c r="B214" s="53" t="s">
        <v>26</v>
      </c>
      <c r="C214" s="53">
        <v>8843</v>
      </c>
      <c r="D214" s="54">
        <v>45689</v>
      </c>
      <c r="E214" s="54">
        <v>45716</v>
      </c>
      <c r="F214" s="53" t="s">
        <v>11</v>
      </c>
      <c r="G214" s="55">
        <v>90000</v>
      </c>
      <c r="H214" s="56">
        <v>5.0000000000000001E-3</v>
      </c>
      <c r="I214" s="53" t="s">
        <v>39</v>
      </c>
      <c r="J214" s="54">
        <v>45702</v>
      </c>
      <c r="K214" s="57" t="s">
        <v>596</v>
      </c>
      <c r="L214" s="58" t="s">
        <v>758</v>
      </c>
    </row>
    <row r="215" spans="1:12">
      <c r="A215" s="37">
        <v>402</v>
      </c>
      <c r="B215" s="52" t="s">
        <v>26</v>
      </c>
      <c r="C215" s="53">
        <v>10822</v>
      </c>
      <c r="D215" s="54">
        <v>45689</v>
      </c>
      <c r="E215" s="54">
        <v>45716</v>
      </c>
      <c r="F215" s="59" t="s">
        <v>11</v>
      </c>
      <c r="G215" s="55">
        <v>150000</v>
      </c>
      <c r="H215" s="60">
        <v>5.0000000000000001E-3</v>
      </c>
      <c r="I215" s="53" t="s">
        <v>39</v>
      </c>
      <c r="J215" s="54">
        <v>45702</v>
      </c>
      <c r="K215" s="57" t="s">
        <v>596</v>
      </c>
      <c r="L215" s="58" t="s">
        <v>758</v>
      </c>
    </row>
    <row r="216" spans="1:12">
      <c r="A216" s="37">
        <v>403</v>
      </c>
      <c r="B216" s="52" t="s">
        <v>26</v>
      </c>
      <c r="C216" s="53">
        <v>15233</v>
      </c>
      <c r="D216" s="54">
        <v>45689</v>
      </c>
      <c r="E216" s="54">
        <v>45716</v>
      </c>
      <c r="F216" s="53" t="s">
        <v>11</v>
      </c>
      <c r="G216" s="55">
        <v>100000</v>
      </c>
      <c r="H216" s="56">
        <v>2.5000000000000001E-3</v>
      </c>
      <c r="I216" s="53" t="s">
        <v>18</v>
      </c>
      <c r="J216" s="54">
        <v>45701</v>
      </c>
      <c r="K216" s="57" t="s">
        <v>609</v>
      </c>
      <c r="L216" s="58" t="s">
        <v>610</v>
      </c>
    </row>
    <row r="217" spans="1:12">
      <c r="A217" s="37">
        <v>404</v>
      </c>
      <c r="B217" s="53" t="s">
        <v>26</v>
      </c>
      <c r="C217" s="53">
        <v>5146</v>
      </c>
      <c r="D217" s="54">
        <v>45689</v>
      </c>
      <c r="E217" s="54">
        <v>45716</v>
      </c>
      <c r="F217" s="53" t="s">
        <v>11</v>
      </c>
      <c r="G217" s="55">
        <v>100000</v>
      </c>
      <c r="H217" s="56">
        <v>3.0000000000000001E-3</v>
      </c>
      <c r="I217" s="53" t="s">
        <v>18</v>
      </c>
      <c r="J217" s="54">
        <v>45701</v>
      </c>
      <c r="K217" s="57" t="s">
        <v>627</v>
      </c>
      <c r="L217" s="58" t="s">
        <v>610</v>
      </c>
    </row>
    <row r="218" spans="1:12" ht="51">
      <c r="A218" s="37">
        <v>405</v>
      </c>
      <c r="B218" s="52" t="s">
        <v>26</v>
      </c>
      <c r="C218" s="53" t="s">
        <v>612</v>
      </c>
      <c r="D218" s="54">
        <v>45689</v>
      </c>
      <c r="E218" s="54">
        <v>45716</v>
      </c>
      <c r="F218" s="59" t="s">
        <v>11</v>
      </c>
      <c r="G218" s="55">
        <v>10000</v>
      </c>
      <c r="H218" s="60">
        <v>5.0000000000000001E-3</v>
      </c>
      <c r="I218" s="53" t="s">
        <v>27</v>
      </c>
      <c r="J218" s="54">
        <v>45702</v>
      </c>
      <c r="K218" s="57" t="s">
        <v>611</v>
      </c>
      <c r="L218" s="58" t="s">
        <v>613</v>
      </c>
    </row>
    <row r="219" spans="1:12">
      <c r="A219" s="37">
        <v>406</v>
      </c>
      <c r="B219" s="52" t="s">
        <v>26</v>
      </c>
      <c r="C219" s="53">
        <v>14011</v>
      </c>
      <c r="D219" s="54">
        <v>45689</v>
      </c>
      <c r="E219" s="54">
        <v>45716</v>
      </c>
      <c r="F219" s="53" t="s">
        <v>11</v>
      </c>
      <c r="G219" s="55">
        <v>450000</v>
      </c>
      <c r="H219" s="56">
        <v>5.0000000000000001E-3</v>
      </c>
      <c r="I219" s="53" t="s">
        <v>95</v>
      </c>
      <c r="J219" s="54">
        <v>45702</v>
      </c>
      <c r="K219" s="57" t="s">
        <v>616</v>
      </c>
      <c r="L219" s="58" t="s">
        <v>617</v>
      </c>
    </row>
    <row r="220" spans="1:12">
      <c r="A220" s="37">
        <v>407</v>
      </c>
      <c r="B220" s="53" t="s">
        <v>26</v>
      </c>
      <c r="C220" s="53">
        <v>14938</v>
      </c>
      <c r="D220" s="54">
        <v>45689</v>
      </c>
      <c r="E220" s="54">
        <v>45716</v>
      </c>
      <c r="F220" s="53" t="s">
        <v>11</v>
      </c>
      <c r="G220" s="55">
        <v>500000</v>
      </c>
      <c r="H220" s="56">
        <v>2E-3</v>
      </c>
      <c r="I220" s="53" t="s">
        <v>18</v>
      </c>
      <c r="J220" s="54">
        <v>45703</v>
      </c>
      <c r="K220" s="57" t="s">
        <v>619</v>
      </c>
      <c r="L220" s="58" t="s">
        <v>620</v>
      </c>
    </row>
    <row r="221" spans="1:12">
      <c r="A221" s="37">
        <v>408</v>
      </c>
      <c r="B221" s="52" t="s">
        <v>26</v>
      </c>
      <c r="C221" s="53">
        <v>9248</v>
      </c>
      <c r="D221" s="54">
        <v>45689</v>
      </c>
      <c r="E221" s="54">
        <v>45716</v>
      </c>
      <c r="F221" s="59" t="s">
        <v>11</v>
      </c>
      <c r="G221" s="55">
        <v>0.01</v>
      </c>
      <c r="H221" s="60">
        <v>5.0000000000000001E-3</v>
      </c>
      <c r="I221" s="53" t="s">
        <v>20</v>
      </c>
      <c r="J221" s="54">
        <v>45703</v>
      </c>
      <c r="K221" s="57" t="s">
        <v>206</v>
      </c>
      <c r="L221" s="58" t="s">
        <v>222</v>
      </c>
    </row>
    <row r="222" spans="1:12">
      <c r="A222" s="37">
        <v>409</v>
      </c>
      <c r="B222" s="52" t="s">
        <v>26</v>
      </c>
      <c r="C222" s="53">
        <v>3566</v>
      </c>
      <c r="D222" s="54">
        <v>45689</v>
      </c>
      <c r="E222" s="54">
        <v>45716</v>
      </c>
      <c r="F222" s="53" t="s">
        <v>11</v>
      </c>
      <c r="G222" s="55">
        <v>0.01</v>
      </c>
      <c r="H222" s="56">
        <v>5.0000000000000001E-3</v>
      </c>
      <c r="I222" s="53" t="s">
        <v>20</v>
      </c>
      <c r="J222" s="54">
        <v>45705</v>
      </c>
      <c r="K222" s="57" t="s">
        <v>628</v>
      </c>
      <c r="L222" s="58" t="s">
        <v>629</v>
      </c>
    </row>
    <row r="223" spans="1:12">
      <c r="A223" s="37">
        <v>410</v>
      </c>
      <c r="B223" s="53" t="s">
        <v>26</v>
      </c>
      <c r="C223" s="53">
        <v>1452</v>
      </c>
      <c r="D223" s="54">
        <v>45689</v>
      </c>
      <c r="E223" s="54">
        <v>45716</v>
      </c>
      <c r="F223" s="53" t="s">
        <v>11</v>
      </c>
      <c r="G223" s="55">
        <v>300000</v>
      </c>
      <c r="H223" s="56">
        <v>1E-3</v>
      </c>
      <c r="I223" s="53" t="s">
        <v>17</v>
      </c>
      <c r="J223" s="54">
        <v>45705</v>
      </c>
      <c r="K223" s="57" t="s">
        <v>633</v>
      </c>
      <c r="L223" s="58" t="s">
        <v>634</v>
      </c>
    </row>
    <row r="224" spans="1:12">
      <c r="A224" s="37">
        <v>411</v>
      </c>
      <c r="B224" s="52" t="s">
        <v>26</v>
      </c>
      <c r="C224" s="53" t="s">
        <v>639</v>
      </c>
      <c r="D224" s="54">
        <v>45689</v>
      </c>
      <c r="E224" s="54">
        <v>45716</v>
      </c>
      <c r="F224" s="59" t="s">
        <v>11</v>
      </c>
      <c r="G224" s="55">
        <v>0.01</v>
      </c>
      <c r="H224" s="60">
        <v>5.0000000000000001E-3</v>
      </c>
      <c r="I224" s="53" t="s">
        <v>24</v>
      </c>
      <c r="J224" s="54">
        <v>45705</v>
      </c>
      <c r="K224" s="57" t="s">
        <v>533</v>
      </c>
      <c r="L224" s="58" t="s">
        <v>640</v>
      </c>
    </row>
    <row r="225" spans="1:12">
      <c r="A225" s="37">
        <v>412</v>
      </c>
      <c r="B225" s="52" t="s">
        <v>26</v>
      </c>
      <c r="C225" s="53" t="s">
        <v>646</v>
      </c>
      <c r="D225" s="54">
        <v>45689</v>
      </c>
      <c r="E225" s="54">
        <v>45716</v>
      </c>
      <c r="F225" s="53" t="s">
        <v>11</v>
      </c>
      <c r="G225" s="55">
        <v>100000</v>
      </c>
      <c r="H225" s="56">
        <v>2.5000000000000001E-3</v>
      </c>
      <c r="I225" s="53" t="s">
        <v>18</v>
      </c>
      <c r="J225" s="54">
        <v>45705</v>
      </c>
      <c r="K225" s="57" t="s">
        <v>645</v>
      </c>
      <c r="L225" s="58" t="s">
        <v>788</v>
      </c>
    </row>
    <row r="226" spans="1:12">
      <c r="A226" s="37">
        <v>413</v>
      </c>
      <c r="B226" s="53" t="s">
        <v>26</v>
      </c>
      <c r="C226" s="53">
        <v>15293</v>
      </c>
      <c r="D226" s="54">
        <v>45689</v>
      </c>
      <c r="E226" s="54">
        <v>45716</v>
      </c>
      <c r="F226" s="53" t="s">
        <v>11</v>
      </c>
      <c r="G226" s="55">
        <v>1000</v>
      </c>
      <c r="H226" s="56">
        <v>0.01</v>
      </c>
      <c r="I226" s="53" t="s">
        <v>18</v>
      </c>
      <c r="J226" s="54">
        <v>45705</v>
      </c>
      <c r="K226" s="57" t="s">
        <v>647</v>
      </c>
      <c r="L226" s="58" t="s">
        <v>790</v>
      </c>
    </row>
    <row r="227" spans="1:12">
      <c r="A227" s="37">
        <v>414</v>
      </c>
      <c r="B227" s="52" t="s">
        <v>26</v>
      </c>
      <c r="C227" s="53">
        <v>7274</v>
      </c>
      <c r="D227" s="54">
        <v>45705</v>
      </c>
      <c r="E227" s="54">
        <v>45716</v>
      </c>
      <c r="F227" s="59" t="s">
        <v>11</v>
      </c>
      <c r="G227" s="55">
        <v>500000</v>
      </c>
      <c r="H227" s="60">
        <v>1.4999999999999999E-2</v>
      </c>
      <c r="I227" s="53" t="s">
        <v>30</v>
      </c>
      <c r="J227" s="54">
        <v>45705</v>
      </c>
      <c r="K227" s="57" t="s">
        <v>649</v>
      </c>
      <c r="L227" s="58" t="s">
        <v>791</v>
      </c>
    </row>
    <row r="228" spans="1:12">
      <c r="A228" s="37">
        <v>415</v>
      </c>
      <c r="B228" s="52" t="s">
        <v>26</v>
      </c>
      <c r="C228" s="53">
        <v>13446</v>
      </c>
      <c r="D228" s="54">
        <v>45689</v>
      </c>
      <c r="E228" s="54">
        <v>45716</v>
      </c>
      <c r="F228" s="53" t="s">
        <v>11</v>
      </c>
      <c r="G228" s="55">
        <v>0.01</v>
      </c>
      <c r="H228" s="56">
        <v>0.01</v>
      </c>
      <c r="I228" s="53" t="s">
        <v>39</v>
      </c>
      <c r="J228" s="54">
        <v>45705</v>
      </c>
      <c r="K228" s="57" t="s">
        <v>364</v>
      </c>
      <c r="L228" s="58" t="s">
        <v>789</v>
      </c>
    </row>
    <row r="229" spans="1:12">
      <c r="A229" s="37">
        <v>416</v>
      </c>
      <c r="B229" s="53" t="s">
        <v>26</v>
      </c>
      <c r="C229" s="53">
        <v>14363</v>
      </c>
      <c r="D229" s="54">
        <v>45703</v>
      </c>
      <c r="E229" s="54">
        <v>45716</v>
      </c>
      <c r="F229" s="53" t="s">
        <v>11</v>
      </c>
      <c r="G229" s="55">
        <v>1000</v>
      </c>
      <c r="H229" s="56">
        <v>1.4999999999999999E-2</v>
      </c>
      <c r="I229" s="53" t="s">
        <v>15</v>
      </c>
      <c r="J229" s="54">
        <v>45705</v>
      </c>
      <c r="K229" s="57" t="s">
        <v>650</v>
      </c>
      <c r="L229" s="58" t="s">
        <v>154</v>
      </c>
    </row>
    <row r="230" spans="1:12">
      <c r="A230" s="37">
        <v>417</v>
      </c>
      <c r="B230" s="52" t="s">
        <v>26</v>
      </c>
      <c r="C230" s="53">
        <v>14554</v>
      </c>
      <c r="D230" s="54">
        <v>45689</v>
      </c>
      <c r="E230" s="54">
        <v>45716</v>
      </c>
      <c r="F230" s="59" t="s">
        <v>11</v>
      </c>
      <c r="G230" s="55">
        <v>10000</v>
      </c>
      <c r="H230" s="60">
        <v>0.01</v>
      </c>
      <c r="I230" s="53" t="s">
        <v>25</v>
      </c>
      <c r="J230" s="54">
        <v>45705</v>
      </c>
      <c r="K230" s="57" t="s">
        <v>655</v>
      </c>
      <c r="L230" s="58" t="s">
        <v>157</v>
      </c>
    </row>
    <row r="231" spans="1:12">
      <c r="A231" s="37">
        <v>418</v>
      </c>
      <c r="B231" s="52" t="s">
        <v>26</v>
      </c>
      <c r="C231" s="53">
        <v>15086</v>
      </c>
      <c r="D231" s="54">
        <v>45689</v>
      </c>
      <c r="E231" s="54">
        <v>45716</v>
      </c>
      <c r="F231" s="53" t="s">
        <v>11</v>
      </c>
      <c r="G231" s="55">
        <v>0.01</v>
      </c>
      <c r="H231" s="56">
        <v>0.02</v>
      </c>
      <c r="I231" s="53" t="s">
        <v>27</v>
      </c>
      <c r="J231" s="54">
        <v>45705</v>
      </c>
      <c r="K231" s="57" t="s">
        <v>655</v>
      </c>
      <c r="L231" s="58" t="s">
        <v>659</v>
      </c>
    </row>
    <row r="232" spans="1:12">
      <c r="A232" s="37">
        <v>419</v>
      </c>
      <c r="B232" s="53" t="s">
        <v>26</v>
      </c>
      <c r="C232" s="53">
        <v>12466</v>
      </c>
      <c r="D232" s="54">
        <v>45689</v>
      </c>
      <c r="E232" s="54">
        <v>45716</v>
      </c>
      <c r="F232" s="53" t="s">
        <v>11</v>
      </c>
      <c r="G232" s="55">
        <v>0.01</v>
      </c>
      <c r="H232" s="56">
        <v>0.02</v>
      </c>
      <c r="I232" s="53" t="s">
        <v>14</v>
      </c>
      <c r="J232" s="54">
        <v>45699</v>
      </c>
      <c r="K232" s="57" t="s">
        <v>660</v>
      </c>
      <c r="L232" s="58" t="s">
        <v>427</v>
      </c>
    </row>
    <row r="233" spans="1:12">
      <c r="A233" s="37">
        <v>420</v>
      </c>
      <c r="B233" s="52" t="s">
        <v>26</v>
      </c>
      <c r="C233" s="53">
        <v>12466</v>
      </c>
      <c r="D233" s="54">
        <v>45689</v>
      </c>
      <c r="E233" s="54">
        <v>45716</v>
      </c>
      <c r="F233" s="59" t="s">
        <v>11</v>
      </c>
      <c r="G233" s="55">
        <v>0.01</v>
      </c>
      <c r="H233" s="60">
        <v>0.01</v>
      </c>
      <c r="I233" s="53" t="s">
        <v>14</v>
      </c>
      <c r="J233" s="54">
        <v>45699</v>
      </c>
      <c r="K233" s="57" t="s">
        <v>660</v>
      </c>
      <c r="L233" s="58" t="s">
        <v>428</v>
      </c>
    </row>
    <row r="234" spans="1:12">
      <c r="A234" s="37">
        <v>421</v>
      </c>
      <c r="B234" s="52" t="s">
        <v>26</v>
      </c>
      <c r="C234" s="53">
        <v>9566</v>
      </c>
      <c r="D234" s="54">
        <v>45689</v>
      </c>
      <c r="E234" s="54">
        <v>45716</v>
      </c>
      <c r="F234" s="53" t="s">
        <v>11</v>
      </c>
      <c r="G234" s="55">
        <v>0.01</v>
      </c>
      <c r="H234" s="56">
        <v>5.0000000000000001E-3</v>
      </c>
      <c r="I234" s="53" t="s">
        <v>14</v>
      </c>
      <c r="J234" s="54">
        <v>45699</v>
      </c>
      <c r="K234" s="57" t="s">
        <v>660</v>
      </c>
      <c r="L234" s="58" t="s">
        <v>105</v>
      </c>
    </row>
    <row r="235" spans="1:12" ht="51">
      <c r="A235" s="37">
        <v>422</v>
      </c>
      <c r="B235" s="53" t="s">
        <v>26</v>
      </c>
      <c r="C235" s="53">
        <v>13922</v>
      </c>
      <c r="D235" s="54">
        <v>45689</v>
      </c>
      <c r="E235" s="54">
        <v>45716</v>
      </c>
      <c r="F235" s="53" t="s">
        <v>11</v>
      </c>
      <c r="G235" s="55">
        <v>0.01</v>
      </c>
      <c r="H235" s="56">
        <v>2.2000000000000001E-3</v>
      </c>
      <c r="I235" s="53" t="s">
        <v>14</v>
      </c>
      <c r="J235" s="54">
        <v>45699</v>
      </c>
      <c r="K235" s="57" t="s">
        <v>660</v>
      </c>
      <c r="L235" s="58" t="s">
        <v>730</v>
      </c>
    </row>
    <row r="236" spans="1:12" ht="51">
      <c r="A236" s="37">
        <v>423</v>
      </c>
      <c r="B236" s="52" t="s">
        <v>26</v>
      </c>
      <c r="C236" s="53">
        <v>13922</v>
      </c>
      <c r="D236" s="54">
        <v>45689</v>
      </c>
      <c r="E236" s="54">
        <v>45716</v>
      </c>
      <c r="F236" s="59" t="s">
        <v>11</v>
      </c>
      <c r="G236" s="55">
        <v>0.01</v>
      </c>
      <c r="H236" s="60">
        <v>1.1999999999999999E-3</v>
      </c>
      <c r="I236" s="53" t="s">
        <v>14</v>
      </c>
      <c r="J236" s="54">
        <v>45699</v>
      </c>
      <c r="K236" s="57" t="s">
        <v>660</v>
      </c>
      <c r="L236" s="58" t="s">
        <v>731</v>
      </c>
    </row>
    <row r="237" spans="1:12">
      <c r="A237" s="37">
        <v>424</v>
      </c>
      <c r="B237" s="52" t="s">
        <v>26</v>
      </c>
      <c r="C237" s="53">
        <v>13922</v>
      </c>
      <c r="D237" s="54">
        <v>45689</v>
      </c>
      <c r="E237" s="54">
        <v>45716</v>
      </c>
      <c r="F237" s="53" t="s">
        <v>11</v>
      </c>
      <c r="G237" s="55">
        <v>0.01</v>
      </c>
      <c r="H237" s="56">
        <v>2.1999999999999999E-2</v>
      </c>
      <c r="I237" s="53" t="s">
        <v>14</v>
      </c>
      <c r="J237" s="54">
        <v>45699</v>
      </c>
      <c r="K237" s="57" t="s">
        <v>660</v>
      </c>
      <c r="L237" s="58" t="s">
        <v>661</v>
      </c>
    </row>
    <row r="238" spans="1:12">
      <c r="A238" s="37">
        <v>425</v>
      </c>
      <c r="B238" s="53" t="s">
        <v>26</v>
      </c>
      <c r="C238" s="53">
        <v>13922</v>
      </c>
      <c r="D238" s="54">
        <v>45689</v>
      </c>
      <c r="E238" s="54">
        <v>45716</v>
      </c>
      <c r="F238" s="53" t="s">
        <v>11</v>
      </c>
      <c r="G238" s="55">
        <v>0.01</v>
      </c>
      <c r="H238" s="56">
        <v>1.2E-2</v>
      </c>
      <c r="I238" s="53" t="s">
        <v>14</v>
      </c>
      <c r="J238" s="54">
        <v>45699</v>
      </c>
      <c r="K238" s="57" t="s">
        <v>660</v>
      </c>
      <c r="L238" s="58" t="s">
        <v>662</v>
      </c>
    </row>
    <row r="239" spans="1:12">
      <c r="A239" s="37">
        <v>426</v>
      </c>
      <c r="B239" s="52" t="s">
        <v>26</v>
      </c>
      <c r="C239" s="53">
        <v>13922</v>
      </c>
      <c r="D239" s="54">
        <v>45689</v>
      </c>
      <c r="E239" s="54">
        <v>45716</v>
      </c>
      <c r="F239" s="59" t="s">
        <v>11</v>
      </c>
      <c r="G239" s="55">
        <v>0.01</v>
      </c>
      <c r="H239" s="60">
        <v>8.9999999999999993E-3</v>
      </c>
      <c r="I239" s="53" t="s">
        <v>14</v>
      </c>
      <c r="J239" s="54">
        <v>45699</v>
      </c>
      <c r="K239" s="57" t="s">
        <v>660</v>
      </c>
      <c r="L239" s="58" t="s">
        <v>663</v>
      </c>
    </row>
    <row r="240" spans="1:12">
      <c r="A240" s="37">
        <v>427</v>
      </c>
      <c r="B240" s="52" t="s">
        <v>26</v>
      </c>
      <c r="C240" s="53">
        <v>13922</v>
      </c>
      <c r="D240" s="54">
        <v>45689</v>
      </c>
      <c r="E240" s="54">
        <v>45716</v>
      </c>
      <c r="F240" s="53" t="s">
        <v>11</v>
      </c>
      <c r="G240" s="55">
        <v>0.01</v>
      </c>
      <c r="H240" s="56">
        <v>7.0000000000000001E-3</v>
      </c>
      <c r="I240" s="53" t="s">
        <v>14</v>
      </c>
      <c r="J240" s="54">
        <v>45699</v>
      </c>
      <c r="K240" s="57" t="s">
        <v>660</v>
      </c>
      <c r="L240" s="58" t="s">
        <v>664</v>
      </c>
    </row>
    <row r="241" spans="1:12">
      <c r="A241" s="37">
        <v>428</v>
      </c>
      <c r="B241" s="53" t="s">
        <v>26</v>
      </c>
      <c r="C241" s="53">
        <v>3038</v>
      </c>
      <c r="D241" s="54">
        <v>45702</v>
      </c>
      <c r="E241" s="54">
        <v>45716</v>
      </c>
      <c r="F241" s="53" t="s">
        <v>11</v>
      </c>
      <c r="G241" s="55">
        <v>0.01</v>
      </c>
      <c r="H241" s="56">
        <v>3.0000000000000001E-3</v>
      </c>
      <c r="I241" s="53" t="s">
        <v>19</v>
      </c>
      <c r="J241" s="54">
        <v>45703</v>
      </c>
      <c r="K241" s="57" t="s">
        <v>668</v>
      </c>
      <c r="L241" s="58" t="s">
        <v>669</v>
      </c>
    </row>
    <row r="242" spans="1:12">
      <c r="A242" s="37">
        <v>429</v>
      </c>
      <c r="B242" s="52" t="s">
        <v>26</v>
      </c>
      <c r="C242" s="53">
        <v>7002</v>
      </c>
      <c r="D242" s="54">
        <v>45702</v>
      </c>
      <c r="E242" s="54">
        <v>45716</v>
      </c>
      <c r="F242" s="59" t="s">
        <v>11</v>
      </c>
      <c r="G242" s="55">
        <v>0.01</v>
      </c>
      <c r="H242" s="60">
        <v>3.0000000000000001E-3</v>
      </c>
      <c r="I242" s="53" t="s">
        <v>19</v>
      </c>
      <c r="J242" s="54">
        <v>45703</v>
      </c>
      <c r="K242" s="57" t="s">
        <v>668</v>
      </c>
      <c r="L242" s="58" t="s">
        <v>669</v>
      </c>
    </row>
    <row r="243" spans="1:12">
      <c r="A243" s="37">
        <v>430</v>
      </c>
      <c r="B243" s="52" t="s">
        <v>26</v>
      </c>
      <c r="C243" s="53">
        <v>7060</v>
      </c>
      <c r="D243" s="54">
        <v>45689</v>
      </c>
      <c r="E243" s="54">
        <v>45716</v>
      </c>
      <c r="F243" s="53" t="s">
        <v>11</v>
      </c>
      <c r="G243" s="55">
        <v>50000</v>
      </c>
      <c r="H243" s="56">
        <v>1.5E-3</v>
      </c>
      <c r="I243" s="53" t="s">
        <v>18</v>
      </c>
      <c r="J243" s="54">
        <v>45705</v>
      </c>
      <c r="K243" s="57" t="s">
        <v>670</v>
      </c>
      <c r="L243" s="58" t="s">
        <v>671</v>
      </c>
    </row>
    <row r="244" spans="1:12">
      <c r="A244" s="37">
        <v>431</v>
      </c>
      <c r="B244" s="53" t="s">
        <v>26</v>
      </c>
      <c r="C244" s="53">
        <v>695</v>
      </c>
      <c r="D244" s="54">
        <v>45689</v>
      </c>
      <c r="E244" s="54">
        <v>45716</v>
      </c>
      <c r="F244" s="53" t="s">
        <v>11</v>
      </c>
      <c r="G244" s="55">
        <v>0.01</v>
      </c>
      <c r="H244" s="56">
        <v>2E-3</v>
      </c>
      <c r="I244" s="53" t="s">
        <v>19</v>
      </c>
      <c r="J244" s="54">
        <v>45705</v>
      </c>
      <c r="K244" s="57" t="s">
        <v>673</v>
      </c>
      <c r="L244" s="58" t="s">
        <v>674</v>
      </c>
    </row>
    <row r="245" spans="1:12">
      <c r="A245" s="37">
        <v>432</v>
      </c>
      <c r="B245" s="52" t="s">
        <v>26</v>
      </c>
      <c r="C245" s="53">
        <v>12340</v>
      </c>
      <c r="D245" s="54">
        <v>45689</v>
      </c>
      <c r="E245" s="54">
        <v>45716</v>
      </c>
      <c r="F245" s="59" t="s">
        <v>11</v>
      </c>
      <c r="G245" s="55">
        <v>300000</v>
      </c>
      <c r="H245" s="60">
        <v>1E-3</v>
      </c>
      <c r="I245" s="53" t="s">
        <v>17</v>
      </c>
      <c r="J245" s="54">
        <v>45705</v>
      </c>
      <c r="K245" s="57" t="s">
        <v>204</v>
      </c>
      <c r="L245" s="58" t="s">
        <v>732</v>
      </c>
    </row>
    <row r="246" spans="1:12">
      <c r="A246" s="37">
        <v>433</v>
      </c>
      <c r="B246" s="52" t="s">
        <v>26</v>
      </c>
      <c r="C246" s="53">
        <v>12340</v>
      </c>
      <c r="D246" s="54">
        <v>45689</v>
      </c>
      <c r="E246" s="54">
        <v>45716</v>
      </c>
      <c r="F246" s="53" t="s">
        <v>11</v>
      </c>
      <c r="G246" s="55">
        <v>500000</v>
      </c>
      <c r="H246" s="56">
        <v>2E-3</v>
      </c>
      <c r="I246" s="53" t="s">
        <v>17</v>
      </c>
      <c r="J246" s="54">
        <v>45705</v>
      </c>
      <c r="K246" s="57" t="s">
        <v>204</v>
      </c>
      <c r="L246" s="58" t="s">
        <v>732</v>
      </c>
    </row>
    <row r="247" spans="1:12">
      <c r="A247" s="37">
        <v>434</v>
      </c>
      <c r="B247" s="53" t="s">
        <v>26</v>
      </c>
      <c r="C247" s="53">
        <v>12147</v>
      </c>
      <c r="D247" s="54">
        <v>45689</v>
      </c>
      <c r="E247" s="54">
        <v>45716</v>
      </c>
      <c r="F247" s="53" t="s">
        <v>11</v>
      </c>
      <c r="G247" s="55">
        <v>200000</v>
      </c>
      <c r="H247" s="56">
        <v>300</v>
      </c>
      <c r="I247" s="53" t="s">
        <v>46</v>
      </c>
      <c r="J247" s="54">
        <v>45706</v>
      </c>
      <c r="K247" s="57" t="s">
        <v>680</v>
      </c>
      <c r="L247" s="58" t="s">
        <v>733</v>
      </c>
    </row>
    <row r="248" spans="1:12">
      <c r="A248" s="37">
        <v>435</v>
      </c>
      <c r="B248" s="52" t="s">
        <v>26</v>
      </c>
      <c r="C248" s="53">
        <v>5725</v>
      </c>
      <c r="D248" s="54">
        <v>45689</v>
      </c>
      <c r="E248" s="54">
        <v>45716</v>
      </c>
      <c r="F248" s="59" t="s">
        <v>11</v>
      </c>
      <c r="G248" s="55">
        <v>200000</v>
      </c>
      <c r="H248" s="60">
        <v>300</v>
      </c>
      <c r="I248" s="53" t="s">
        <v>46</v>
      </c>
      <c r="J248" s="54">
        <v>45706</v>
      </c>
      <c r="K248" s="57" t="s">
        <v>680</v>
      </c>
      <c r="L248" s="58" t="s">
        <v>733</v>
      </c>
    </row>
    <row r="249" spans="1:12">
      <c r="A249" s="37">
        <v>436</v>
      </c>
      <c r="B249" s="52" t="s">
        <v>26</v>
      </c>
      <c r="C249" s="53">
        <v>14382</v>
      </c>
      <c r="D249" s="54">
        <v>45689</v>
      </c>
      <c r="E249" s="54">
        <v>45716</v>
      </c>
      <c r="F249" s="53" t="s">
        <v>11</v>
      </c>
      <c r="G249" s="55">
        <v>200000</v>
      </c>
      <c r="H249" s="56">
        <v>300</v>
      </c>
      <c r="I249" s="53" t="s">
        <v>46</v>
      </c>
      <c r="J249" s="54">
        <v>45706</v>
      </c>
      <c r="K249" s="57" t="s">
        <v>680</v>
      </c>
      <c r="L249" s="58" t="s">
        <v>733</v>
      </c>
    </row>
    <row r="250" spans="1:12">
      <c r="A250" s="37">
        <v>437</v>
      </c>
      <c r="B250" s="53" t="s">
        <v>26</v>
      </c>
      <c r="C250" s="53">
        <v>10400</v>
      </c>
      <c r="D250" s="54">
        <v>45689</v>
      </c>
      <c r="E250" s="54">
        <v>45716</v>
      </c>
      <c r="F250" s="53" t="s">
        <v>11</v>
      </c>
      <c r="G250" s="55">
        <v>200000</v>
      </c>
      <c r="H250" s="56">
        <v>300</v>
      </c>
      <c r="I250" s="53" t="s">
        <v>46</v>
      </c>
      <c r="J250" s="54">
        <v>45706</v>
      </c>
      <c r="K250" s="57" t="s">
        <v>680</v>
      </c>
      <c r="L250" s="58" t="s">
        <v>733</v>
      </c>
    </row>
    <row r="251" spans="1:12">
      <c r="A251" s="37">
        <v>438</v>
      </c>
      <c r="B251" s="52" t="s">
        <v>26</v>
      </c>
      <c r="C251" s="53">
        <v>6359</v>
      </c>
      <c r="D251" s="54">
        <v>45689</v>
      </c>
      <c r="E251" s="54">
        <v>45716</v>
      </c>
      <c r="F251" s="59" t="s">
        <v>11</v>
      </c>
      <c r="G251" s="55">
        <v>200000</v>
      </c>
      <c r="H251" s="60">
        <v>300</v>
      </c>
      <c r="I251" s="53" t="s">
        <v>46</v>
      </c>
      <c r="J251" s="54">
        <v>45706</v>
      </c>
      <c r="K251" s="57" t="s">
        <v>680</v>
      </c>
      <c r="L251" s="58" t="s">
        <v>733</v>
      </c>
    </row>
    <row r="252" spans="1:12">
      <c r="A252" s="37">
        <v>439</v>
      </c>
      <c r="B252" s="52" t="s">
        <v>26</v>
      </c>
      <c r="C252" s="53">
        <v>10443</v>
      </c>
      <c r="D252" s="54">
        <v>45689</v>
      </c>
      <c r="E252" s="54">
        <v>45716</v>
      </c>
      <c r="F252" s="53" t="s">
        <v>11</v>
      </c>
      <c r="G252" s="55">
        <v>200000</v>
      </c>
      <c r="H252" s="56">
        <v>300</v>
      </c>
      <c r="I252" s="53" t="s">
        <v>46</v>
      </c>
      <c r="J252" s="54">
        <v>45706</v>
      </c>
      <c r="K252" s="57" t="s">
        <v>680</v>
      </c>
      <c r="L252" s="58" t="s">
        <v>733</v>
      </c>
    </row>
    <row r="253" spans="1:12">
      <c r="A253" s="37">
        <v>440</v>
      </c>
      <c r="B253" s="53" t="s">
        <v>26</v>
      </c>
      <c r="C253" s="53">
        <v>13113</v>
      </c>
      <c r="D253" s="54">
        <v>45689</v>
      </c>
      <c r="E253" s="54">
        <v>45716</v>
      </c>
      <c r="F253" s="53" t="s">
        <v>11</v>
      </c>
      <c r="G253" s="55">
        <v>0.01</v>
      </c>
      <c r="H253" s="56">
        <v>5.0000000000000001E-3</v>
      </c>
      <c r="I253" s="53" t="s">
        <v>34</v>
      </c>
      <c r="J253" s="54">
        <v>45706</v>
      </c>
      <c r="K253" s="57" t="s">
        <v>681</v>
      </c>
      <c r="L253" s="58" t="s">
        <v>682</v>
      </c>
    </row>
    <row r="254" spans="1:12">
      <c r="A254" s="37">
        <v>441</v>
      </c>
      <c r="B254" s="52" t="s">
        <v>26</v>
      </c>
      <c r="C254" s="53">
        <v>13113</v>
      </c>
      <c r="D254" s="54">
        <v>45689</v>
      </c>
      <c r="E254" s="54">
        <v>45716</v>
      </c>
      <c r="F254" s="59" t="s">
        <v>11</v>
      </c>
      <c r="G254" s="55">
        <v>0.01</v>
      </c>
      <c r="H254" s="60">
        <v>1.4999999999999999E-2</v>
      </c>
      <c r="I254" s="53" t="s">
        <v>34</v>
      </c>
      <c r="J254" s="54">
        <v>45706</v>
      </c>
      <c r="K254" s="57" t="s">
        <v>681</v>
      </c>
      <c r="L254" s="58" t="s">
        <v>683</v>
      </c>
    </row>
    <row r="255" spans="1:12">
      <c r="A255" s="37">
        <v>442</v>
      </c>
      <c r="B255" s="52" t="s">
        <v>26</v>
      </c>
      <c r="C255" s="53">
        <v>13113</v>
      </c>
      <c r="D255" s="54">
        <v>45689</v>
      </c>
      <c r="E255" s="54">
        <v>45716</v>
      </c>
      <c r="F255" s="53" t="s">
        <v>11</v>
      </c>
      <c r="G255" s="55">
        <v>0.01</v>
      </c>
      <c r="H255" s="56">
        <v>0.01</v>
      </c>
      <c r="I255" s="53" t="s">
        <v>34</v>
      </c>
      <c r="J255" s="54">
        <v>45706</v>
      </c>
      <c r="K255" s="57" t="s">
        <v>681</v>
      </c>
      <c r="L255" s="58" t="s">
        <v>700</v>
      </c>
    </row>
    <row r="256" spans="1:12">
      <c r="A256" s="37">
        <v>443</v>
      </c>
      <c r="B256" s="53" t="s">
        <v>26</v>
      </c>
      <c r="C256" s="53">
        <v>13368</v>
      </c>
      <c r="D256" s="54">
        <v>45689</v>
      </c>
      <c r="E256" s="54">
        <v>45716</v>
      </c>
      <c r="F256" s="53" t="s">
        <v>11</v>
      </c>
      <c r="G256" s="55">
        <v>0.01</v>
      </c>
      <c r="H256" s="56">
        <v>5.0000000000000001E-3</v>
      </c>
      <c r="I256" s="53" t="s">
        <v>32</v>
      </c>
      <c r="J256" s="54">
        <v>45706</v>
      </c>
      <c r="K256" s="57" t="s">
        <v>684</v>
      </c>
      <c r="L256" s="58" t="s">
        <v>682</v>
      </c>
    </row>
    <row r="257" spans="1:12">
      <c r="A257" s="37">
        <v>444</v>
      </c>
      <c r="B257" s="52" t="s">
        <v>26</v>
      </c>
      <c r="C257" s="53">
        <v>13368</v>
      </c>
      <c r="D257" s="54">
        <v>45689</v>
      </c>
      <c r="E257" s="54">
        <v>45716</v>
      </c>
      <c r="F257" s="59" t="s">
        <v>11</v>
      </c>
      <c r="G257" s="55">
        <v>0.01</v>
      </c>
      <c r="H257" s="60">
        <v>1.4999999999999999E-2</v>
      </c>
      <c r="I257" s="53" t="s">
        <v>32</v>
      </c>
      <c r="J257" s="54">
        <v>45706</v>
      </c>
      <c r="K257" s="57" t="s">
        <v>684</v>
      </c>
      <c r="L257" s="58" t="s">
        <v>683</v>
      </c>
    </row>
    <row r="258" spans="1:12">
      <c r="A258" s="37">
        <v>445</v>
      </c>
      <c r="B258" s="52" t="s">
        <v>26</v>
      </c>
      <c r="C258" s="53">
        <v>13368</v>
      </c>
      <c r="D258" s="54">
        <v>45689</v>
      </c>
      <c r="E258" s="54">
        <v>45716</v>
      </c>
      <c r="F258" s="53" t="s">
        <v>11</v>
      </c>
      <c r="G258" s="55">
        <v>0.01</v>
      </c>
      <c r="H258" s="56">
        <v>0.01</v>
      </c>
      <c r="I258" s="53" t="s">
        <v>32</v>
      </c>
      <c r="J258" s="54">
        <v>45706</v>
      </c>
      <c r="K258" s="57" t="s">
        <v>684</v>
      </c>
      <c r="L258" s="58" t="s">
        <v>700</v>
      </c>
    </row>
    <row r="259" spans="1:12">
      <c r="A259" s="37">
        <v>446</v>
      </c>
      <c r="B259" s="53" t="s">
        <v>26</v>
      </c>
      <c r="C259" s="53">
        <v>16895</v>
      </c>
      <c r="D259" s="54">
        <v>45689</v>
      </c>
      <c r="E259" s="54">
        <v>45716</v>
      </c>
      <c r="F259" s="53" t="s">
        <v>11</v>
      </c>
      <c r="G259" s="55">
        <v>100000</v>
      </c>
      <c r="H259" s="56">
        <v>3.0000000000000001E-3</v>
      </c>
      <c r="I259" s="53" t="s">
        <v>19</v>
      </c>
      <c r="J259" s="54">
        <v>45706</v>
      </c>
      <c r="K259" s="57" t="s">
        <v>687</v>
      </c>
      <c r="L259" s="58" t="s">
        <v>688</v>
      </c>
    </row>
    <row r="260" spans="1:12">
      <c r="A260" s="37">
        <v>447</v>
      </c>
      <c r="B260" s="52" t="s">
        <v>26</v>
      </c>
      <c r="C260" s="53">
        <v>15908</v>
      </c>
      <c r="D260" s="54">
        <v>45689</v>
      </c>
      <c r="E260" s="54">
        <v>45716</v>
      </c>
      <c r="F260" s="59" t="s">
        <v>11</v>
      </c>
      <c r="G260" s="55">
        <v>1000</v>
      </c>
      <c r="H260" s="60">
        <v>8.0000000000000002E-3</v>
      </c>
      <c r="I260" s="53" t="s">
        <v>34</v>
      </c>
      <c r="J260" s="54">
        <v>45707</v>
      </c>
      <c r="K260" s="57" t="s">
        <v>696</v>
      </c>
      <c r="L260" s="58" t="s">
        <v>697</v>
      </c>
    </row>
    <row r="261" spans="1:12">
      <c r="A261" s="37">
        <v>448</v>
      </c>
      <c r="B261" s="52" t="s">
        <v>26</v>
      </c>
      <c r="C261" s="53">
        <v>3446</v>
      </c>
      <c r="D261" s="54">
        <v>45689</v>
      </c>
      <c r="E261" s="54">
        <v>45716</v>
      </c>
      <c r="F261" s="53" t="s">
        <v>11</v>
      </c>
      <c r="G261" s="55">
        <v>0.01</v>
      </c>
      <c r="H261" s="56">
        <v>3.0000000000000001E-3</v>
      </c>
      <c r="I261" s="53" t="s">
        <v>29</v>
      </c>
      <c r="J261" s="54">
        <v>45707</v>
      </c>
      <c r="K261" s="57" t="s">
        <v>712</v>
      </c>
      <c r="L261" s="58" t="s">
        <v>713</v>
      </c>
    </row>
    <row r="262" spans="1:12">
      <c r="A262" s="37">
        <v>449</v>
      </c>
      <c r="B262" s="53" t="s">
        <v>26</v>
      </c>
      <c r="C262" s="53">
        <v>16572</v>
      </c>
      <c r="D262" s="54">
        <v>45707</v>
      </c>
      <c r="E262" s="54">
        <v>45716</v>
      </c>
      <c r="F262" s="53" t="s">
        <v>11</v>
      </c>
      <c r="G262" s="55">
        <v>0.01</v>
      </c>
      <c r="H262" s="56">
        <v>3.0000000000000001E-3</v>
      </c>
      <c r="I262" s="53" t="s">
        <v>12</v>
      </c>
      <c r="J262" s="54">
        <v>45707</v>
      </c>
      <c r="K262" s="57" t="s">
        <v>715</v>
      </c>
      <c r="L262" s="58" t="s">
        <v>716</v>
      </c>
    </row>
    <row r="263" spans="1:12">
      <c r="A263" s="37">
        <v>450</v>
      </c>
      <c r="B263" s="52" t="s">
        <v>26</v>
      </c>
      <c r="C263" s="53">
        <v>15859</v>
      </c>
      <c r="D263" s="54">
        <v>45689</v>
      </c>
      <c r="E263" s="54">
        <v>45716</v>
      </c>
      <c r="F263" s="59" t="s">
        <v>11</v>
      </c>
      <c r="G263" s="55">
        <v>0.01</v>
      </c>
      <c r="H263" s="60">
        <v>5.0000000000000001E-3</v>
      </c>
      <c r="I263" s="53" t="s">
        <v>168</v>
      </c>
      <c r="J263" s="54">
        <v>45708</v>
      </c>
      <c r="K263" s="57" t="s">
        <v>233</v>
      </c>
      <c r="L263" s="58" t="s">
        <v>718</v>
      </c>
    </row>
    <row r="264" spans="1:12">
      <c r="A264" s="37">
        <v>451</v>
      </c>
      <c r="B264" s="52" t="s">
        <v>26</v>
      </c>
      <c r="C264" s="53">
        <v>13617</v>
      </c>
      <c r="D264" s="54">
        <v>45705</v>
      </c>
      <c r="E264" s="54">
        <v>45716</v>
      </c>
      <c r="F264" s="53" t="s">
        <v>11</v>
      </c>
      <c r="G264" s="55">
        <v>0.01</v>
      </c>
      <c r="H264" s="56">
        <v>0.01</v>
      </c>
      <c r="I264" s="53" t="s">
        <v>30</v>
      </c>
      <c r="J264" s="54">
        <v>45708</v>
      </c>
      <c r="K264" s="57" t="s">
        <v>721</v>
      </c>
      <c r="L264" s="58" t="s">
        <v>648</v>
      </c>
    </row>
    <row r="265" spans="1:12">
      <c r="A265" s="37">
        <v>452</v>
      </c>
      <c r="B265" s="53" t="s">
        <v>26</v>
      </c>
      <c r="C265" s="53" t="s">
        <v>726</v>
      </c>
      <c r="D265" s="54">
        <v>45701</v>
      </c>
      <c r="E265" s="54">
        <v>45716</v>
      </c>
      <c r="F265" s="53" t="s">
        <v>11</v>
      </c>
      <c r="G265" s="55">
        <v>1000</v>
      </c>
      <c r="H265" s="56">
        <v>0.03</v>
      </c>
      <c r="I265" s="53" t="s">
        <v>27</v>
      </c>
      <c r="J265" s="54">
        <v>45708</v>
      </c>
      <c r="K265" s="57" t="s">
        <v>725</v>
      </c>
      <c r="L265" s="58" t="s">
        <v>727</v>
      </c>
    </row>
    <row r="266" spans="1:12">
      <c r="A266" s="37">
        <v>453</v>
      </c>
      <c r="B266" s="52" t="s">
        <v>26</v>
      </c>
      <c r="C266" s="53">
        <v>15664</v>
      </c>
      <c r="D266" s="54">
        <v>45689</v>
      </c>
      <c r="E266" s="54">
        <v>45716</v>
      </c>
      <c r="F266" s="59" t="s">
        <v>11</v>
      </c>
      <c r="G266" s="55">
        <v>50000</v>
      </c>
      <c r="H266" s="60">
        <v>2.5000000000000001E-3</v>
      </c>
      <c r="I266" s="53" t="s">
        <v>18</v>
      </c>
      <c r="J266" s="54">
        <v>45708</v>
      </c>
      <c r="K266" s="57" t="s">
        <v>728</v>
      </c>
      <c r="L266" s="58" t="s">
        <v>764</v>
      </c>
    </row>
    <row r="267" spans="1:12">
      <c r="A267" s="37">
        <v>454</v>
      </c>
      <c r="B267" s="52" t="s">
        <v>26</v>
      </c>
      <c r="C267" s="53" t="s">
        <v>90</v>
      </c>
      <c r="D267" s="54">
        <v>45689</v>
      </c>
      <c r="E267" s="54">
        <v>45716</v>
      </c>
      <c r="F267" s="53" t="s">
        <v>11</v>
      </c>
      <c r="G267" s="55">
        <v>0.01</v>
      </c>
      <c r="H267" s="56">
        <v>8.9999999999999993E-3</v>
      </c>
      <c r="I267" s="53" t="s">
        <v>14</v>
      </c>
      <c r="J267" s="54">
        <v>45708</v>
      </c>
      <c r="K267" s="57" t="s">
        <v>660</v>
      </c>
      <c r="L267" s="58" t="s">
        <v>729</v>
      </c>
    </row>
    <row r="268" spans="1:12">
      <c r="A268" s="37">
        <v>455</v>
      </c>
      <c r="B268" s="53" t="s">
        <v>26</v>
      </c>
      <c r="C268" s="53">
        <v>15244</v>
      </c>
      <c r="D268" s="54">
        <v>45689</v>
      </c>
      <c r="E268" s="54">
        <v>45716</v>
      </c>
      <c r="F268" s="53" t="s">
        <v>11</v>
      </c>
      <c r="G268" s="55">
        <v>1000</v>
      </c>
      <c r="H268" s="56">
        <v>2.5000000000000001E-3</v>
      </c>
      <c r="I268" s="53" t="s">
        <v>12</v>
      </c>
      <c r="J268" s="54">
        <v>45709</v>
      </c>
      <c r="K268" s="57" t="s">
        <v>734</v>
      </c>
      <c r="L268" s="58" t="s">
        <v>735</v>
      </c>
    </row>
    <row r="269" spans="1:12">
      <c r="A269" s="37">
        <v>456</v>
      </c>
      <c r="B269" s="52" t="s">
        <v>26</v>
      </c>
      <c r="C269" s="53" t="s">
        <v>223</v>
      </c>
      <c r="D269" s="54">
        <v>45689</v>
      </c>
      <c r="E269" s="54">
        <v>45716</v>
      </c>
      <c r="F269" s="59" t="s">
        <v>11</v>
      </c>
      <c r="G269" s="55">
        <v>400000</v>
      </c>
      <c r="H269" s="60">
        <v>1.5E-3</v>
      </c>
      <c r="I269" s="53" t="s">
        <v>32</v>
      </c>
      <c r="J269" s="54">
        <v>45709</v>
      </c>
      <c r="K269" s="57" t="s">
        <v>736</v>
      </c>
      <c r="L269" s="58" t="s">
        <v>737</v>
      </c>
    </row>
    <row r="270" spans="1:12">
      <c r="A270" s="37">
        <v>457</v>
      </c>
      <c r="B270" s="52" t="s">
        <v>26</v>
      </c>
      <c r="C270" s="53">
        <v>9212</v>
      </c>
      <c r="D270" s="54">
        <v>45689</v>
      </c>
      <c r="E270" s="54">
        <v>45716</v>
      </c>
      <c r="F270" s="53" t="s">
        <v>11</v>
      </c>
      <c r="G270" s="55">
        <v>0.01</v>
      </c>
      <c r="H270" s="56">
        <v>0.01</v>
      </c>
      <c r="I270" s="53" t="s">
        <v>14</v>
      </c>
      <c r="J270" s="54">
        <v>45709</v>
      </c>
      <c r="K270" s="57" t="s">
        <v>739</v>
      </c>
      <c r="L270" s="58" t="s">
        <v>740</v>
      </c>
    </row>
    <row r="271" spans="1:12">
      <c r="A271" s="37">
        <v>458</v>
      </c>
      <c r="B271" s="53" t="s">
        <v>26</v>
      </c>
      <c r="C271" s="53">
        <v>16979</v>
      </c>
      <c r="D271" s="54">
        <v>45709</v>
      </c>
      <c r="E271" s="54">
        <v>45716</v>
      </c>
      <c r="F271" s="53" t="s">
        <v>11</v>
      </c>
      <c r="G271" s="55">
        <v>30000</v>
      </c>
      <c r="H271" s="56">
        <v>5.0000000000000001E-3</v>
      </c>
      <c r="I271" s="53" t="s">
        <v>19</v>
      </c>
      <c r="J271" s="54">
        <v>45712</v>
      </c>
      <c r="K271" s="57" t="s">
        <v>743</v>
      </c>
      <c r="L271" s="58" t="s">
        <v>591</v>
      </c>
    </row>
    <row r="272" spans="1:12">
      <c r="A272" s="37">
        <v>459</v>
      </c>
      <c r="B272" s="52" t="s">
        <v>26</v>
      </c>
      <c r="C272" s="53">
        <v>6846</v>
      </c>
      <c r="D272" s="54">
        <v>45709</v>
      </c>
      <c r="E272" s="54">
        <v>45716</v>
      </c>
      <c r="F272" s="59" t="s">
        <v>11</v>
      </c>
      <c r="G272" s="55">
        <v>0.01</v>
      </c>
      <c r="H272" s="60">
        <v>0.01</v>
      </c>
      <c r="I272" s="53" t="s">
        <v>17</v>
      </c>
      <c r="J272" s="54">
        <v>45712</v>
      </c>
      <c r="K272" s="57" t="s">
        <v>744</v>
      </c>
      <c r="L272" s="58" t="s">
        <v>745</v>
      </c>
    </row>
    <row r="273" spans="1:12">
      <c r="A273" s="37">
        <v>460</v>
      </c>
      <c r="B273" s="52" t="s">
        <v>26</v>
      </c>
      <c r="C273" s="53">
        <v>16475</v>
      </c>
      <c r="D273" s="54">
        <v>45689</v>
      </c>
      <c r="E273" s="54">
        <v>45716</v>
      </c>
      <c r="F273" s="53" t="s">
        <v>11</v>
      </c>
      <c r="G273" s="55">
        <v>500000</v>
      </c>
      <c r="H273" s="56">
        <v>1E-3</v>
      </c>
      <c r="I273" s="53" t="s">
        <v>20</v>
      </c>
      <c r="J273" s="54">
        <v>45712</v>
      </c>
      <c r="K273" s="57" t="s">
        <v>747</v>
      </c>
      <c r="L273" s="58" t="s">
        <v>177</v>
      </c>
    </row>
    <row r="274" spans="1:12">
      <c r="A274" s="37">
        <v>461</v>
      </c>
      <c r="B274" s="53" t="s">
        <v>26</v>
      </c>
      <c r="C274" s="53">
        <v>16475</v>
      </c>
      <c r="D274" s="54">
        <v>45689</v>
      </c>
      <c r="E274" s="54">
        <v>45716</v>
      </c>
      <c r="F274" s="53" t="s">
        <v>11</v>
      </c>
      <c r="G274" s="55">
        <v>1000000</v>
      </c>
      <c r="H274" s="56">
        <v>2E-3</v>
      </c>
      <c r="I274" s="53" t="s">
        <v>20</v>
      </c>
      <c r="J274" s="54">
        <v>45712</v>
      </c>
      <c r="K274" s="57" t="s">
        <v>747</v>
      </c>
      <c r="L274" s="58" t="s">
        <v>177</v>
      </c>
    </row>
    <row r="275" spans="1:12">
      <c r="A275" s="37">
        <v>462</v>
      </c>
      <c r="B275" s="52" t="s">
        <v>26</v>
      </c>
      <c r="C275" s="53">
        <v>16475</v>
      </c>
      <c r="D275" s="54">
        <v>45689</v>
      </c>
      <c r="E275" s="54">
        <v>45716</v>
      </c>
      <c r="F275" s="59" t="s">
        <v>11</v>
      </c>
      <c r="G275" s="55">
        <v>1500000</v>
      </c>
      <c r="H275" s="60">
        <v>3.0000000000000001E-3</v>
      </c>
      <c r="I275" s="53" t="s">
        <v>20</v>
      </c>
      <c r="J275" s="54">
        <v>45712</v>
      </c>
      <c r="K275" s="57" t="s">
        <v>747</v>
      </c>
      <c r="L275" s="58" t="s">
        <v>177</v>
      </c>
    </row>
    <row r="276" spans="1:12">
      <c r="A276" s="37">
        <v>463</v>
      </c>
      <c r="B276" s="52" t="s">
        <v>26</v>
      </c>
      <c r="C276" s="53">
        <v>16475</v>
      </c>
      <c r="D276" s="54">
        <v>45689</v>
      </c>
      <c r="E276" s="54">
        <v>45716</v>
      </c>
      <c r="F276" s="53" t="s">
        <v>11</v>
      </c>
      <c r="G276" s="55">
        <v>2000000</v>
      </c>
      <c r="H276" s="56">
        <v>4.0000000000000001E-3</v>
      </c>
      <c r="I276" s="53" t="s">
        <v>20</v>
      </c>
      <c r="J276" s="54">
        <v>45712</v>
      </c>
      <c r="K276" s="57" t="s">
        <v>747</v>
      </c>
      <c r="L276" s="58" t="s">
        <v>177</v>
      </c>
    </row>
    <row r="277" spans="1:12" ht="25.5">
      <c r="A277" s="37">
        <v>464</v>
      </c>
      <c r="B277" s="53" t="s">
        <v>26</v>
      </c>
      <c r="C277" s="53">
        <v>7566</v>
      </c>
      <c r="D277" s="54">
        <v>45714</v>
      </c>
      <c r="E277" s="54">
        <v>45716</v>
      </c>
      <c r="F277" s="53" t="s">
        <v>11</v>
      </c>
      <c r="G277" s="55">
        <v>0.1</v>
      </c>
      <c r="H277" s="56">
        <v>3.0000000000000001E-3</v>
      </c>
      <c r="I277" s="53" t="s">
        <v>13</v>
      </c>
      <c r="J277" s="54">
        <v>45714</v>
      </c>
      <c r="K277" s="57" t="s">
        <v>760</v>
      </c>
      <c r="L277" s="58" t="s">
        <v>761</v>
      </c>
    </row>
    <row r="278" spans="1:12">
      <c r="A278" s="37">
        <v>465</v>
      </c>
      <c r="B278" s="52" t="s">
        <v>26</v>
      </c>
      <c r="C278" s="53" t="s">
        <v>765</v>
      </c>
      <c r="D278" s="54">
        <v>45708</v>
      </c>
      <c r="E278" s="54">
        <v>45716</v>
      </c>
      <c r="F278" s="59" t="s">
        <v>11</v>
      </c>
      <c r="G278" s="55">
        <v>1000</v>
      </c>
      <c r="H278" s="60">
        <v>0.01</v>
      </c>
      <c r="I278" s="53" t="s">
        <v>53</v>
      </c>
      <c r="J278" s="54">
        <v>45716</v>
      </c>
      <c r="K278" s="57" t="s">
        <v>767</v>
      </c>
      <c r="L278" s="58" t="s">
        <v>766</v>
      </c>
    </row>
    <row r="279" spans="1:12">
      <c r="A279" s="37">
        <v>466</v>
      </c>
      <c r="B279" s="52" t="s">
        <v>832</v>
      </c>
      <c r="C279" s="53">
        <v>6905</v>
      </c>
      <c r="D279" s="54">
        <v>45708</v>
      </c>
      <c r="E279" s="54">
        <v>45716</v>
      </c>
      <c r="F279" s="53" t="s">
        <v>11</v>
      </c>
      <c r="G279" s="55">
        <v>0.01</v>
      </c>
      <c r="H279" s="56">
        <v>1.23E-2</v>
      </c>
      <c r="I279" s="53" t="s">
        <v>17</v>
      </c>
      <c r="J279" s="54">
        <v>45723</v>
      </c>
      <c r="K279" s="57" t="s">
        <v>831</v>
      </c>
      <c r="L279" s="58" t="s">
        <v>833</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3BCB-3006-4F15-BE97-9D4B3CEAB509}">
  <dimension ref="A1:U188"/>
  <sheetViews>
    <sheetView workbookViewId="0">
      <selection activeCell="A2" sqref="A2:XFD188"/>
    </sheetView>
  </sheetViews>
  <sheetFormatPr defaultRowHeight="15"/>
  <cols>
    <col min="1" max="1" width="4" bestFit="1" customWidth="1"/>
    <col min="2" max="2" width="13.42578125" bestFit="1" customWidth="1"/>
    <col min="3" max="3" width="27.140625" bestFit="1" customWidth="1"/>
    <col min="4" max="5" width="10.7109375" bestFit="1" customWidth="1"/>
    <col min="6" max="6" width="22.5703125" bestFit="1" customWidth="1"/>
    <col min="7" max="7" width="14.42578125" bestFit="1" customWidth="1"/>
    <col min="8" max="8" width="24.28515625" bestFit="1" customWidth="1"/>
    <col min="9" max="9" width="27.42578125" bestFit="1" customWidth="1"/>
    <col min="10" max="10" width="21" bestFit="1" customWidth="1"/>
    <col min="11" max="11" width="102.42578125" bestFit="1" customWidth="1"/>
    <col min="12" max="12" width="251.85546875" bestFit="1" customWidth="1"/>
  </cols>
  <sheetData>
    <row r="1" spans="1:21" s="49" customFormat="1" ht="22.5" customHeight="1">
      <c r="A1" s="43" t="s">
        <v>43</v>
      </c>
      <c r="B1" s="44" t="s">
        <v>0</v>
      </c>
      <c r="C1" s="45" t="s">
        <v>1</v>
      </c>
      <c r="D1" s="46" t="s">
        <v>2</v>
      </c>
      <c r="E1" s="46" t="s">
        <v>3</v>
      </c>
      <c r="F1" s="45" t="s">
        <v>44</v>
      </c>
      <c r="G1" s="46" t="s">
        <v>4</v>
      </c>
      <c r="H1" s="47" t="s">
        <v>5</v>
      </c>
      <c r="I1" s="43" t="s">
        <v>8</v>
      </c>
      <c r="J1" s="45" t="s">
        <v>9</v>
      </c>
      <c r="K1" s="45" t="s">
        <v>56</v>
      </c>
      <c r="L1" s="46" t="s">
        <v>45</v>
      </c>
      <c r="M1" s="48"/>
      <c r="N1" s="48"/>
      <c r="O1" s="48"/>
      <c r="P1" s="48"/>
      <c r="Q1" s="48"/>
      <c r="R1" s="48"/>
      <c r="S1" s="48"/>
      <c r="T1" s="48"/>
      <c r="U1" s="48"/>
    </row>
    <row r="2" spans="1:21">
      <c r="A2" s="37">
        <v>1</v>
      </c>
      <c r="B2" s="65" t="s">
        <v>230</v>
      </c>
      <c r="C2" s="66" t="s">
        <v>284</v>
      </c>
      <c r="D2" s="67">
        <v>45658</v>
      </c>
      <c r="E2" s="67">
        <v>45688</v>
      </c>
      <c r="F2" s="37" t="s">
        <v>11</v>
      </c>
      <c r="G2" s="68">
        <v>0.01</v>
      </c>
      <c r="H2" s="69">
        <v>1E-3</v>
      </c>
      <c r="I2" s="66" t="s">
        <v>29</v>
      </c>
      <c r="J2" s="67">
        <v>45580</v>
      </c>
      <c r="K2" s="37" t="s">
        <v>191</v>
      </c>
      <c r="L2" s="37" t="s">
        <v>193</v>
      </c>
    </row>
    <row r="3" spans="1:21">
      <c r="A3" s="37">
        <v>2</v>
      </c>
      <c r="B3" s="65" t="s">
        <v>230</v>
      </c>
      <c r="C3" s="66" t="s">
        <v>207</v>
      </c>
      <c r="D3" s="67">
        <v>45597</v>
      </c>
      <c r="E3" s="67">
        <v>45688</v>
      </c>
      <c r="F3" s="37" t="s">
        <v>11</v>
      </c>
      <c r="G3" s="68">
        <v>0.01</v>
      </c>
      <c r="H3" s="69">
        <v>2.5000000000000001E-3</v>
      </c>
      <c r="I3" s="66" t="s">
        <v>24</v>
      </c>
      <c r="J3" s="67">
        <v>45670</v>
      </c>
      <c r="K3" s="37" t="s">
        <v>338</v>
      </c>
      <c r="L3" s="37" t="s">
        <v>339</v>
      </c>
    </row>
    <row r="4" spans="1:21">
      <c r="A4" s="37">
        <v>3</v>
      </c>
      <c r="B4" s="65" t="s">
        <v>230</v>
      </c>
      <c r="C4" s="66">
        <v>15152</v>
      </c>
      <c r="D4" s="67">
        <v>45658</v>
      </c>
      <c r="E4" s="67">
        <v>45688</v>
      </c>
      <c r="F4" s="37" t="s">
        <v>11</v>
      </c>
      <c r="G4" s="68">
        <v>100000</v>
      </c>
      <c r="H4" s="70">
        <v>0.5</v>
      </c>
      <c r="I4" s="66" t="s">
        <v>39</v>
      </c>
      <c r="J4" s="67">
        <v>45614</v>
      </c>
      <c r="K4" s="37" t="s">
        <v>212</v>
      </c>
      <c r="L4" s="37" t="s">
        <v>251</v>
      </c>
    </row>
    <row r="5" spans="1:21">
      <c r="A5" s="37">
        <v>4</v>
      </c>
      <c r="B5" s="65" t="s">
        <v>230</v>
      </c>
      <c r="C5" s="66">
        <v>15152</v>
      </c>
      <c r="D5" s="67">
        <v>45658</v>
      </c>
      <c r="E5" s="67">
        <v>45688</v>
      </c>
      <c r="F5" s="37" t="s">
        <v>11</v>
      </c>
      <c r="G5" s="68">
        <v>100000</v>
      </c>
      <c r="H5" s="70">
        <v>0.3</v>
      </c>
      <c r="I5" s="66" t="s">
        <v>39</v>
      </c>
      <c r="J5" s="67">
        <v>45614</v>
      </c>
      <c r="K5" s="37" t="s">
        <v>212</v>
      </c>
      <c r="L5" s="37" t="s">
        <v>213</v>
      </c>
    </row>
    <row r="6" spans="1:21">
      <c r="A6" s="37">
        <v>5</v>
      </c>
      <c r="B6" s="65" t="s">
        <v>230</v>
      </c>
      <c r="C6" s="66" t="s">
        <v>186</v>
      </c>
      <c r="D6" s="67">
        <v>45627</v>
      </c>
      <c r="E6" s="67">
        <v>45688</v>
      </c>
      <c r="F6" s="37" t="s">
        <v>11</v>
      </c>
      <c r="G6" s="68">
        <v>1300000</v>
      </c>
      <c r="H6" s="69">
        <v>1E-3</v>
      </c>
      <c r="I6" s="66" t="s">
        <v>29</v>
      </c>
      <c r="J6" s="67">
        <v>45637</v>
      </c>
      <c r="K6" s="37" t="s">
        <v>185</v>
      </c>
      <c r="L6" s="37" t="s">
        <v>253</v>
      </c>
    </row>
    <row r="7" spans="1:21">
      <c r="A7" s="37">
        <v>6</v>
      </c>
      <c r="B7" s="65" t="s">
        <v>230</v>
      </c>
      <c r="C7" s="66">
        <v>9431</v>
      </c>
      <c r="D7" s="67">
        <v>45658</v>
      </c>
      <c r="E7" s="67">
        <v>45688</v>
      </c>
      <c r="F7" s="37" t="s">
        <v>11</v>
      </c>
      <c r="G7" s="68">
        <v>100000</v>
      </c>
      <c r="H7" s="69">
        <v>5.0000000000000001E-3</v>
      </c>
      <c r="I7" s="66" t="s">
        <v>39</v>
      </c>
      <c r="J7" s="67">
        <v>45639</v>
      </c>
      <c r="K7" s="37" t="s">
        <v>228</v>
      </c>
      <c r="L7" s="37" t="s">
        <v>340</v>
      </c>
    </row>
    <row r="8" spans="1:21">
      <c r="A8" s="37">
        <v>7</v>
      </c>
      <c r="B8" s="65" t="s">
        <v>230</v>
      </c>
      <c r="C8" s="66">
        <v>14918</v>
      </c>
      <c r="D8" s="67">
        <v>45658</v>
      </c>
      <c r="E8" s="67">
        <v>45688</v>
      </c>
      <c r="F8" s="37" t="s">
        <v>11</v>
      </c>
      <c r="G8" s="68">
        <v>150000</v>
      </c>
      <c r="H8" s="69">
        <v>5.0000000000000001E-4</v>
      </c>
      <c r="I8" s="66" t="s">
        <v>17</v>
      </c>
      <c r="J8" s="67">
        <v>45642</v>
      </c>
      <c r="K8" s="37" t="s">
        <v>158</v>
      </c>
      <c r="L8" s="37" t="s">
        <v>360</v>
      </c>
    </row>
    <row r="9" spans="1:21">
      <c r="A9" s="37">
        <v>8</v>
      </c>
      <c r="B9" s="65" t="s">
        <v>230</v>
      </c>
      <c r="C9" s="66">
        <v>14918</v>
      </c>
      <c r="D9" s="67">
        <v>45658</v>
      </c>
      <c r="E9" s="67">
        <v>45688</v>
      </c>
      <c r="F9" s="37" t="s">
        <v>11</v>
      </c>
      <c r="G9" s="68">
        <v>300000</v>
      </c>
      <c r="H9" s="69">
        <v>1E-3</v>
      </c>
      <c r="I9" s="66" t="s">
        <v>17</v>
      </c>
      <c r="J9" s="67">
        <v>45642</v>
      </c>
      <c r="K9" s="37" t="s">
        <v>158</v>
      </c>
      <c r="L9" s="37" t="s">
        <v>360</v>
      </c>
    </row>
    <row r="10" spans="1:21">
      <c r="A10" s="37">
        <v>9</v>
      </c>
      <c r="B10" s="65" t="s">
        <v>230</v>
      </c>
      <c r="C10" s="66">
        <v>12692</v>
      </c>
      <c r="D10" s="67">
        <v>45658</v>
      </c>
      <c r="E10" s="67">
        <v>45688</v>
      </c>
      <c r="F10" s="37" t="s">
        <v>11</v>
      </c>
      <c r="G10" s="68">
        <v>200000</v>
      </c>
      <c r="H10" s="69">
        <v>1E-3</v>
      </c>
      <c r="I10" s="66" t="s">
        <v>17</v>
      </c>
      <c r="J10" s="67">
        <v>45639</v>
      </c>
      <c r="K10" s="37" t="s">
        <v>214</v>
      </c>
      <c r="L10" s="37" t="s">
        <v>144</v>
      </c>
    </row>
    <row r="11" spans="1:21">
      <c r="A11" s="37">
        <v>10</v>
      </c>
      <c r="B11" s="65" t="s">
        <v>230</v>
      </c>
      <c r="C11" s="66">
        <v>12340</v>
      </c>
      <c r="D11" s="67">
        <v>45658</v>
      </c>
      <c r="E11" s="67">
        <v>45688</v>
      </c>
      <c r="F11" s="37" t="s">
        <v>11</v>
      </c>
      <c r="G11" s="68">
        <v>300000</v>
      </c>
      <c r="H11" s="69">
        <v>1E-3</v>
      </c>
      <c r="I11" s="66" t="s">
        <v>17</v>
      </c>
      <c r="J11" s="67">
        <v>45639</v>
      </c>
      <c r="K11" s="37" t="s">
        <v>204</v>
      </c>
      <c r="L11" s="37" t="s">
        <v>252</v>
      </c>
    </row>
    <row r="12" spans="1:21">
      <c r="A12" s="37">
        <v>11</v>
      </c>
      <c r="B12" s="65" t="s">
        <v>230</v>
      </c>
      <c r="C12" s="66">
        <v>12340</v>
      </c>
      <c r="D12" s="67">
        <v>45658</v>
      </c>
      <c r="E12" s="67">
        <v>45688</v>
      </c>
      <c r="F12" s="37" t="s">
        <v>11</v>
      </c>
      <c r="G12" s="68">
        <v>500000</v>
      </c>
      <c r="H12" s="69">
        <v>2E-3</v>
      </c>
      <c r="I12" s="66" t="s">
        <v>17</v>
      </c>
      <c r="J12" s="67">
        <v>45639</v>
      </c>
      <c r="K12" s="37" t="s">
        <v>204</v>
      </c>
      <c r="L12" s="37" t="s">
        <v>252</v>
      </c>
    </row>
    <row r="13" spans="1:21">
      <c r="A13" s="37">
        <v>12</v>
      </c>
      <c r="B13" s="65" t="s">
        <v>230</v>
      </c>
      <c r="C13" s="66">
        <v>13929</v>
      </c>
      <c r="D13" s="67">
        <v>45658</v>
      </c>
      <c r="E13" s="67">
        <v>45688</v>
      </c>
      <c r="F13" s="37" t="s">
        <v>11</v>
      </c>
      <c r="G13" s="68">
        <v>100000</v>
      </c>
      <c r="H13" s="69">
        <v>2.5000000000000001E-3</v>
      </c>
      <c r="I13" s="66" t="s">
        <v>20</v>
      </c>
      <c r="J13" s="67">
        <v>45660</v>
      </c>
      <c r="K13" s="37" t="s">
        <v>238</v>
      </c>
      <c r="L13" s="37" t="s">
        <v>239</v>
      </c>
    </row>
    <row r="14" spans="1:21">
      <c r="A14" s="37">
        <v>13</v>
      </c>
      <c r="B14" s="65" t="s">
        <v>230</v>
      </c>
      <c r="C14" s="66">
        <v>8835</v>
      </c>
      <c r="D14" s="67">
        <v>45658</v>
      </c>
      <c r="E14" s="67">
        <v>45688</v>
      </c>
      <c r="F14" s="37" t="s">
        <v>11</v>
      </c>
      <c r="G14" s="68">
        <v>100000</v>
      </c>
      <c r="H14" s="69">
        <v>2.5000000000000001E-3</v>
      </c>
      <c r="I14" s="66" t="s">
        <v>20</v>
      </c>
      <c r="J14" s="67">
        <v>45660</v>
      </c>
      <c r="K14" s="37" t="s">
        <v>240</v>
      </c>
      <c r="L14" s="37" t="s">
        <v>239</v>
      </c>
    </row>
    <row r="15" spans="1:21">
      <c r="A15" s="37">
        <v>14</v>
      </c>
      <c r="B15" s="65" t="s">
        <v>230</v>
      </c>
      <c r="C15" s="66">
        <v>6995</v>
      </c>
      <c r="D15" s="67">
        <v>45658</v>
      </c>
      <c r="E15" s="67">
        <v>45688</v>
      </c>
      <c r="F15" s="37" t="s">
        <v>11</v>
      </c>
      <c r="G15" s="68">
        <v>0.01</v>
      </c>
      <c r="H15" s="69">
        <v>2E-3</v>
      </c>
      <c r="I15" s="66" t="s">
        <v>34</v>
      </c>
      <c r="J15" s="67">
        <v>45660</v>
      </c>
      <c r="K15" s="37" t="s">
        <v>241</v>
      </c>
      <c r="L15" s="37" t="s">
        <v>143</v>
      </c>
    </row>
    <row r="16" spans="1:21">
      <c r="A16" s="37">
        <v>15</v>
      </c>
      <c r="B16" s="65" t="s">
        <v>230</v>
      </c>
      <c r="C16" s="66">
        <v>6995</v>
      </c>
      <c r="D16" s="67">
        <v>45658</v>
      </c>
      <c r="E16" s="67">
        <v>45688</v>
      </c>
      <c r="F16" s="37" t="s">
        <v>11</v>
      </c>
      <c r="G16" s="68">
        <v>0.01</v>
      </c>
      <c r="H16" s="69">
        <v>5.0000000000000001E-3</v>
      </c>
      <c r="I16" s="66" t="s">
        <v>34</v>
      </c>
      <c r="J16" s="67">
        <v>45660</v>
      </c>
      <c r="K16" s="37" t="s">
        <v>242</v>
      </c>
      <c r="L16" s="37" t="s">
        <v>236</v>
      </c>
    </row>
    <row r="17" spans="1:12">
      <c r="A17" s="37">
        <v>16</v>
      </c>
      <c r="B17" s="65" t="s">
        <v>230</v>
      </c>
      <c r="C17" s="66">
        <v>10426</v>
      </c>
      <c r="D17" s="67">
        <v>45658</v>
      </c>
      <c r="E17" s="67">
        <v>45688</v>
      </c>
      <c r="F17" s="37" t="s">
        <v>11</v>
      </c>
      <c r="G17" s="68">
        <v>0.01</v>
      </c>
      <c r="H17" s="69">
        <v>2E-3</v>
      </c>
      <c r="I17" s="66" t="s">
        <v>34</v>
      </c>
      <c r="J17" s="67">
        <v>45660</v>
      </c>
      <c r="K17" s="37" t="s">
        <v>243</v>
      </c>
      <c r="L17" s="37" t="s">
        <v>143</v>
      </c>
    </row>
    <row r="18" spans="1:12">
      <c r="A18" s="37">
        <v>17</v>
      </c>
      <c r="B18" s="65" t="s">
        <v>230</v>
      </c>
      <c r="C18" s="66">
        <v>10426</v>
      </c>
      <c r="D18" s="67">
        <v>45658</v>
      </c>
      <c r="E18" s="67">
        <v>45688</v>
      </c>
      <c r="F18" s="37" t="s">
        <v>11</v>
      </c>
      <c r="G18" s="68">
        <v>0.01</v>
      </c>
      <c r="H18" s="69">
        <v>5.0000000000000001E-3</v>
      </c>
      <c r="I18" s="66" t="s">
        <v>34</v>
      </c>
      <c r="J18" s="67">
        <v>45660</v>
      </c>
      <c r="K18" s="37" t="s">
        <v>244</v>
      </c>
      <c r="L18" s="37" t="s">
        <v>236</v>
      </c>
    </row>
    <row r="19" spans="1:12">
      <c r="A19" s="37">
        <v>18</v>
      </c>
      <c r="B19" s="65" t="s">
        <v>230</v>
      </c>
      <c r="C19" s="66">
        <v>15589</v>
      </c>
      <c r="D19" s="67">
        <v>45658</v>
      </c>
      <c r="E19" s="67">
        <v>45688</v>
      </c>
      <c r="F19" s="37" t="s">
        <v>11</v>
      </c>
      <c r="G19" s="68">
        <v>10000</v>
      </c>
      <c r="H19" s="69">
        <v>5.0000000000000001E-3</v>
      </c>
      <c r="I19" s="66" t="s">
        <v>20</v>
      </c>
      <c r="J19" s="67">
        <v>45660</v>
      </c>
      <c r="K19" s="37" t="s">
        <v>245</v>
      </c>
      <c r="L19" s="37" t="s">
        <v>295</v>
      </c>
    </row>
    <row r="20" spans="1:12">
      <c r="A20" s="37">
        <v>19</v>
      </c>
      <c r="B20" s="65" t="s">
        <v>230</v>
      </c>
      <c r="C20" s="66">
        <v>14154</v>
      </c>
      <c r="D20" s="67">
        <v>45658</v>
      </c>
      <c r="E20" s="67">
        <v>45687</v>
      </c>
      <c r="F20" s="37" t="s">
        <v>11</v>
      </c>
      <c r="G20" s="68">
        <v>150000</v>
      </c>
      <c r="H20" s="69">
        <v>1.5E-3</v>
      </c>
      <c r="I20" s="66" t="s">
        <v>20</v>
      </c>
      <c r="J20" s="67">
        <v>45660</v>
      </c>
      <c r="K20" s="37" t="s">
        <v>246</v>
      </c>
      <c r="L20" s="37" t="s">
        <v>239</v>
      </c>
    </row>
    <row r="21" spans="1:12">
      <c r="A21" s="37">
        <v>20</v>
      </c>
      <c r="B21" s="65" t="s">
        <v>230</v>
      </c>
      <c r="C21" s="66">
        <v>3752</v>
      </c>
      <c r="D21" s="67">
        <v>45658</v>
      </c>
      <c r="E21" s="67">
        <v>45688</v>
      </c>
      <c r="F21" s="37" t="s">
        <v>11</v>
      </c>
      <c r="G21" s="68">
        <v>350000</v>
      </c>
      <c r="H21" s="71">
        <v>200</v>
      </c>
      <c r="I21" s="66" t="s">
        <v>32</v>
      </c>
      <c r="J21" s="67">
        <v>45660</v>
      </c>
      <c r="K21" s="37" t="s">
        <v>247</v>
      </c>
      <c r="L21" s="37" t="s">
        <v>248</v>
      </c>
    </row>
    <row r="22" spans="1:12">
      <c r="A22" s="37">
        <v>21</v>
      </c>
      <c r="B22" s="65" t="s">
        <v>230</v>
      </c>
      <c r="C22" s="66">
        <v>8075</v>
      </c>
      <c r="D22" s="67">
        <v>45658</v>
      </c>
      <c r="E22" s="67">
        <v>45688</v>
      </c>
      <c r="F22" s="37" t="s">
        <v>11</v>
      </c>
      <c r="G22" s="68">
        <v>350000</v>
      </c>
      <c r="H22" s="71">
        <v>200</v>
      </c>
      <c r="I22" s="66" t="s">
        <v>32</v>
      </c>
      <c r="J22" s="67">
        <v>45660</v>
      </c>
      <c r="K22" s="37" t="s">
        <v>211</v>
      </c>
      <c r="L22" s="37" t="s">
        <v>254</v>
      </c>
    </row>
    <row r="23" spans="1:12">
      <c r="A23" s="37">
        <v>22</v>
      </c>
      <c r="B23" s="65" t="s">
        <v>230</v>
      </c>
      <c r="C23" s="66">
        <v>14452</v>
      </c>
      <c r="D23" s="67">
        <v>45658</v>
      </c>
      <c r="E23" s="67">
        <v>45687</v>
      </c>
      <c r="F23" s="37" t="s">
        <v>11</v>
      </c>
      <c r="G23" s="68">
        <v>100000</v>
      </c>
      <c r="H23" s="69">
        <v>7.0000000000000001E-3</v>
      </c>
      <c r="I23" s="66" t="s">
        <v>20</v>
      </c>
      <c r="J23" s="67">
        <v>45660</v>
      </c>
      <c r="K23" s="37" t="s">
        <v>249</v>
      </c>
      <c r="L23" s="37" t="s">
        <v>250</v>
      </c>
    </row>
    <row r="24" spans="1:12">
      <c r="A24" s="37">
        <v>23</v>
      </c>
      <c r="B24" s="65" t="s">
        <v>230</v>
      </c>
      <c r="C24" s="66">
        <v>1818</v>
      </c>
      <c r="D24" s="67">
        <v>45658</v>
      </c>
      <c r="E24" s="67">
        <v>45688</v>
      </c>
      <c r="F24" s="37" t="s">
        <v>11</v>
      </c>
      <c r="G24" s="68">
        <v>500000</v>
      </c>
      <c r="H24" s="69">
        <v>2E-3</v>
      </c>
      <c r="I24" s="66" t="s">
        <v>19</v>
      </c>
      <c r="J24" s="67">
        <v>45664</v>
      </c>
      <c r="K24" s="37" t="s">
        <v>89</v>
      </c>
      <c r="L24" s="37" t="s">
        <v>63</v>
      </c>
    </row>
    <row r="25" spans="1:12">
      <c r="A25" s="37">
        <v>24</v>
      </c>
      <c r="B25" s="65" t="s">
        <v>230</v>
      </c>
      <c r="C25" s="66">
        <v>6719</v>
      </c>
      <c r="D25" s="67">
        <v>45658</v>
      </c>
      <c r="E25" s="67">
        <v>45688</v>
      </c>
      <c r="F25" s="37" t="s">
        <v>11</v>
      </c>
      <c r="G25" s="68">
        <v>0.01</v>
      </c>
      <c r="H25" s="69">
        <v>3.0000000000000001E-3</v>
      </c>
      <c r="I25" s="66" t="s">
        <v>19</v>
      </c>
      <c r="J25" s="67">
        <v>45664</v>
      </c>
      <c r="K25" s="37" t="s">
        <v>255</v>
      </c>
      <c r="L25" s="37" t="s">
        <v>266</v>
      </c>
    </row>
    <row r="26" spans="1:12">
      <c r="A26" s="37">
        <v>25</v>
      </c>
      <c r="B26" s="65" t="s">
        <v>230</v>
      </c>
      <c r="C26" s="66" t="s">
        <v>210</v>
      </c>
      <c r="D26" s="67">
        <v>45658</v>
      </c>
      <c r="E26" s="67">
        <v>45688</v>
      </c>
      <c r="F26" s="37" t="s">
        <v>197</v>
      </c>
      <c r="G26" s="68">
        <v>300000</v>
      </c>
      <c r="H26" s="69">
        <v>4.0000000000000001E-3</v>
      </c>
      <c r="I26" s="66" t="s">
        <v>19</v>
      </c>
      <c r="J26" s="67">
        <v>45664</v>
      </c>
      <c r="K26" s="37" t="s">
        <v>256</v>
      </c>
      <c r="L26" s="37" t="s">
        <v>371</v>
      </c>
    </row>
    <row r="27" spans="1:12">
      <c r="A27" s="37">
        <v>26</v>
      </c>
      <c r="B27" s="65" t="s">
        <v>230</v>
      </c>
      <c r="C27" s="66">
        <v>15304</v>
      </c>
      <c r="D27" s="67">
        <v>45658</v>
      </c>
      <c r="E27" s="67">
        <v>45688</v>
      </c>
      <c r="F27" s="37" t="s">
        <v>11</v>
      </c>
      <c r="G27" s="68">
        <v>0.01</v>
      </c>
      <c r="H27" s="69">
        <v>2.5000000000000001E-3</v>
      </c>
      <c r="I27" s="66" t="s">
        <v>32</v>
      </c>
      <c r="J27" s="67">
        <v>45664</v>
      </c>
      <c r="K27" s="37" t="s">
        <v>257</v>
      </c>
      <c r="L27" s="37" t="s">
        <v>143</v>
      </c>
    </row>
    <row r="28" spans="1:12">
      <c r="A28" s="37">
        <v>27</v>
      </c>
      <c r="B28" s="65" t="s">
        <v>230</v>
      </c>
      <c r="C28" s="66" t="s">
        <v>259</v>
      </c>
      <c r="D28" s="67">
        <v>45658</v>
      </c>
      <c r="E28" s="67">
        <v>45688</v>
      </c>
      <c r="F28" s="37" t="s">
        <v>11</v>
      </c>
      <c r="G28" s="68">
        <v>400000</v>
      </c>
      <c r="H28" s="69">
        <v>1.5E-3</v>
      </c>
      <c r="I28" s="66" t="s">
        <v>32</v>
      </c>
      <c r="J28" s="67">
        <v>45664</v>
      </c>
      <c r="K28" s="37" t="s">
        <v>258</v>
      </c>
      <c r="L28" s="37" t="s">
        <v>265</v>
      </c>
    </row>
    <row r="29" spans="1:12">
      <c r="A29" s="37">
        <v>28</v>
      </c>
      <c r="B29" s="65" t="s">
        <v>230</v>
      </c>
      <c r="C29" s="66">
        <v>695</v>
      </c>
      <c r="D29" s="67">
        <v>45658</v>
      </c>
      <c r="E29" s="67">
        <v>45687</v>
      </c>
      <c r="F29" s="37" t="s">
        <v>11</v>
      </c>
      <c r="G29" s="68">
        <v>0.01</v>
      </c>
      <c r="H29" s="69">
        <v>2E-3</v>
      </c>
      <c r="I29" s="66" t="s">
        <v>19</v>
      </c>
      <c r="J29" s="67">
        <v>45665</v>
      </c>
      <c r="K29" s="37" t="s">
        <v>260</v>
      </c>
      <c r="L29" s="37" t="s">
        <v>267</v>
      </c>
    </row>
    <row r="30" spans="1:12">
      <c r="A30" s="37">
        <v>29</v>
      </c>
      <c r="B30" s="65" t="s">
        <v>230</v>
      </c>
      <c r="C30" s="66" t="s">
        <v>285</v>
      </c>
      <c r="D30" s="67">
        <v>45658</v>
      </c>
      <c r="E30" s="67">
        <v>45688</v>
      </c>
      <c r="F30" s="37" t="s">
        <v>11</v>
      </c>
      <c r="G30" s="68">
        <v>500000</v>
      </c>
      <c r="H30" s="69">
        <v>1E-3</v>
      </c>
      <c r="I30" s="66" t="s">
        <v>32</v>
      </c>
      <c r="J30" s="67">
        <v>45665</v>
      </c>
      <c r="K30" s="37" t="s">
        <v>261</v>
      </c>
      <c r="L30" s="37" t="s">
        <v>372</v>
      </c>
    </row>
    <row r="31" spans="1:12">
      <c r="A31" s="37">
        <v>30</v>
      </c>
      <c r="B31" s="65" t="s">
        <v>230</v>
      </c>
      <c r="C31" s="66">
        <v>15942</v>
      </c>
      <c r="D31" s="67">
        <v>45658</v>
      </c>
      <c r="E31" s="67">
        <v>45688</v>
      </c>
      <c r="F31" s="37" t="s">
        <v>11</v>
      </c>
      <c r="G31" s="68">
        <v>0.01</v>
      </c>
      <c r="H31" s="69">
        <v>2.5000000000000001E-3</v>
      </c>
      <c r="I31" s="66" t="s">
        <v>19</v>
      </c>
      <c r="J31" s="67">
        <v>45665</v>
      </c>
      <c r="K31" s="37" t="s">
        <v>262</v>
      </c>
      <c r="L31" s="37" t="s">
        <v>263</v>
      </c>
    </row>
    <row r="32" spans="1:12">
      <c r="A32" s="37">
        <v>31</v>
      </c>
      <c r="B32" s="65" t="s">
        <v>230</v>
      </c>
      <c r="C32" s="66">
        <v>16238</v>
      </c>
      <c r="D32" s="67">
        <v>45658</v>
      </c>
      <c r="E32" s="67">
        <v>45687</v>
      </c>
      <c r="F32" s="37" t="s">
        <v>11</v>
      </c>
      <c r="G32" s="68">
        <v>0.01</v>
      </c>
      <c r="H32" s="69">
        <v>1.4999999999999999E-2</v>
      </c>
      <c r="I32" s="66" t="s">
        <v>19</v>
      </c>
      <c r="J32" s="67">
        <v>45665</v>
      </c>
      <c r="K32" s="37" t="s">
        <v>264</v>
      </c>
      <c r="L32" s="37" t="s">
        <v>266</v>
      </c>
    </row>
    <row r="33" spans="1:12">
      <c r="A33" s="37">
        <v>32</v>
      </c>
      <c r="B33" s="65" t="s">
        <v>230</v>
      </c>
      <c r="C33" s="66">
        <v>15064</v>
      </c>
      <c r="D33" s="67">
        <v>45658</v>
      </c>
      <c r="E33" s="67">
        <v>45688</v>
      </c>
      <c r="F33" s="37" t="s">
        <v>11</v>
      </c>
      <c r="G33" s="68">
        <v>0.01</v>
      </c>
      <c r="H33" s="69">
        <v>2.5000000000000001E-3</v>
      </c>
      <c r="I33" s="66" t="s">
        <v>20</v>
      </c>
      <c r="J33" s="67">
        <v>45666</v>
      </c>
      <c r="K33" s="37" t="s">
        <v>135</v>
      </c>
      <c r="L33" s="37" t="s">
        <v>137</v>
      </c>
    </row>
    <row r="34" spans="1:12">
      <c r="A34" s="37">
        <v>33</v>
      </c>
      <c r="B34" s="65" t="s">
        <v>230</v>
      </c>
      <c r="C34" s="66" t="s">
        <v>269</v>
      </c>
      <c r="D34" s="67">
        <v>45658</v>
      </c>
      <c r="E34" s="67">
        <v>45688</v>
      </c>
      <c r="F34" s="37" t="s">
        <v>11</v>
      </c>
      <c r="G34" s="68">
        <v>500000</v>
      </c>
      <c r="H34" s="69">
        <v>1.5E-3</v>
      </c>
      <c r="I34" s="66" t="s">
        <v>32</v>
      </c>
      <c r="J34" s="67">
        <v>45666</v>
      </c>
      <c r="K34" s="37" t="s">
        <v>268</v>
      </c>
      <c r="L34" s="37" t="s">
        <v>270</v>
      </c>
    </row>
    <row r="35" spans="1:12">
      <c r="A35" s="37">
        <v>34</v>
      </c>
      <c r="B35" s="65" t="s">
        <v>230</v>
      </c>
      <c r="C35" s="66">
        <v>15980</v>
      </c>
      <c r="D35" s="67">
        <v>45658</v>
      </c>
      <c r="E35" s="67">
        <v>45688</v>
      </c>
      <c r="F35" s="37" t="s">
        <v>11</v>
      </c>
      <c r="G35" s="68">
        <v>0.01</v>
      </c>
      <c r="H35" s="69">
        <v>7.0000000000000001E-3</v>
      </c>
      <c r="I35" s="66" t="s">
        <v>20</v>
      </c>
      <c r="J35" s="67">
        <v>45666</v>
      </c>
      <c r="K35" s="37" t="s">
        <v>271</v>
      </c>
      <c r="L35" s="37" t="s">
        <v>272</v>
      </c>
    </row>
    <row r="36" spans="1:12">
      <c r="A36" s="37">
        <v>35</v>
      </c>
      <c r="B36" s="65" t="s">
        <v>230</v>
      </c>
      <c r="C36" s="66" t="s">
        <v>286</v>
      </c>
      <c r="D36" s="67">
        <v>45658</v>
      </c>
      <c r="E36" s="67">
        <v>45688</v>
      </c>
      <c r="F36" s="37" t="s">
        <v>11</v>
      </c>
      <c r="G36" s="68">
        <v>800000</v>
      </c>
      <c r="H36" s="69">
        <v>1E-3</v>
      </c>
      <c r="I36" s="66" t="s">
        <v>17</v>
      </c>
      <c r="J36" s="67">
        <v>45666</v>
      </c>
      <c r="K36" s="37" t="s">
        <v>189</v>
      </c>
      <c r="L36" s="37" t="s">
        <v>313</v>
      </c>
    </row>
    <row r="37" spans="1:12">
      <c r="A37" s="37">
        <v>36</v>
      </c>
      <c r="B37" s="65" t="s">
        <v>230</v>
      </c>
      <c r="C37" s="66">
        <v>13053</v>
      </c>
      <c r="D37" s="67">
        <v>45659</v>
      </c>
      <c r="E37" s="67">
        <v>45688</v>
      </c>
      <c r="F37" s="37" t="s">
        <v>11</v>
      </c>
      <c r="G37" s="68">
        <v>1000</v>
      </c>
      <c r="H37" s="69">
        <v>3.0000000000000001E-3</v>
      </c>
      <c r="I37" s="66" t="s">
        <v>18</v>
      </c>
      <c r="J37" s="67">
        <v>45666</v>
      </c>
      <c r="K37" s="37" t="s">
        <v>273</v>
      </c>
      <c r="L37" s="37" t="s">
        <v>425</v>
      </c>
    </row>
    <row r="38" spans="1:12">
      <c r="A38" s="37">
        <v>37</v>
      </c>
      <c r="B38" s="65" t="s">
        <v>230</v>
      </c>
      <c r="C38" s="66">
        <v>13053</v>
      </c>
      <c r="D38" s="67">
        <v>45658</v>
      </c>
      <c r="E38" s="67">
        <v>45688</v>
      </c>
      <c r="F38" s="37" t="s">
        <v>11</v>
      </c>
      <c r="G38" s="68">
        <v>1000</v>
      </c>
      <c r="H38" s="69">
        <v>1.5E-3</v>
      </c>
      <c r="I38" s="66" t="s">
        <v>18</v>
      </c>
      <c r="J38" s="67">
        <v>45666</v>
      </c>
      <c r="K38" s="37" t="s">
        <v>273</v>
      </c>
      <c r="L38" s="37" t="s">
        <v>426</v>
      </c>
    </row>
    <row r="39" spans="1:12">
      <c r="A39" s="37">
        <v>38</v>
      </c>
      <c r="B39" s="65" t="s">
        <v>230</v>
      </c>
      <c r="C39" s="66">
        <v>16475</v>
      </c>
      <c r="D39" s="67">
        <v>45658</v>
      </c>
      <c r="E39" s="67">
        <v>45688</v>
      </c>
      <c r="F39" s="37" t="s">
        <v>11</v>
      </c>
      <c r="G39" s="68">
        <v>500000</v>
      </c>
      <c r="H39" s="69">
        <v>1E-3</v>
      </c>
      <c r="I39" s="66" t="s">
        <v>20</v>
      </c>
      <c r="J39" s="67">
        <v>45666</v>
      </c>
      <c r="K39" s="37" t="s">
        <v>274</v>
      </c>
      <c r="L39" s="37" t="s">
        <v>282</v>
      </c>
    </row>
    <row r="40" spans="1:12">
      <c r="A40" s="37">
        <v>39</v>
      </c>
      <c r="B40" s="65" t="s">
        <v>230</v>
      </c>
      <c r="C40" s="66">
        <v>16475</v>
      </c>
      <c r="D40" s="67">
        <v>45658</v>
      </c>
      <c r="E40" s="67">
        <v>45688</v>
      </c>
      <c r="F40" s="37" t="s">
        <v>11</v>
      </c>
      <c r="G40" s="68">
        <v>1000000</v>
      </c>
      <c r="H40" s="69">
        <v>2E-3</v>
      </c>
      <c r="I40" s="66" t="s">
        <v>20</v>
      </c>
      <c r="J40" s="67">
        <v>45666</v>
      </c>
      <c r="K40" s="37" t="s">
        <v>274</v>
      </c>
      <c r="L40" s="37" t="s">
        <v>282</v>
      </c>
    </row>
    <row r="41" spans="1:12">
      <c r="A41" s="37">
        <v>40</v>
      </c>
      <c r="B41" s="65" t="s">
        <v>230</v>
      </c>
      <c r="C41" s="66">
        <v>16475</v>
      </c>
      <c r="D41" s="67">
        <v>45658</v>
      </c>
      <c r="E41" s="67">
        <v>45688</v>
      </c>
      <c r="F41" s="37" t="s">
        <v>11</v>
      </c>
      <c r="G41" s="68">
        <v>1500000</v>
      </c>
      <c r="H41" s="69">
        <v>3.0000000000000001E-3</v>
      </c>
      <c r="I41" s="66" t="s">
        <v>20</v>
      </c>
      <c r="J41" s="67">
        <v>45666</v>
      </c>
      <c r="K41" s="37" t="s">
        <v>274</v>
      </c>
      <c r="L41" s="37" t="s">
        <v>282</v>
      </c>
    </row>
    <row r="42" spans="1:12">
      <c r="A42" s="37">
        <v>41</v>
      </c>
      <c r="B42" s="65" t="s">
        <v>230</v>
      </c>
      <c r="C42" s="66">
        <v>16475</v>
      </c>
      <c r="D42" s="67">
        <v>45658</v>
      </c>
      <c r="E42" s="67">
        <v>45688</v>
      </c>
      <c r="F42" s="37" t="s">
        <v>11</v>
      </c>
      <c r="G42" s="68">
        <v>2000000</v>
      </c>
      <c r="H42" s="69">
        <v>4.0000000000000001E-3</v>
      </c>
      <c r="I42" s="66" t="s">
        <v>20</v>
      </c>
      <c r="J42" s="67">
        <v>45666</v>
      </c>
      <c r="K42" s="37" t="s">
        <v>274</v>
      </c>
      <c r="L42" s="37" t="s">
        <v>282</v>
      </c>
    </row>
    <row r="43" spans="1:12">
      <c r="A43" s="37">
        <v>42</v>
      </c>
      <c r="B43" s="65" t="s">
        <v>230</v>
      </c>
      <c r="C43" s="66">
        <v>14993</v>
      </c>
      <c r="D43" s="67">
        <v>45658</v>
      </c>
      <c r="E43" s="67">
        <v>45688</v>
      </c>
      <c r="F43" s="37" t="s">
        <v>11</v>
      </c>
      <c r="G43" s="68">
        <v>0.01</v>
      </c>
      <c r="H43" s="69">
        <v>2.5000000000000001E-3</v>
      </c>
      <c r="I43" s="66" t="s">
        <v>20</v>
      </c>
      <c r="J43" s="67">
        <v>45666</v>
      </c>
      <c r="K43" s="37" t="s">
        <v>275</v>
      </c>
      <c r="L43" s="37" t="s">
        <v>143</v>
      </c>
    </row>
    <row r="44" spans="1:12">
      <c r="A44" s="37">
        <v>43</v>
      </c>
      <c r="B44" s="65" t="s">
        <v>230</v>
      </c>
      <c r="C44" s="66">
        <v>5663</v>
      </c>
      <c r="D44" s="67">
        <v>45658</v>
      </c>
      <c r="E44" s="67">
        <v>45688</v>
      </c>
      <c r="F44" s="37" t="s">
        <v>11</v>
      </c>
      <c r="G44" s="68">
        <v>0.01</v>
      </c>
      <c r="H44" s="69">
        <v>3.0000000000000001E-3</v>
      </c>
      <c r="I44" s="66" t="s">
        <v>95</v>
      </c>
      <c r="J44" s="67">
        <v>45670</v>
      </c>
      <c r="K44" s="37" t="s">
        <v>235</v>
      </c>
      <c r="L44" s="37" t="s">
        <v>415</v>
      </c>
    </row>
    <row r="45" spans="1:12">
      <c r="A45" s="37">
        <v>44</v>
      </c>
      <c r="B45" s="65" t="s">
        <v>230</v>
      </c>
      <c r="C45" s="66">
        <v>13718</v>
      </c>
      <c r="D45" s="67">
        <v>45658</v>
      </c>
      <c r="E45" s="67">
        <v>45688</v>
      </c>
      <c r="F45" s="37" t="s">
        <v>11</v>
      </c>
      <c r="G45" s="68">
        <v>0.01</v>
      </c>
      <c r="H45" s="69">
        <v>3.5000000000000003E-2</v>
      </c>
      <c r="I45" s="66" t="s">
        <v>32</v>
      </c>
      <c r="J45" s="67">
        <v>45670</v>
      </c>
      <c r="K45" s="37" t="s">
        <v>160</v>
      </c>
      <c r="L45" s="37" t="s">
        <v>276</v>
      </c>
    </row>
    <row r="46" spans="1:12">
      <c r="A46" s="37">
        <v>45</v>
      </c>
      <c r="B46" s="65" t="s">
        <v>230</v>
      </c>
      <c r="C46" s="66">
        <v>11301</v>
      </c>
      <c r="D46" s="67">
        <v>45658</v>
      </c>
      <c r="E46" s="67">
        <v>45688</v>
      </c>
      <c r="F46" s="37" t="s">
        <v>11</v>
      </c>
      <c r="G46" s="68">
        <v>0.01</v>
      </c>
      <c r="H46" s="69">
        <v>2.5000000000000001E-3</v>
      </c>
      <c r="I46" s="66" t="s">
        <v>95</v>
      </c>
      <c r="J46" s="67">
        <v>45670</v>
      </c>
      <c r="K46" s="37" t="s">
        <v>277</v>
      </c>
      <c r="L46" s="37" t="s">
        <v>137</v>
      </c>
    </row>
    <row r="47" spans="1:12">
      <c r="A47" s="37">
        <v>46</v>
      </c>
      <c r="B47" s="65" t="s">
        <v>230</v>
      </c>
      <c r="C47" s="66">
        <v>13007</v>
      </c>
      <c r="D47" s="67">
        <v>45658</v>
      </c>
      <c r="E47" s="67">
        <v>45688</v>
      </c>
      <c r="F47" s="37" t="s">
        <v>11</v>
      </c>
      <c r="G47" s="68">
        <v>0.01</v>
      </c>
      <c r="H47" s="69">
        <v>2.5000000000000001E-3</v>
      </c>
      <c r="I47" s="66" t="s">
        <v>95</v>
      </c>
      <c r="J47" s="67">
        <v>45670</v>
      </c>
      <c r="K47" s="37" t="s">
        <v>278</v>
      </c>
      <c r="L47" s="37" t="s">
        <v>232</v>
      </c>
    </row>
    <row r="48" spans="1:12">
      <c r="A48" s="37">
        <v>47</v>
      </c>
      <c r="B48" s="65" t="s">
        <v>230</v>
      </c>
      <c r="C48" s="66" t="s">
        <v>145</v>
      </c>
      <c r="D48" s="67">
        <v>45658</v>
      </c>
      <c r="E48" s="67">
        <v>45688</v>
      </c>
      <c r="F48" s="37" t="s">
        <v>11</v>
      </c>
      <c r="G48" s="68">
        <v>0.01</v>
      </c>
      <c r="H48" s="69">
        <v>2E-3</v>
      </c>
      <c r="I48" s="66" t="s">
        <v>24</v>
      </c>
      <c r="J48" s="67">
        <v>45670</v>
      </c>
      <c r="K48" s="37" t="s">
        <v>279</v>
      </c>
      <c r="L48" s="37" t="s">
        <v>416</v>
      </c>
    </row>
    <row r="49" spans="1:12">
      <c r="A49" s="37">
        <v>48</v>
      </c>
      <c r="B49" s="65" t="s">
        <v>230</v>
      </c>
      <c r="C49" s="66">
        <v>13669</v>
      </c>
      <c r="D49" s="67">
        <v>45658</v>
      </c>
      <c r="E49" s="67">
        <v>45688</v>
      </c>
      <c r="F49" s="37" t="s">
        <v>11</v>
      </c>
      <c r="G49" s="68">
        <v>0.01</v>
      </c>
      <c r="H49" s="69">
        <v>2.5000000000000001E-3</v>
      </c>
      <c r="I49" s="66" t="s">
        <v>95</v>
      </c>
      <c r="J49" s="67">
        <v>45670</v>
      </c>
      <c r="K49" s="37" t="s">
        <v>280</v>
      </c>
      <c r="L49" s="37" t="s">
        <v>137</v>
      </c>
    </row>
    <row r="50" spans="1:12">
      <c r="A50" s="37">
        <v>49</v>
      </c>
      <c r="B50" s="65" t="s">
        <v>230</v>
      </c>
      <c r="C50" s="66">
        <v>15874</v>
      </c>
      <c r="D50" s="67">
        <v>45658</v>
      </c>
      <c r="E50" s="67">
        <v>45688</v>
      </c>
      <c r="F50" s="37" t="s">
        <v>11</v>
      </c>
      <c r="G50" s="68">
        <v>0.01</v>
      </c>
      <c r="H50" s="69">
        <v>5.0000000000000001E-3</v>
      </c>
      <c r="I50" s="66" t="s">
        <v>19</v>
      </c>
      <c r="J50" s="67">
        <v>45670</v>
      </c>
      <c r="K50" s="37" t="s">
        <v>281</v>
      </c>
      <c r="L50" s="37" t="s">
        <v>417</v>
      </c>
    </row>
    <row r="51" spans="1:12">
      <c r="A51" s="37">
        <v>50</v>
      </c>
      <c r="B51" s="65" t="s">
        <v>230</v>
      </c>
      <c r="C51" s="66">
        <v>14105</v>
      </c>
      <c r="D51" s="67">
        <v>45658</v>
      </c>
      <c r="E51" s="67">
        <v>45688</v>
      </c>
      <c r="F51" s="37" t="s">
        <v>11</v>
      </c>
      <c r="G51" s="68">
        <v>0.01</v>
      </c>
      <c r="H51" s="69">
        <v>1.2E-2</v>
      </c>
      <c r="I51" s="66" t="s">
        <v>32</v>
      </c>
      <c r="J51" s="67">
        <v>45670</v>
      </c>
      <c r="K51" s="37" t="s">
        <v>283</v>
      </c>
      <c r="L51" s="37" t="s">
        <v>133</v>
      </c>
    </row>
    <row r="52" spans="1:12">
      <c r="A52" s="37">
        <v>51</v>
      </c>
      <c r="B52" s="65" t="s">
        <v>230</v>
      </c>
      <c r="C52" s="66">
        <v>14105</v>
      </c>
      <c r="D52" s="67">
        <v>45658</v>
      </c>
      <c r="E52" s="67">
        <v>45688</v>
      </c>
      <c r="F52" s="37" t="s">
        <v>11</v>
      </c>
      <c r="G52" s="68">
        <v>0.01</v>
      </c>
      <c r="H52" s="69">
        <v>2E-3</v>
      </c>
      <c r="I52" s="66" t="s">
        <v>32</v>
      </c>
      <c r="J52" s="67">
        <v>45670</v>
      </c>
      <c r="K52" s="37" t="s">
        <v>283</v>
      </c>
      <c r="L52" s="37" t="s">
        <v>398</v>
      </c>
    </row>
    <row r="53" spans="1:12">
      <c r="A53" s="37">
        <v>52</v>
      </c>
      <c r="B53" s="65" t="s">
        <v>230</v>
      </c>
      <c r="C53" s="66">
        <v>10426</v>
      </c>
      <c r="D53" s="67">
        <v>45658</v>
      </c>
      <c r="E53" s="67">
        <v>45688</v>
      </c>
      <c r="F53" s="37" t="s">
        <v>11</v>
      </c>
      <c r="G53" s="68">
        <v>0.01</v>
      </c>
      <c r="H53" s="69">
        <v>5.0000000000000001E-3</v>
      </c>
      <c r="I53" s="66" t="s">
        <v>34</v>
      </c>
      <c r="J53" s="67">
        <v>45660</v>
      </c>
      <c r="K53" s="37" t="s">
        <v>244</v>
      </c>
      <c r="L53" s="37" t="s">
        <v>236</v>
      </c>
    </row>
    <row r="54" spans="1:12">
      <c r="A54" s="37">
        <v>53</v>
      </c>
      <c r="B54" s="65" t="s">
        <v>230</v>
      </c>
      <c r="C54" s="66">
        <v>6869</v>
      </c>
      <c r="D54" s="67">
        <v>45658</v>
      </c>
      <c r="E54" s="67">
        <v>45688</v>
      </c>
      <c r="F54" s="37" t="s">
        <v>11</v>
      </c>
      <c r="G54" s="68">
        <v>500000</v>
      </c>
      <c r="H54" s="69">
        <v>3.0000000000000001E-3</v>
      </c>
      <c r="I54" s="66" t="s">
        <v>18</v>
      </c>
      <c r="J54" s="67">
        <v>45671</v>
      </c>
      <c r="K54" s="37" t="s">
        <v>226</v>
      </c>
      <c r="L54" s="37" t="s">
        <v>144</v>
      </c>
    </row>
    <row r="55" spans="1:12">
      <c r="A55" s="37">
        <v>54</v>
      </c>
      <c r="B55" s="65" t="s">
        <v>230</v>
      </c>
      <c r="C55" s="66">
        <v>15664</v>
      </c>
      <c r="D55" s="67">
        <v>45658</v>
      </c>
      <c r="E55" s="67">
        <v>45688</v>
      </c>
      <c r="F55" s="37" t="s">
        <v>11</v>
      </c>
      <c r="G55" s="68">
        <v>50000</v>
      </c>
      <c r="H55" s="69">
        <v>2.5000000000000001E-3</v>
      </c>
      <c r="I55" s="66" t="s">
        <v>18</v>
      </c>
      <c r="J55" s="67">
        <v>45671</v>
      </c>
      <c r="K55" s="37" t="s">
        <v>287</v>
      </c>
      <c r="L55" s="37" t="s">
        <v>402</v>
      </c>
    </row>
    <row r="56" spans="1:12">
      <c r="A56" s="37">
        <v>55</v>
      </c>
      <c r="B56" s="65" t="s">
        <v>230</v>
      </c>
      <c r="C56" s="66">
        <v>4112</v>
      </c>
      <c r="D56" s="67">
        <v>45658</v>
      </c>
      <c r="E56" s="67">
        <v>45688</v>
      </c>
      <c r="F56" s="37" t="s">
        <v>11</v>
      </c>
      <c r="G56" s="68">
        <v>100000</v>
      </c>
      <c r="H56" s="69">
        <v>0.01</v>
      </c>
      <c r="I56" s="66" t="s">
        <v>25</v>
      </c>
      <c r="J56" s="67">
        <v>45671</v>
      </c>
      <c r="K56" s="37" t="s">
        <v>288</v>
      </c>
      <c r="L56" s="37" t="s">
        <v>400</v>
      </c>
    </row>
    <row r="57" spans="1:12">
      <c r="A57" s="37">
        <v>56</v>
      </c>
      <c r="B57" s="65" t="s">
        <v>230</v>
      </c>
      <c r="C57" s="66">
        <v>3566</v>
      </c>
      <c r="D57" s="67">
        <v>45658</v>
      </c>
      <c r="E57" s="67">
        <v>45688</v>
      </c>
      <c r="F57" s="37" t="s">
        <v>11</v>
      </c>
      <c r="G57" s="68">
        <v>0.01</v>
      </c>
      <c r="H57" s="69">
        <v>5.0000000000000001E-3</v>
      </c>
      <c r="I57" s="66" t="s">
        <v>20</v>
      </c>
      <c r="J57" s="67">
        <v>45672</v>
      </c>
      <c r="K57" s="37" t="s">
        <v>221</v>
      </c>
      <c r="L57" s="37" t="s">
        <v>290</v>
      </c>
    </row>
    <row r="58" spans="1:12">
      <c r="A58" s="37">
        <v>57</v>
      </c>
      <c r="B58" s="65" t="s">
        <v>230</v>
      </c>
      <c r="C58" s="66">
        <v>14938</v>
      </c>
      <c r="D58" s="67">
        <v>45658</v>
      </c>
      <c r="E58" s="67">
        <v>45688</v>
      </c>
      <c r="F58" s="37" t="s">
        <v>11</v>
      </c>
      <c r="G58" s="68">
        <v>150000</v>
      </c>
      <c r="H58" s="69">
        <v>2E-3</v>
      </c>
      <c r="I58" s="66" t="s">
        <v>18</v>
      </c>
      <c r="J58" s="67">
        <v>45672</v>
      </c>
      <c r="K58" s="37" t="s">
        <v>291</v>
      </c>
      <c r="L58" s="37" t="s">
        <v>314</v>
      </c>
    </row>
    <row r="59" spans="1:12">
      <c r="A59" s="37">
        <v>58</v>
      </c>
      <c r="B59" s="65" t="s">
        <v>230</v>
      </c>
      <c r="C59" s="66" t="s">
        <v>122</v>
      </c>
      <c r="D59" s="67">
        <v>45658</v>
      </c>
      <c r="E59" s="67">
        <v>45688</v>
      </c>
      <c r="F59" s="37" t="s">
        <v>11</v>
      </c>
      <c r="G59" s="68">
        <v>0.01</v>
      </c>
      <c r="H59" s="69">
        <v>0.02</v>
      </c>
      <c r="I59" s="66" t="s">
        <v>27</v>
      </c>
      <c r="J59" s="67">
        <v>45672</v>
      </c>
      <c r="K59" s="37" t="s">
        <v>292</v>
      </c>
      <c r="L59" s="37" t="s">
        <v>399</v>
      </c>
    </row>
    <row r="60" spans="1:12">
      <c r="A60" s="37">
        <v>59</v>
      </c>
      <c r="B60" s="65" t="s">
        <v>230</v>
      </c>
      <c r="C60" s="66">
        <v>3566</v>
      </c>
      <c r="D60" s="67">
        <v>45658</v>
      </c>
      <c r="E60" s="67">
        <v>45688</v>
      </c>
      <c r="F60" s="37" t="s">
        <v>11</v>
      </c>
      <c r="G60" s="68">
        <v>1000000</v>
      </c>
      <c r="H60" s="69">
        <v>2.5000000000000001E-3</v>
      </c>
      <c r="I60" s="66" t="s">
        <v>20</v>
      </c>
      <c r="J60" s="67">
        <v>45672</v>
      </c>
      <c r="K60" s="37" t="s">
        <v>293</v>
      </c>
      <c r="L60" s="37" t="s">
        <v>442</v>
      </c>
    </row>
    <row r="61" spans="1:12">
      <c r="A61" s="37">
        <v>60</v>
      </c>
      <c r="B61" s="65" t="s">
        <v>230</v>
      </c>
      <c r="C61" s="66">
        <v>15141</v>
      </c>
      <c r="D61" s="67">
        <v>45658</v>
      </c>
      <c r="E61" s="67">
        <v>45688</v>
      </c>
      <c r="F61" s="37" t="s">
        <v>11</v>
      </c>
      <c r="G61" s="68">
        <v>10000</v>
      </c>
      <c r="H61" s="69">
        <v>2.5000000000000001E-3</v>
      </c>
      <c r="I61" s="66" t="s">
        <v>18</v>
      </c>
      <c r="J61" s="67">
        <v>45672</v>
      </c>
      <c r="K61" s="37" t="s">
        <v>294</v>
      </c>
      <c r="L61" s="37" t="s">
        <v>401</v>
      </c>
    </row>
    <row r="62" spans="1:12">
      <c r="A62" s="37">
        <v>61</v>
      </c>
      <c r="B62" s="65" t="s">
        <v>230</v>
      </c>
      <c r="C62" s="66">
        <v>13977</v>
      </c>
      <c r="D62" s="67">
        <v>45658</v>
      </c>
      <c r="E62" s="67">
        <v>45688</v>
      </c>
      <c r="F62" s="37" t="s">
        <v>11</v>
      </c>
      <c r="G62" s="68">
        <v>0.01</v>
      </c>
      <c r="H62" s="69">
        <v>1.5E-3</v>
      </c>
      <c r="I62" s="66" t="s">
        <v>49</v>
      </c>
      <c r="J62" s="67">
        <v>45672</v>
      </c>
      <c r="K62" s="37" t="s">
        <v>296</v>
      </c>
      <c r="L62" s="37" t="s">
        <v>297</v>
      </c>
    </row>
    <row r="63" spans="1:12">
      <c r="A63" s="37">
        <v>62</v>
      </c>
      <c r="B63" s="65" t="s">
        <v>230</v>
      </c>
      <c r="C63" s="66" t="s">
        <v>209</v>
      </c>
      <c r="D63" s="67">
        <v>45658</v>
      </c>
      <c r="E63" s="67">
        <v>45688</v>
      </c>
      <c r="F63" s="37" t="s">
        <v>11</v>
      </c>
      <c r="G63" s="68">
        <v>500000</v>
      </c>
      <c r="H63" s="69">
        <v>1E-3</v>
      </c>
      <c r="I63" s="66" t="s">
        <v>17</v>
      </c>
      <c r="J63" s="67">
        <v>45672</v>
      </c>
      <c r="K63" s="37" t="s">
        <v>298</v>
      </c>
      <c r="L63" s="37" t="s">
        <v>419</v>
      </c>
    </row>
    <row r="64" spans="1:12">
      <c r="A64" s="37">
        <v>63</v>
      </c>
      <c r="B64" s="65" t="s">
        <v>230</v>
      </c>
      <c r="C64" s="66">
        <v>14495</v>
      </c>
      <c r="D64" s="67">
        <v>45658</v>
      </c>
      <c r="E64" s="67">
        <v>45688</v>
      </c>
      <c r="F64" s="37" t="s">
        <v>11</v>
      </c>
      <c r="G64" s="68">
        <v>20000</v>
      </c>
      <c r="H64" s="69">
        <v>2.5000000000000001E-3</v>
      </c>
      <c r="I64" s="66" t="s">
        <v>20</v>
      </c>
      <c r="J64" s="67">
        <v>45672</v>
      </c>
      <c r="K64" s="37" t="s">
        <v>299</v>
      </c>
      <c r="L64" s="37" t="s">
        <v>308</v>
      </c>
    </row>
    <row r="65" spans="1:12">
      <c r="A65" s="37">
        <v>64</v>
      </c>
      <c r="B65" s="65" t="s">
        <v>230</v>
      </c>
      <c r="C65" s="66">
        <v>3895</v>
      </c>
      <c r="D65" s="67">
        <v>45658</v>
      </c>
      <c r="E65" s="67">
        <v>45688</v>
      </c>
      <c r="F65" s="37" t="s">
        <v>11</v>
      </c>
      <c r="G65" s="68">
        <v>0.01</v>
      </c>
      <c r="H65" s="69">
        <v>3.0000000000000001E-3</v>
      </c>
      <c r="I65" s="66" t="s">
        <v>19</v>
      </c>
      <c r="J65" s="67">
        <v>45673</v>
      </c>
      <c r="K65" s="37" t="s">
        <v>300</v>
      </c>
      <c r="L65" s="37" t="s">
        <v>301</v>
      </c>
    </row>
    <row r="66" spans="1:12">
      <c r="A66" s="37">
        <v>65</v>
      </c>
      <c r="B66" s="65" t="s">
        <v>230</v>
      </c>
      <c r="C66" s="66">
        <v>14045</v>
      </c>
      <c r="D66" s="67">
        <v>45658</v>
      </c>
      <c r="E66" s="67">
        <v>45688</v>
      </c>
      <c r="F66" s="37" t="s">
        <v>11</v>
      </c>
      <c r="G66" s="68">
        <v>500000</v>
      </c>
      <c r="H66" s="69">
        <v>2E-3</v>
      </c>
      <c r="I66" s="66" t="s">
        <v>17</v>
      </c>
      <c r="J66" s="67">
        <v>45673</v>
      </c>
      <c r="K66" s="37" t="s">
        <v>302</v>
      </c>
      <c r="L66" s="37" t="s">
        <v>311</v>
      </c>
    </row>
    <row r="67" spans="1:12">
      <c r="A67" s="37">
        <v>66</v>
      </c>
      <c r="B67" s="65" t="s">
        <v>230</v>
      </c>
      <c r="C67" s="66">
        <v>16024</v>
      </c>
      <c r="D67" s="67">
        <v>45658</v>
      </c>
      <c r="E67" s="67">
        <v>45688</v>
      </c>
      <c r="F67" s="37" t="s">
        <v>11</v>
      </c>
      <c r="G67" s="68">
        <v>0.01</v>
      </c>
      <c r="H67" s="69">
        <v>4.0000000000000001E-3</v>
      </c>
      <c r="I67" s="66" t="s">
        <v>13</v>
      </c>
      <c r="J67" s="67">
        <v>45673</v>
      </c>
      <c r="K67" s="37" t="s">
        <v>202</v>
      </c>
      <c r="L67" s="37" t="s">
        <v>203</v>
      </c>
    </row>
    <row r="68" spans="1:12">
      <c r="A68" s="37">
        <v>67</v>
      </c>
      <c r="B68" s="65" t="s">
        <v>230</v>
      </c>
      <c r="C68" s="66">
        <v>9248</v>
      </c>
      <c r="D68" s="67">
        <v>45658</v>
      </c>
      <c r="E68" s="67">
        <v>45688</v>
      </c>
      <c r="F68" s="37" t="s">
        <v>11</v>
      </c>
      <c r="G68" s="68">
        <v>0.01</v>
      </c>
      <c r="H68" s="69">
        <v>5.0000000000000001E-3</v>
      </c>
      <c r="I68" s="66" t="s">
        <v>20</v>
      </c>
      <c r="J68" s="67">
        <v>45673</v>
      </c>
      <c r="K68" s="37" t="s">
        <v>206</v>
      </c>
      <c r="L68" s="37" t="s">
        <v>447</v>
      </c>
    </row>
    <row r="69" spans="1:12">
      <c r="A69" s="37">
        <v>68</v>
      </c>
      <c r="B69" s="65" t="s">
        <v>230</v>
      </c>
      <c r="C69" s="66">
        <v>13910</v>
      </c>
      <c r="D69" s="67">
        <v>45658</v>
      </c>
      <c r="E69" s="67">
        <v>45688</v>
      </c>
      <c r="F69" s="37" t="s">
        <v>11</v>
      </c>
      <c r="G69" s="68">
        <v>0.01</v>
      </c>
      <c r="H69" s="69">
        <v>2.5000000000000001E-3</v>
      </c>
      <c r="I69" s="66" t="s">
        <v>20</v>
      </c>
      <c r="J69" s="67">
        <v>45673</v>
      </c>
      <c r="K69" s="37" t="s">
        <v>139</v>
      </c>
      <c r="L69" s="37" t="s">
        <v>303</v>
      </c>
    </row>
    <row r="70" spans="1:12">
      <c r="A70" s="37">
        <v>69</v>
      </c>
      <c r="B70" s="65" t="s">
        <v>230</v>
      </c>
      <c r="C70" s="66">
        <v>12732</v>
      </c>
      <c r="D70" s="67">
        <v>45658</v>
      </c>
      <c r="E70" s="67">
        <v>45688</v>
      </c>
      <c r="F70" s="37" t="s">
        <v>11</v>
      </c>
      <c r="G70" s="68">
        <v>200000</v>
      </c>
      <c r="H70" s="69">
        <v>1E-3</v>
      </c>
      <c r="I70" s="66" t="s">
        <v>29</v>
      </c>
      <c r="J70" s="67">
        <v>45673</v>
      </c>
      <c r="K70" s="37" t="s">
        <v>304</v>
      </c>
      <c r="L70" s="37" t="s">
        <v>315</v>
      </c>
    </row>
    <row r="71" spans="1:12">
      <c r="A71" s="37">
        <v>70</v>
      </c>
      <c r="B71" s="65" t="s">
        <v>230</v>
      </c>
      <c r="C71" s="66">
        <v>11995</v>
      </c>
      <c r="D71" s="67">
        <v>45658</v>
      </c>
      <c r="E71" s="67">
        <v>45688</v>
      </c>
      <c r="F71" s="37" t="s">
        <v>11</v>
      </c>
      <c r="G71" s="68">
        <v>1000</v>
      </c>
      <c r="H71" s="69">
        <v>5.0000000000000001E-3</v>
      </c>
      <c r="I71" s="66" t="s">
        <v>27</v>
      </c>
      <c r="J71" s="67">
        <v>45673</v>
      </c>
      <c r="K71" s="37" t="s">
        <v>305</v>
      </c>
      <c r="L71" s="37" t="s">
        <v>195</v>
      </c>
    </row>
    <row r="72" spans="1:12">
      <c r="A72" s="37">
        <v>71</v>
      </c>
      <c r="B72" s="65" t="s">
        <v>230</v>
      </c>
      <c r="C72" s="66">
        <v>14554</v>
      </c>
      <c r="D72" s="67">
        <v>45658</v>
      </c>
      <c r="E72" s="67">
        <v>45688</v>
      </c>
      <c r="F72" s="37" t="s">
        <v>11</v>
      </c>
      <c r="G72" s="68">
        <v>10000</v>
      </c>
      <c r="H72" s="69">
        <v>0.01</v>
      </c>
      <c r="I72" s="66" t="s">
        <v>25</v>
      </c>
      <c r="J72" s="67">
        <v>45673</v>
      </c>
      <c r="K72" s="37" t="s">
        <v>305</v>
      </c>
      <c r="L72" s="37" t="s">
        <v>309</v>
      </c>
    </row>
    <row r="73" spans="1:12">
      <c r="A73" s="37">
        <v>72</v>
      </c>
      <c r="B73" s="65" t="s">
        <v>230</v>
      </c>
      <c r="C73" s="66">
        <v>16532</v>
      </c>
      <c r="D73" s="67">
        <v>45658</v>
      </c>
      <c r="E73" s="67">
        <v>45688</v>
      </c>
      <c r="F73" s="37" t="s">
        <v>11</v>
      </c>
      <c r="G73" s="68">
        <v>1000</v>
      </c>
      <c r="H73" s="69">
        <v>0.03</v>
      </c>
      <c r="I73" s="66" t="s">
        <v>30</v>
      </c>
      <c r="J73" s="67">
        <v>45673</v>
      </c>
      <c r="K73" s="37" t="s">
        <v>305</v>
      </c>
      <c r="L73" s="37" t="s">
        <v>310</v>
      </c>
    </row>
    <row r="74" spans="1:12">
      <c r="A74" s="37">
        <v>73</v>
      </c>
      <c r="B74" s="65" t="s">
        <v>230</v>
      </c>
      <c r="C74" s="66">
        <v>8125</v>
      </c>
      <c r="D74" s="67">
        <v>45658</v>
      </c>
      <c r="E74" s="67">
        <v>45688</v>
      </c>
      <c r="F74" s="37" t="s">
        <v>11</v>
      </c>
      <c r="G74" s="68">
        <v>400000</v>
      </c>
      <c r="H74" s="69">
        <v>3.0000000000000001E-3</v>
      </c>
      <c r="I74" s="66" t="s">
        <v>19</v>
      </c>
      <c r="J74" s="67">
        <v>45673</v>
      </c>
      <c r="K74" s="37" t="s">
        <v>306</v>
      </c>
      <c r="L74" s="37" t="s">
        <v>474</v>
      </c>
    </row>
    <row r="75" spans="1:12">
      <c r="A75" s="37">
        <v>74</v>
      </c>
      <c r="B75" s="65" t="s">
        <v>230</v>
      </c>
      <c r="C75" s="66">
        <v>6905</v>
      </c>
      <c r="D75" s="67">
        <v>45658</v>
      </c>
      <c r="E75" s="67">
        <v>45688</v>
      </c>
      <c r="F75" s="37" t="s">
        <v>11</v>
      </c>
      <c r="G75" s="68">
        <v>0.01</v>
      </c>
      <c r="H75" s="69">
        <v>1.23E-2</v>
      </c>
      <c r="I75" s="66" t="s">
        <v>17</v>
      </c>
      <c r="J75" s="67">
        <v>45673</v>
      </c>
      <c r="K75" s="37" t="s">
        <v>307</v>
      </c>
      <c r="L75" s="37" t="s">
        <v>312</v>
      </c>
    </row>
    <row r="76" spans="1:12">
      <c r="A76" s="37">
        <v>75</v>
      </c>
      <c r="B76" s="65" t="s">
        <v>230</v>
      </c>
      <c r="C76" s="66">
        <v>12273</v>
      </c>
      <c r="D76" s="67">
        <v>45658</v>
      </c>
      <c r="E76" s="67">
        <v>45688</v>
      </c>
      <c r="F76" s="37" t="s">
        <v>11</v>
      </c>
      <c r="G76" s="68">
        <v>0.01</v>
      </c>
      <c r="H76" s="69">
        <v>6.6E-3</v>
      </c>
      <c r="I76" s="66" t="s">
        <v>19</v>
      </c>
      <c r="J76" s="67">
        <v>45671</v>
      </c>
      <c r="K76" s="37" t="s">
        <v>289</v>
      </c>
      <c r="L76" s="37" t="s">
        <v>475</v>
      </c>
    </row>
    <row r="77" spans="1:12">
      <c r="A77" s="37">
        <v>76</v>
      </c>
      <c r="B77" s="65" t="s">
        <v>230</v>
      </c>
      <c r="C77" s="66">
        <v>1452</v>
      </c>
      <c r="D77" s="67">
        <v>45658</v>
      </c>
      <c r="E77" s="67">
        <v>45688</v>
      </c>
      <c r="F77" s="37" t="s">
        <v>11</v>
      </c>
      <c r="G77" s="68">
        <v>300000</v>
      </c>
      <c r="H77" s="69">
        <v>1E-3</v>
      </c>
      <c r="I77" s="66" t="s">
        <v>17</v>
      </c>
      <c r="J77" s="67">
        <v>45673</v>
      </c>
      <c r="K77" s="37" t="s">
        <v>316</v>
      </c>
      <c r="L77" s="37" t="s">
        <v>418</v>
      </c>
    </row>
    <row r="78" spans="1:12">
      <c r="A78" s="37">
        <v>77</v>
      </c>
      <c r="B78" s="65" t="s">
        <v>230</v>
      </c>
      <c r="C78" s="66">
        <v>9248</v>
      </c>
      <c r="D78" s="67">
        <v>45658</v>
      </c>
      <c r="E78" s="67">
        <v>45688</v>
      </c>
      <c r="F78" s="37" t="s">
        <v>11</v>
      </c>
      <c r="G78" s="68">
        <v>0.01</v>
      </c>
      <c r="H78" s="69">
        <v>2.5000000000000001E-3</v>
      </c>
      <c r="I78" s="66" t="s">
        <v>20</v>
      </c>
      <c r="J78" s="67">
        <v>45673</v>
      </c>
      <c r="K78" s="37" t="s">
        <v>317</v>
      </c>
      <c r="L78" s="37" t="s">
        <v>318</v>
      </c>
    </row>
    <row r="79" spans="1:12">
      <c r="A79" s="37">
        <v>78</v>
      </c>
      <c r="B79" s="65" t="s">
        <v>230</v>
      </c>
      <c r="C79" s="66">
        <v>13750</v>
      </c>
      <c r="D79" s="67">
        <v>45658</v>
      </c>
      <c r="E79" s="67">
        <v>45688</v>
      </c>
      <c r="F79" s="37" t="s">
        <v>11</v>
      </c>
      <c r="G79" s="68">
        <v>200000</v>
      </c>
      <c r="H79" s="69">
        <v>2.5000000000000001E-3</v>
      </c>
      <c r="I79" s="66" t="s">
        <v>20</v>
      </c>
      <c r="J79" s="67">
        <v>45673</v>
      </c>
      <c r="K79" s="37" t="s">
        <v>319</v>
      </c>
      <c r="L79" s="37" t="s">
        <v>232</v>
      </c>
    </row>
    <row r="80" spans="1:12">
      <c r="A80" s="37">
        <v>79</v>
      </c>
      <c r="B80" s="65" t="s">
        <v>230</v>
      </c>
      <c r="C80" s="66">
        <v>11615</v>
      </c>
      <c r="D80" s="67">
        <v>45658</v>
      </c>
      <c r="E80" s="67">
        <v>45688</v>
      </c>
      <c r="F80" s="37" t="s">
        <v>11</v>
      </c>
      <c r="G80" s="68">
        <v>1000</v>
      </c>
      <c r="H80" s="69">
        <v>1.5E-3</v>
      </c>
      <c r="I80" s="66" t="s">
        <v>17</v>
      </c>
      <c r="J80" s="67">
        <v>45673</v>
      </c>
      <c r="K80" s="37" t="s">
        <v>320</v>
      </c>
      <c r="L80" s="37" t="s">
        <v>477</v>
      </c>
    </row>
    <row r="81" spans="1:12">
      <c r="A81" s="37">
        <v>80</v>
      </c>
      <c r="B81" s="65" t="s">
        <v>230</v>
      </c>
      <c r="C81" s="66">
        <v>11615</v>
      </c>
      <c r="D81" s="67">
        <v>45658</v>
      </c>
      <c r="E81" s="67">
        <v>45688</v>
      </c>
      <c r="F81" s="37" t="s">
        <v>11</v>
      </c>
      <c r="G81" s="68">
        <v>1000</v>
      </c>
      <c r="H81" s="69">
        <v>7.4999999999999997E-3</v>
      </c>
      <c r="I81" s="66" t="s">
        <v>17</v>
      </c>
      <c r="J81" s="67">
        <v>45673</v>
      </c>
      <c r="K81" s="37" t="s">
        <v>320</v>
      </c>
      <c r="L81" s="37" t="s">
        <v>482</v>
      </c>
    </row>
    <row r="82" spans="1:12">
      <c r="A82" s="37">
        <v>81</v>
      </c>
      <c r="B82" s="65" t="s">
        <v>230</v>
      </c>
      <c r="C82" s="66">
        <v>11615</v>
      </c>
      <c r="D82" s="67">
        <v>45658</v>
      </c>
      <c r="E82" s="67">
        <v>45688</v>
      </c>
      <c r="F82" s="37" t="s">
        <v>11</v>
      </c>
      <c r="G82" s="68">
        <v>1000</v>
      </c>
      <c r="H82" s="69">
        <v>4.0000000000000001E-3</v>
      </c>
      <c r="I82" s="66" t="s">
        <v>17</v>
      </c>
      <c r="J82" s="67">
        <v>45673</v>
      </c>
      <c r="K82" s="37" t="s">
        <v>320</v>
      </c>
      <c r="L82" s="37" t="s">
        <v>481</v>
      </c>
    </row>
    <row r="83" spans="1:12">
      <c r="A83" s="37">
        <v>82</v>
      </c>
      <c r="B83" s="65" t="s">
        <v>230</v>
      </c>
      <c r="C83" s="66">
        <v>13368</v>
      </c>
      <c r="D83" s="67">
        <v>45658</v>
      </c>
      <c r="E83" s="67">
        <v>45688</v>
      </c>
      <c r="F83" s="37" t="s">
        <v>11</v>
      </c>
      <c r="G83" s="68">
        <v>0.01</v>
      </c>
      <c r="H83" s="69">
        <v>2.5000000000000001E-3</v>
      </c>
      <c r="I83" s="66" t="s">
        <v>32</v>
      </c>
      <c r="J83" s="67">
        <v>45673</v>
      </c>
      <c r="K83" s="37" t="s">
        <v>321</v>
      </c>
      <c r="L83" s="37" t="s">
        <v>143</v>
      </c>
    </row>
    <row r="84" spans="1:12">
      <c r="A84" s="37">
        <v>83</v>
      </c>
      <c r="B84" s="65" t="s">
        <v>230</v>
      </c>
      <c r="C84" s="66">
        <v>13368</v>
      </c>
      <c r="D84" s="67">
        <v>45658</v>
      </c>
      <c r="E84" s="67">
        <v>45688</v>
      </c>
      <c r="F84" s="37" t="s">
        <v>11</v>
      </c>
      <c r="G84" s="68">
        <v>0.01</v>
      </c>
      <c r="H84" s="69">
        <v>1.4999999999999999E-2</v>
      </c>
      <c r="I84" s="66" t="s">
        <v>32</v>
      </c>
      <c r="J84" s="67">
        <v>45673</v>
      </c>
      <c r="K84" s="37" t="s">
        <v>322</v>
      </c>
      <c r="L84" s="37" t="s">
        <v>476</v>
      </c>
    </row>
    <row r="85" spans="1:12">
      <c r="A85" s="37">
        <v>84</v>
      </c>
      <c r="B85" s="65" t="s">
        <v>230</v>
      </c>
      <c r="C85" s="66">
        <v>13368</v>
      </c>
      <c r="D85" s="67">
        <v>45658</v>
      </c>
      <c r="E85" s="67">
        <v>45688</v>
      </c>
      <c r="F85" s="37" t="s">
        <v>11</v>
      </c>
      <c r="G85" s="68">
        <v>0.01</v>
      </c>
      <c r="H85" s="69">
        <v>2E-3</v>
      </c>
      <c r="I85" s="66" t="s">
        <v>32</v>
      </c>
      <c r="J85" s="67">
        <v>45673</v>
      </c>
      <c r="K85" s="37" t="s">
        <v>323</v>
      </c>
      <c r="L85" s="37" t="s">
        <v>499</v>
      </c>
    </row>
    <row r="86" spans="1:12">
      <c r="A86" s="37">
        <v>85</v>
      </c>
      <c r="B86" s="65" t="s">
        <v>230</v>
      </c>
      <c r="C86" s="66">
        <v>13368</v>
      </c>
      <c r="D86" s="67">
        <v>45658</v>
      </c>
      <c r="E86" s="67">
        <v>45688</v>
      </c>
      <c r="F86" s="37" t="s">
        <v>11</v>
      </c>
      <c r="G86" s="68">
        <v>0.01</v>
      </c>
      <c r="H86" s="69">
        <v>3.0000000000000001E-3</v>
      </c>
      <c r="I86" s="66" t="s">
        <v>32</v>
      </c>
      <c r="J86" s="67">
        <v>45673</v>
      </c>
      <c r="K86" s="37" t="s">
        <v>323</v>
      </c>
      <c r="L86" s="37" t="s">
        <v>500</v>
      </c>
    </row>
    <row r="87" spans="1:12">
      <c r="A87" s="37">
        <v>86</v>
      </c>
      <c r="B87" s="65" t="s">
        <v>230</v>
      </c>
      <c r="C87" s="66">
        <v>4079</v>
      </c>
      <c r="D87" s="67">
        <v>45658</v>
      </c>
      <c r="E87" s="67">
        <v>45688</v>
      </c>
      <c r="F87" s="37" t="s">
        <v>11</v>
      </c>
      <c r="G87" s="68">
        <v>0.01</v>
      </c>
      <c r="H87" s="69">
        <v>2.5000000000000001E-3</v>
      </c>
      <c r="I87" s="66" t="s">
        <v>17</v>
      </c>
      <c r="J87" s="67">
        <v>45673</v>
      </c>
      <c r="K87" s="37" t="s">
        <v>324</v>
      </c>
      <c r="L87" s="37" t="s">
        <v>143</v>
      </c>
    </row>
    <row r="88" spans="1:12">
      <c r="A88" s="37">
        <v>87</v>
      </c>
      <c r="B88" s="65" t="s">
        <v>230</v>
      </c>
      <c r="C88" s="66">
        <v>15908</v>
      </c>
      <c r="D88" s="67">
        <v>45658</v>
      </c>
      <c r="E88" s="67">
        <v>45688</v>
      </c>
      <c r="F88" s="37" t="s">
        <v>11</v>
      </c>
      <c r="G88" s="68">
        <v>1000</v>
      </c>
      <c r="H88" s="69">
        <v>8.0000000000000002E-3</v>
      </c>
      <c r="I88" s="66" t="s">
        <v>34</v>
      </c>
      <c r="J88" s="67">
        <v>45674</v>
      </c>
      <c r="K88" s="37" t="s">
        <v>325</v>
      </c>
      <c r="L88" s="37" t="s">
        <v>326</v>
      </c>
    </row>
    <row r="89" spans="1:12">
      <c r="A89" s="37">
        <v>88</v>
      </c>
      <c r="B89" s="65" t="s">
        <v>230</v>
      </c>
      <c r="C89" s="66">
        <v>13900</v>
      </c>
      <c r="D89" s="67">
        <v>45658</v>
      </c>
      <c r="E89" s="67">
        <v>45688</v>
      </c>
      <c r="F89" s="37" t="s">
        <v>11</v>
      </c>
      <c r="G89" s="68">
        <v>0.01</v>
      </c>
      <c r="H89" s="69">
        <v>1E-3</v>
      </c>
      <c r="I89" s="66" t="s">
        <v>14</v>
      </c>
      <c r="J89" s="67">
        <v>45674</v>
      </c>
      <c r="K89" s="37" t="s">
        <v>327</v>
      </c>
      <c r="L89" s="37" t="s">
        <v>328</v>
      </c>
    </row>
    <row r="90" spans="1:12">
      <c r="A90" s="37">
        <v>89</v>
      </c>
      <c r="B90" s="65" t="s">
        <v>230</v>
      </c>
      <c r="C90" s="66">
        <v>14730</v>
      </c>
      <c r="D90" s="67">
        <v>45658</v>
      </c>
      <c r="E90" s="67">
        <v>45688</v>
      </c>
      <c r="F90" s="37" t="s">
        <v>11</v>
      </c>
      <c r="G90" s="68">
        <v>0.01</v>
      </c>
      <c r="H90" s="69">
        <v>2.5000000000000001E-3</v>
      </c>
      <c r="I90" s="66" t="s">
        <v>20</v>
      </c>
      <c r="J90" s="67">
        <v>45674</v>
      </c>
      <c r="K90" s="37" t="s">
        <v>329</v>
      </c>
      <c r="L90" s="37" t="s">
        <v>328</v>
      </c>
    </row>
    <row r="91" spans="1:12">
      <c r="A91" s="37">
        <v>90</v>
      </c>
      <c r="B91" s="65" t="s">
        <v>230</v>
      </c>
      <c r="C91" s="66">
        <v>14729</v>
      </c>
      <c r="D91" s="67">
        <v>45658</v>
      </c>
      <c r="E91" s="67">
        <v>45688</v>
      </c>
      <c r="F91" s="37" t="s">
        <v>11</v>
      </c>
      <c r="G91" s="68">
        <v>0.01</v>
      </c>
      <c r="H91" s="69">
        <v>2.5000000000000001E-3</v>
      </c>
      <c r="I91" s="66" t="s">
        <v>20</v>
      </c>
      <c r="J91" s="67">
        <v>45674</v>
      </c>
      <c r="K91" s="37" t="s">
        <v>329</v>
      </c>
      <c r="L91" s="37" t="s">
        <v>328</v>
      </c>
    </row>
    <row r="92" spans="1:12">
      <c r="A92" s="37">
        <v>91</v>
      </c>
      <c r="B92" s="65" t="s">
        <v>230</v>
      </c>
      <c r="C92" s="66">
        <v>14703</v>
      </c>
      <c r="D92" s="67">
        <v>45658</v>
      </c>
      <c r="E92" s="67">
        <v>45688</v>
      </c>
      <c r="F92" s="37" t="s">
        <v>11</v>
      </c>
      <c r="G92" s="68">
        <v>0.01</v>
      </c>
      <c r="H92" s="69">
        <v>2.5000000000000001E-3</v>
      </c>
      <c r="I92" s="66" t="s">
        <v>20</v>
      </c>
      <c r="J92" s="67">
        <v>45674</v>
      </c>
      <c r="K92" s="37" t="s">
        <v>329</v>
      </c>
      <c r="L92" s="37" t="s">
        <v>328</v>
      </c>
    </row>
    <row r="93" spans="1:12">
      <c r="A93" s="37">
        <v>92</v>
      </c>
      <c r="B93" s="65" t="s">
        <v>230</v>
      </c>
      <c r="C93" s="66">
        <v>14702</v>
      </c>
      <c r="D93" s="67">
        <v>45658</v>
      </c>
      <c r="E93" s="67">
        <v>45688</v>
      </c>
      <c r="F93" s="37" t="s">
        <v>11</v>
      </c>
      <c r="G93" s="68">
        <v>0.01</v>
      </c>
      <c r="H93" s="69">
        <v>2.5000000000000001E-3</v>
      </c>
      <c r="I93" s="66" t="s">
        <v>20</v>
      </c>
      <c r="J93" s="67">
        <v>45674</v>
      </c>
      <c r="K93" s="37" t="s">
        <v>329</v>
      </c>
      <c r="L93" s="37" t="s">
        <v>328</v>
      </c>
    </row>
    <row r="94" spans="1:12">
      <c r="A94" s="37">
        <v>93</v>
      </c>
      <c r="B94" s="65" t="s">
        <v>230</v>
      </c>
      <c r="C94" s="66">
        <v>14706</v>
      </c>
      <c r="D94" s="67">
        <v>45658</v>
      </c>
      <c r="E94" s="67">
        <v>45688</v>
      </c>
      <c r="F94" s="37" t="s">
        <v>11</v>
      </c>
      <c r="G94" s="68">
        <v>0.01</v>
      </c>
      <c r="H94" s="69">
        <v>2.5000000000000001E-3</v>
      </c>
      <c r="I94" s="66" t="s">
        <v>20</v>
      </c>
      <c r="J94" s="67">
        <v>45674</v>
      </c>
      <c r="K94" s="37" t="s">
        <v>329</v>
      </c>
      <c r="L94" s="37" t="s">
        <v>328</v>
      </c>
    </row>
    <row r="95" spans="1:12">
      <c r="A95" s="37">
        <v>94</v>
      </c>
      <c r="B95" s="65" t="s">
        <v>230</v>
      </c>
      <c r="C95" s="66">
        <v>14704</v>
      </c>
      <c r="D95" s="67">
        <v>45658</v>
      </c>
      <c r="E95" s="67">
        <v>45688</v>
      </c>
      <c r="F95" s="37" t="s">
        <v>11</v>
      </c>
      <c r="G95" s="68">
        <v>0.01</v>
      </c>
      <c r="H95" s="69">
        <v>2.5000000000000001E-3</v>
      </c>
      <c r="I95" s="66" t="s">
        <v>20</v>
      </c>
      <c r="J95" s="67">
        <v>45674</v>
      </c>
      <c r="K95" s="37" t="s">
        <v>329</v>
      </c>
      <c r="L95" s="37" t="s">
        <v>328</v>
      </c>
    </row>
    <row r="96" spans="1:12">
      <c r="A96" s="37">
        <v>95</v>
      </c>
      <c r="B96" s="65" t="s">
        <v>230</v>
      </c>
      <c r="C96" s="66">
        <v>14701</v>
      </c>
      <c r="D96" s="67">
        <v>45658</v>
      </c>
      <c r="E96" s="67">
        <v>45688</v>
      </c>
      <c r="F96" s="37" t="s">
        <v>11</v>
      </c>
      <c r="G96" s="68">
        <v>0.01</v>
      </c>
      <c r="H96" s="69">
        <v>2.5000000000000001E-3</v>
      </c>
      <c r="I96" s="66" t="s">
        <v>20</v>
      </c>
      <c r="J96" s="67">
        <v>45674</v>
      </c>
      <c r="K96" s="37" t="s">
        <v>329</v>
      </c>
      <c r="L96" s="37" t="s">
        <v>328</v>
      </c>
    </row>
    <row r="97" spans="1:12">
      <c r="A97" s="37">
        <v>96</v>
      </c>
      <c r="B97" s="65" t="s">
        <v>230</v>
      </c>
      <c r="C97" s="66">
        <v>15282</v>
      </c>
      <c r="D97" s="67">
        <v>45658</v>
      </c>
      <c r="E97" s="67">
        <v>45688</v>
      </c>
      <c r="F97" s="37" t="s">
        <v>11</v>
      </c>
      <c r="G97" s="68">
        <v>0.01</v>
      </c>
      <c r="H97" s="69">
        <v>2.5000000000000001E-3</v>
      </c>
      <c r="I97" s="66" t="s">
        <v>20</v>
      </c>
      <c r="J97" s="67">
        <v>45674</v>
      </c>
      <c r="K97" s="37" t="s">
        <v>329</v>
      </c>
      <c r="L97" s="37" t="s">
        <v>328</v>
      </c>
    </row>
    <row r="98" spans="1:12">
      <c r="A98" s="37">
        <v>97</v>
      </c>
      <c r="B98" s="65" t="s">
        <v>230</v>
      </c>
      <c r="C98" s="66">
        <v>8687</v>
      </c>
      <c r="D98" s="67">
        <v>45658</v>
      </c>
      <c r="E98" s="67">
        <v>45688</v>
      </c>
      <c r="F98" s="37" t="s">
        <v>11</v>
      </c>
      <c r="G98" s="68">
        <v>0.01</v>
      </c>
      <c r="H98" s="69">
        <v>1E-3</v>
      </c>
      <c r="I98" s="66" t="s">
        <v>14</v>
      </c>
      <c r="J98" s="67">
        <v>45674</v>
      </c>
      <c r="K98" s="37" t="s">
        <v>330</v>
      </c>
      <c r="L98" s="37" t="s">
        <v>328</v>
      </c>
    </row>
    <row r="99" spans="1:12">
      <c r="A99" s="37">
        <v>98</v>
      </c>
      <c r="B99" s="65" t="s">
        <v>230</v>
      </c>
      <c r="C99" s="66">
        <v>10461</v>
      </c>
      <c r="D99" s="67">
        <v>45658</v>
      </c>
      <c r="E99" s="67">
        <v>45688</v>
      </c>
      <c r="F99" s="37" t="s">
        <v>11</v>
      </c>
      <c r="G99" s="68">
        <v>0.01</v>
      </c>
      <c r="H99" s="69">
        <v>0.01</v>
      </c>
      <c r="I99" s="66" t="s">
        <v>14</v>
      </c>
      <c r="J99" s="67">
        <v>45674</v>
      </c>
      <c r="K99" s="37" t="s">
        <v>330</v>
      </c>
      <c r="L99" s="37" t="s">
        <v>502</v>
      </c>
    </row>
    <row r="100" spans="1:12">
      <c r="A100" s="37">
        <v>99</v>
      </c>
      <c r="B100" s="65" t="s">
        <v>230</v>
      </c>
      <c r="C100" s="66">
        <v>12385</v>
      </c>
      <c r="D100" s="67">
        <v>45658</v>
      </c>
      <c r="E100" s="67">
        <v>45688</v>
      </c>
      <c r="F100" s="37" t="s">
        <v>11</v>
      </c>
      <c r="G100" s="68">
        <v>0.01</v>
      </c>
      <c r="H100" s="69">
        <v>0.01</v>
      </c>
      <c r="I100" s="66" t="s">
        <v>46</v>
      </c>
      <c r="J100" s="67">
        <v>45674</v>
      </c>
      <c r="K100" s="37" t="s">
        <v>330</v>
      </c>
      <c r="L100" s="37" t="s">
        <v>502</v>
      </c>
    </row>
    <row r="101" spans="1:12">
      <c r="A101" s="37">
        <v>100</v>
      </c>
      <c r="B101" s="65" t="s">
        <v>230</v>
      </c>
      <c r="C101" s="66">
        <v>1577</v>
      </c>
      <c r="D101" s="67">
        <v>45658</v>
      </c>
      <c r="E101" s="67">
        <v>45688</v>
      </c>
      <c r="F101" s="37" t="s">
        <v>11</v>
      </c>
      <c r="G101" s="68">
        <v>250000</v>
      </c>
      <c r="H101" s="69">
        <v>1.5E-3</v>
      </c>
      <c r="I101" s="66" t="s">
        <v>18</v>
      </c>
      <c r="J101" s="67">
        <v>45674</v>
      </c>
      <c r="K101" s="37" t="s">
        <v>331</v>
      </c>
      <c r="L101" s="37" t="s">
        <v>457</v>
      </c>
    </row>
    <row r="102" spans="1:12">
      <c r="A102" s="37">
        <v>101</v>
      </c>
      <c r="B102" s="65" t="s">
        <v>230</v>
      </c>
      <c r="C102" s="66">
        <v>6675</v>
      </c>
      <c r="D102" s="67">
        <v>45658</v>
      </c>
      <c r="E102" s="67">
        <v>45688</v>
      </c>
      <c r="F102" s="37" t="s">
        <v>11</v>
      </c>
      <c r="G102" s="68">
        <v>0.01</v>
      </c>
      <c r="H102" s="69">
        <v>2.5000000000000001E-3</v>
      </c>
      <c r="I102" s="66" t="s">
        <v>24</v>
      </c>
      <c r="J102" s="67">
        <v>45674</v>
      </c>
      <c r="K102" s="37" t="s">
        <v>332</v>
      </c>
      <c r="L102" s="37" t="s">
        <v>333</v>
      </c>
    </row>
    <row r="103" spans="1:12">
      <c r="A103" s="37">
        <v>102</v>
      </c>
      <c r="B103" s="65" t="s">
        <v>230</v>
      </c>
      <c r="C103" s="66" t="s">
        <v>98</v>
      </c>
      <c r="D103" s="67">
        <v>45658</v>
      </c>
      <c r="E103" s="67">
        <v>45688</v>
      </c>
      <c r="F103" s="37" t="s">
        <v>11</v>
      </c>
      <c r="G103" s="68">
        <v>300000</v>
      </c>
      <c r="H103" s="69">
        <v>1E-3</v>
      </c>
      <c r="I103" s="66" t="s">
        <v>17</v>
      </c>
      <c r="J103" s="67">
        <v>45674</v>
      </c>
      <c r="K103" s="37" t="s">
        <v>334</v>
      </c>
      <c r="L103" s="37" t="s">
        <v>458</v>
      </c>
    </row>
    <row r="104" spans="1:12">
      <c r="A104" s="37">
        <v>103</v>
      </c>
      <c r="B104" s="65" t="s">
        <v>230</v>
      </c>
      <c r="C104" s="66" t="s">
        <v>98</v>
      </c>
      <c r="D104" s="67">
        <v>45658</v>
      </c>
      <c r="E104" s="67">
        <v>45688</v>
      </c>
      <c r="F104" s="37" t="s">
        <v>11</v>
      </c>
      <c r="G104" s="68">
        <v>500000</v>
      </c>
      <c r="H104" s="69">
        <v>2E-3</v>
      </c>
      <c r="I104" s="66" t="s">
        <v>17</v>
      </c>
      <c r="J104" s="67">
        <v>45674</v>
      </c>
      <c r="K104" s="37" t="s">
        <v>334</v>
      </c>
      <c r="L104" s="37" t="s">
        <v>458</v>
      </c>
    </row>
    <row r="105" spans="1:12">
      <c r="A105" s="37">
        <v>104</v>
      </c>
      <c r="B105" s="65" t="s">
        <v>230</v>
      </c>
      <c r="C105" s="66" t="s">
        <v>336</v>
      </c>
      <c r="D105" s="67">
        <v>45658</v>
      </c>
      <c r="E105" s="67">
        <v>45688</v>
      </c>
      <c r="F105" s="37" t="s">
        <v>11</v>
      </c>
      <c r="G105" s="68">
        <v>0.01</v>
      </c>
      <c r="H105" s="69">
        <v>2.5000000000000001E-3</v>
      </c>
      <c r="I105" s="66" t="s">
        <v>20</v>
      </c>
      <c r="J105" s="67">
        <v>45677</v>
      </c>
      <c r="K105" s="37" t="s">
        <v>335</v>
      </c>
      <c r="L105" s="37" t="s">
        <v>337</v>
      </c>
    </row>
    <row r="106" spans="1:12">
      <c r="A106" s="37">
        <v>105</v>
      </c>
      <c r="B106" s="65" t="s">
        <v>230</v>
      </c>
      <c r="C106" s="66">
        <v>16528</v>
      </c>
      <c r="D106" s="67">
        <v>45658</v>
      </c>
      <c r="E106" s="67">
        <v>45688</v>
      </c>
      <c r="F106" s="37" t="s">
        <v>11</v>
      </c>
      <c r="G106" s="68">
        <v>50000</v>
      </c>
      <c r="H106" s="69">
        <v>2E-3</v>
      </c>
      <c r="I106" s="66" t="s">
        <v>18</v>
      </c>
      <c r="J106" s="67">
        <v>45672</v>
      </c>
      <c r="K106" s="37" t="s">
        <v>341</v>
      </c>
      <c r="L106" s="37" t="s">
        <v>459</v>
      </c>
    </row>
    <row r="107" spans="1:12">
      <c r="A107" s="37">
        <v>106</v>
      </c>
      <c r="B107" s="65" t="s">
        <v>230</v>
      </c>
      <c r="C107" s="66">
        <v>16175</v>
      </c>
      <c r="D107" s="67">
        <v>45658</v>
      </c>
      <c r="E107" s="67">
        <v>45688</v>
      </c>
      <c r="F107" s="37" t="s">
        <v>11</v>
      </c>
      <c r="G107" s="68">
        <v>0.01</v>
      </c>
      <c r="H107" s="69">
        <v>2.5000000000000001E-3</v>
      </c>
      <c r="I107" s="66" t="s">
        <v>20</v>
      </c>
      <c r="J107" s="67">
        <v>45677</v>
      </c>
      <c r="K107" s="37" t="s">
        <v>342</v>
      </c>
      <c r="L107" s="37" t="s">
        <v>343</v>
      </c>
    </row>
    <row r="108" spans="1:12">
      <c r="A108" s="37">
        <v>107</v>
      </c>
      <c r="B108" s="65" t="s">
        <v>230</v>
      </c>
      <c r="C108" s="66" t="s">
        <v>345</v>
      </c>
      <c r="D108" s="67">
        <v>45674</v>
      </c>
      <c r="E108" s="67">
        <v>45688</v>
      </c>
      <c r="F108" s="37" t="s">
        <v>11</v>
      </c>
      <c r="G108" s="68">
        <v>0.01</v>
      </c>
      <c r="H108" s="69">
        <v>1E-3</v>
      </c>
      <c r="I108" s="66" t="s">
        <v>24</v>
      </c>
      <c r="J108" s="67">
        <v>45677</v>
      </c>
      <c r="K108" s="37" t="s">
        <v>344</v>
      </c>
      <c r="L108" s="37" t="s">
        <v>346</v>
      </c>
    </row>
    <row r="109" spans="1:12">
      <c r="A109" s="37">
        <v>108</v>
      </c>
      <c r="B109" s="65" t="s">
        <v>230</v>
      </c>
      <c r="C109" s="66">
        <v>16713</v>
      </c>
      <c r="D109" s="67">
        <v>45677</v>
      </c>
      <c r="E109" s="67">
        <v>45688</v>
      </c>
      <c r="F109" s="37" t="s">
        <v>11</v>
      </c>
      <c r="G109" s="68">
        <v>0.01</v>
      </c>
      <c r="H109" s="69">
        <v>1.9E-2</v>
      </c>
      <c r="I109" s="66" t="s">
        <v>13</v>
      </c>
      <c r="J109" s="67">
        <v>45677</v>
      </c>
      <c r="K109" s="37" t="s">
        <v>348</v>
      </c>
      <c r="L109" s="37" t="s">
        <v>347</v>
      </c>
    </row>
    <row r="110" spans="1:12">
      <c r="A110" s="37">
        <v>109</v>
      </c>
      <c r="B110" s="65" t="s">
        <v>230</v>
      </c>
      <c r="C110" s="66">
        <v>9212</v>
      </c>
      <c r="D110" s="67">
        <v>45658</v>
      </c>
      <c r="E110" s="67">
        <v>45688</v>
      </c>
      <c r="F110" s="37" t="s">
        <v>11</v>
      </c>
      <c r="G110" s="68">
        <v>0.01</v>
      </c>
      <c r="H110" s="69">
        <v>1.1999999999999999E-3</v>
      </c>
      <c r="I110" s="66" t="s">
        <v>14</v>
      </c>
      <c r="J110" s="67">
        <v>45677</v>
      </c>
      <c r="K110" s="37" t="s">
        <v>349</v>
      </c>
      <c r="L110" s="37" t="s">
        <v>350</v>
      </c>
    </row>
    <row r="111" spans="1:12">
      <c r="A111" s="37">
        <v>110</v>
      </c>
      <c r="B111" s="65" t="s">
        <v>230</v>
      </c>
      <c r="C111" s="66">
        <v>14444</v>
      </c>
      <c r="D111" s="67">
        <v>45677</v>
      </c>
      <c r="E111" s="67">
        <v>45688</v>
      </c>
      <c r="F111" s="37" t="s">
        <v>11</v>
      </c>
      <c r="G111" s="68">
        <v>250000</v>
      </c>
      <c r="H111" s="69">
        <v>1E-3</v>
      </c>
      <c r="I111" s="66" t="s">
        <v>15</v>
      </c>
      <c r="J111" s="67">
        <v>45677</v>
      </c>
      <c r="K111" s="37" t="s">
        <v>351</v>
      </c>
      <c r="L111" s="37" t="s">
        <v>352</v>
      </c>
    </row>
    <row r="112" spans="1:12">
      <c r="A112" s="37">
        <v>111</v>
      </c>
      <c r="B112" s="65" t="s">
        <v>230</v>
      </c>
      <c r="C112" s="66">
        <v>16055</v>
      </c>
      <c r="D112" s="67">
        <v>45658</v>
      </c>
      <c r="E112" s="67">
        <v>45688</v>
      </c>
      <c r="F112" s="37" t="s">
        <v>11</v>
      </c>
      <c r="G112" s="68">
        <v>0.01</v>
      </c>
      <c r="H112" s="69">
        <v>2.5000000000000001E-3</v>
      </c>
      <c r="I112" s="66" t="s">
        <v>168</v>
      </c>
      <c r="J112" s="67">
        <v>45677</v>
      </c>
      <c r="K112" s="37" t="s">
        <v>353</v>
      </c>
      <c r="L112" s="37" t="s">
        <v>143</v>
      </c>
    </row>
    <row r="113" spans="1:12">
      <c r="A113" s="37">
        <v>112</v>
      </c>
      <c r="B113" s="65" t="s">
        <v>230</v>
      </c>
      <c r="C113" s="66">
        <v>15421</v>
      </c>
      <c r="D113" s="67">
        <v>45658</v>
      </c>
      <c r="E113" s="67">
        <v>45688</v>
      </c>
      <c r="F113" s="37" t="s">
        <v>11</v>
      </c>
      <c r="G113" s="68">
        <v>0.01</v>
      </c>
      <c r="H113" s="69">
        <v>2E-3</v>
      </c>
      <c r="I113" s="66" t="s">
        <v>95</v>
      </c>
      <c r="J113" s="67">
        <v>45677</v>
      </c>
      <c r="K113" s="37" t="s">
        <v>140</v>
      </c>
      <c r="L113" s="37" t="s">
        <v>143</v>
      </c>
    </row>
    <row r="114" spans="1:12">
      <c r="A114" s="37">
        <v>113</v>
      </c>
      <c r="B114" s="65" t="s">
        <v>230</v>
      </c>
      <c r="C114" s="66">
        <v>15564</v>
      </c>
      <c r="D114" s="67">
        <v>45658</v>
      </c>
      <c r="E114" s="67">
        <v>45688</v>
      </c>
      <c r="F114" s="37" t="s">
        <v>11</v>
      </c>
      <c r="G114" s="68">
        <v>0.01</v>
      </c>
      <c r="H114" s="69">
        <v>2E-3</v>
      </c>
      <c r="I114" s="66" t="s">
        <v>95</v>
      </c>
      <c r="J114" s="67">
        <v>45677</v>
      </c>
      <c r="K114" s="37" t="s">
        <v>354</v>
      </c>
      <c r="L114" s="37" t="s">
        <v>143</v>
      </c>
    </row>
    <row r="115" spans="1:12">
      <c r="A115" s="37">
        <v>114</v>
      </c>
      <c r="B115" s="65" t="s">
        <v>230</v>
      </c>
      <c r="C115" s="66">
        <v>13932</v>
      </c>
      <c r="D115" s="67">
        <v>45658</v>
      </c>
      <c r="E115" s="67">
        <v>45688</v>
      </c>
      <c r="F115" s="37" t="s">
        <v>11</v>
      </c>
      <c r="G115" s="68">
        <v>0.01</v>
      </c>
      <c r="H115" s="69">
        <v>2.5000000000000001E-3</v>
      </c>
      <c r="I115" s="66" t="s">
        <v>95</v>
      </c>
      <c r="J115" s="67">
        <v>45677</v>
      </c>
      <c r="K115" s="37" t="s">
        <v>355</v>
      </c>
      <c r="L115" s="37" t="s">
        <v>143</v>
      </c>
    </row>
    <row r="116" spans="1:12">
      <c r="A116" s="37">
        <v>115</v>
      </c>
      <c r="B116" s="65" t="s">
        <v>230</v>
      </c>
      <c r="C116" s="66">
        <v>9580</v>
      </c>
      <c r="D116" s="67">
        <v>45658</v>
      </c>
      <c r="E116" s="67">
        <v>45688</v>
      </c>
      <c r="F116" s="37" t="s">
        <v>11</v>
      </c>
      <c r="G116" s="68">
        <v>0.01</v>
      </c>
      <c r="H116" s="69">
        <v>2E-3</v>
      </c>
      <c r="I116" s="66" t="s">
        <v>95</v>
      </c>
      <c r="J116" s="67">
        <v>45677</v>
      </c>
      <c r="K116" s="37" t="s">
        <v>356</v>
      </c>
      <c r="L116" s="37" t="s">
        <v>143</v>
      </c>
    </row>
    <row r="117" spans="1:12">
      <c r="A117" s="37">
        <v>116</v>
      </c>
      <c r="B117" s="65" t="s">
        <v>230</v>
      </c>
      <c r="C117" s="66">
        <v>14011</v>
      </c>
      <c r="D117" s="67">
        <v>45658</v>
      </c>
      <c r="E117" s="67">
        <v>45688</v>
      </c>
      <c r="F117" s="37" t="s">
        <v>11</v>
      </c>
      <c r="G117" s="68">
        <v>0.01</v>
      </c>
      <c r="H117" s="69">
        <v>2.5000000000000001E-3</v>
      </c>
      <c r="I117" s="66" t="s">
        <v>95</v>
      </c>
      <c r="J117" s="67">
        <v>45677</v>
      </c>
      <c r="K117" s="37" t="s">
        <v>357</v>
      </c>
      <c r="L117" s="37" t="s">
        <v>143</v>
      </c>
    </row>
    <row r="118" spans="1:12">
      <c r="A118" s="37">
        <v>117</v>
      </c>
      <c r="B118" s="65" t="s">
        <v>230</v>
      </c>
      <c r="C118" s="66">
        <v>14011</v>
      </c>
      <c r="D118" s="67">
        <v>45658</v>
      </c>
      <c r="E118" s="67">
        <v>45688</v>
      </c>
      <c r="F118" s="37" t="s">
        <v>11</v>
      </c>
      <c r="G118" s="68">
        <v>450000</v>
      </c>
      <c r="H118" s="69">
        <v>5.0000000000000001E-3</v>
      </c>
      <c r="I118" s="66" t="s">
        <v>95</v>
      </c>
      <c r="J118" s="67">
        <v>45677</v>
      </c>
      <c r="K118" s="37" t="s">
        <v>358</v>
      </c>
      <c r="L118" s="37" t="s">
        <v>373</v>
      </c>
    </row>
    <row r="119" spans="1:12">
      <c r="A119" s="37">
        <v>118</v>
      </c>
      <c r="B119" s="65" t="s">
        <v>230</v>
      </c>
      <c r="C119" s="66">
        <v>5986</v>
      </c>
      <c r="D119" s="67">
        <v>45677</v>
      </c>
      <c r="E119" s="67">
        <v>45688</v>
      </c>
      <c r="F119" s="37" t="s">
        <v>11</v>
      </c>
      <c r="G119" s="68">
        <v>0.01</v>
      </c>
      <c r="H119" s="69">
        <v>2.5000000000000001E-3</v>
      </c>
      <c r="I119" s="66" t="s">
        <v>30</v>
      </c>
      <c r="J119" s="67">
        <v>45678</v>
      </c>
      <c r="K119" s="37" t="s">
        <v>359</v>
      </c>
      <c r="L119" s="37" t="s">
        <v>143</v>
      </c>
    </row>
    <row r="120" spans="1:12">
      <c r="A120" s="37">
        <v>119</v>
      </c>
      <c r="B120" s="65" t="s">
        <v>230</v>
      </c>
      <c r="C120" s="66">
        <v>13718</v>
      </c>
      <c r="D120" s="67">
        <v>45677</v>
      </c>
      <c r="E120" s="67">
        <v>45688</v>
      </c>
      <c r="F120" s="37" t="s">
        <v>11</v>
      </c>
      <c r="G120" s="68">
        <v>0.01</v>
      </c>
      <c r="H120" s="69">
        <v>5.0000000000000001E-3</v>
      </c>
      <c r="I120" s="66" t="s">
        <v>32</v>
      </c>
      <c r="J120" s="67">
        <v>45680</v>
      </c>
      <c r="K120" s="37" t="s">
        <v>160</v>
      </c>
      <c r="L120" s="37" t="s">
        <v>370</v>
      </c>
    </row>
    <row r="121" spans="1:12">
      <c r="A121" s="37">
        <v>120</v>
      </c>
      <c r="B121" s="65" t="s">
        <v>230</v>
      </c>
      <c r="C121" s="66">
        <v>2911</v>
      </c>
      <c r="D121" s="67">
        <v>45677</v>
      </c>
      <c r="E121" s="67">
        <v>45688</v>
      </c>
      <c r="F121" s="37" t="s">
        <v>11</v>
      </c>
      <c r="G121" s="68">
        <v>0.01</v>
      </c>
      <c r="H121" s="69">
        <v>2E-3</v>
      </c>
      <c r="I121" s="66" t="s">
        <v>29</v>
      </c>
      <c r="J121" s="67">
        <v>45680</v>
      </c>
      <c r="K121" s="37" t="s">
        <v>361</v>
      </c>
      <c r="L121" s="37" t="s">
        <v>362</v>
      </c>
    </row>
    <row r="122" spans="1:12">
      <c r="A122" s="37">
        <v>121</v>
      </c>
      <c r="B122" s="65" t="s">
        <v>230</v>
      </c>
      <c r="C122" s="66">
        <v>11402</v>
      </c>
      <c r="D122" s="67">
        <v>45677</v>
      </c>
      <c r="E122" s="67">
        <v>45688</v>
      </c>
      <c r="F122" s="37" t="s">
        <v>11</v>
      </c>
      <c r="G122" s="68">
        <v>0.01</v>
      </c>
      <c r="H122" s="69">
        <v>2E-3</v>
      </c>
      <c r="I122" s="66" t="s">
        <v>19</v>
      </c>
      <c r="J122" s="67">
        <v>45680</v>
      </c>
      <c r="K122" s="37" t="s">
        <v>361</v>
      </c>
      <c r="L122" s="37" t="s">
        <v>363</v>
      </c>
    </row>
    <row r="123" spans="1:12">
      <c r="A123" s="37">
        <v>122</v>
      </c>
      <c r="B123" s="65" t="s">
        <v>230</v>
      </c>
      <c r="C123" s="66">
        <v>13446</v>
      </c>
      <c r="D123" s="67">
        <v>45677</v>
      </c>
      <c r="E123" s="67">
        <v>45688</v>
      </c>
      <c r="F123" s="37" t="s">
        <v>11</v>
      </c>
      <c r="G123" s="68">
        <v>0.01</v>
      </c>
      <c r="H123" s="69">
        <v>0.01</v>
      </c>
      <c r="I123" s="66" t="s">
        <v>39</v>
      </c>
      <c r="J123" s="67">
        <v>45680</v>
      </c>
      <c r="K123" s="37" t="s">
        <v>364</v>
      </c>
      <c r="L123" s="37" t="s">
        <v>365</v>
      </c>
    </row>
    <row r="124" spans="1:12">
      <c r="A124" s="37">
        <v>123</v>
      </c>
      <c r="B124" s="65" t="s">
        <v>230</v>
      </c>
      <c r="C124" s="66" t="s">
        <v>374</v>
      </c>
      <c r="D124" s="67">
        <v>45658</v>
      </c>
      <c r="E124" s="67">
        <v>45688</v>
      </c>
      <c r="F124" s="37" t="s">
        <v>11</v>
      </c>
      <c r="G124" s="68">
        <v>1000000</v>
      </c>
      <c r="H124" s="69">
        <v>2E-3</v>
      </c>
      <c r="I124" s="66" t="s">
        <v>21</v>
      </c>
      <c r="J124" s="67">
        <v>45680</v>
      </c>
      <c r="K124" s="37" t="s">
        <v>366</v>
      </c>
      <c r="L124" s="37" t="s">
        <v>375</v>
      </c>
    </row>
    <row r="125" spans="1:12">
      <c r="A125" s="37">
        <v>124</v>
      </c>
      <c r="B125" s="65" t="s">
        <v>230</v>
      </c>
      <c r="C125" s="66">
        <v>16474</v>
      </c>
      <c r="D125" s="67">
        <v>45658</v>
      </c>
      <c r="E125" s="67">
        <v>45688</v>
      </c>
      <c r="F125" s="37" t="s">
        <v>11</v>
      </c>
      <c r="G125" s="68">
        <v>400000</v>
      </c>
      <c r="H125" s="69">
        <v>2.5000000000000001E-3</v>
      </c>
      <c r="I125" s="66" t="s">
        <v>168</v>
      </c>
      <c r="J125" s="67">
        <v>45680</v>
      </c>
      <c r="K125" s="37" t="s">
        <v>367</v>
      </c>
      <c r="L125" s="37" t="s">
        <v>368</v>
      </c>
    </row>
    <row r="126" spans="1:12">
      <c r="A126" s="37">
        <v>125</v>
      </c>
      <c r="B126" s="65" t="s">
        <v>230</v>
      </c>
      <c r="C126" s="66">
        <v>13440</v>
      </c>
      <c r="D126" s="67">
        <v>45658</v>
      </c>
      <c r="E126" s="67">
        <v>45688</v>
      </c>
      <c r="F126" s="37" t="s">
        <v>11</v>
      </c>
      <c r="G126" s="68">
        <v>0.01</v>
      </c>
      <c r="H126" s="69">
        <v>1.5E-3</v>
      </c>
      <c r="I126" s="66" t="s">
        <v>95</v>
      </c>
      <c r="J126" s="67">
        <v>45680</v>
      </c>
      <c r="K126" s="37" t="s">
        <v>369</v>
      </c>
      <c r="L126" s="37" t="s">
        <v>473</v>
      </c>
    </row>
    <row r="127" spans="1:12">
      <c r="A127" s="37">
        <v>126</v>
      </c>
      <c r="B127" s="65" t="s">
        <v>230</v>
      </c>
      <c r="C127" s="66">
        <v>8447</v>
      </c>
      <c r="D127" s="67">
        <v>45677</v>
      </c>
      <c r="E127" s="67">
        <v>45688</v>
      </c>
      <c r="F127" s="37" t="s">
        <v>11</v>
      </c>
      <c r="G127" s="68">
        <v>0.01</v>
      </c>
      <c r="H127" s="69">
        <v>0.01</v>
      </c>
      <c r="I127" s="66" t="s">
        <v>14</v>
      </c>
      <c r="J127" s="67">
        <v>45680</v>
      </c>
      <c r="K127" s="37" t="s">
        <v>86</v>
      </c>
      <c r="L127" s="37" t="s">
        <v>379</v>
      </c>
    </row>
    <row r="128" spans="1:12">
      <c r="A128" s="37">
        <v>127</v>
      </c>
      <c r="B128" s="65" t="s">
        <v>230</v>
      </c>
      <c r="C128" s="66">
        <v>8571</v>
      </c>
      <c r="D128" s="67">
        <v>45677</v>
      </c>
      <c r="E128" s="67">
        <v>45688</v>
      </c>
      <c r="F128" s="37" t="s">
        <v>11</v>
      </c>
      <c r="G128" s="68">
        <v>0.01</v>
      </c>
      <c r="H128" s="69">
        <v>0.01</v>
      </c>
      <c r="I128" s="66" t="s">
        <v>14</v>
      </c>
      <c r="J128" s="67">
        <v>45680</v>
      </c>
      <c r="K128" s="37" t="s">
        <v>86</v>
      </c>
      <c r="L128" s="37" t="s">
        <v>379</v>
      </c>
    </row>
    <row r="129" spans="1:12">
      <c r="A129" s="37">
        <v>128</v>
      </c>
      <c r="B129" s="65" t="s">
        <v>230</v>
      </c>
      <c r="C129" s="66" t="s">
        <v>376</v>
      </c>
      <c r="D129" s="67">
        <v>45677</v>
      </c>
      <c r="E129" s="67">
        <v>45688</v>
      </c>
      <c r="F129" s="37" t="s">
        <v>11</v>
      </c>
      <c r="G129" s="68">
        <v>0.01</v>
      </c>
      <c r="H129" s="69">
        <v>0.01</v>
      </c>
      <c r="I129" s="66" t="s">
        <v>14</v>
      </c>
      <c r="J129" s="67">
        <v>45680</v>
      </c>
      <c r="K129" s="37" t="s">
        <v>86</v>
      </c>
      <c r="L129" s="37" t="s">
        <v>379</v>
      </c>
    </row>
    <row r="130" spans="1:12">
      <c r="A130" s="37">
        <v>129</v>
      </c>
      <c r="B130" s="65" t="s">
        <v>230</v>
      </c>
      <c r="C130" s="66">
        <v>7150</v>
      </c>
      <c r="D130" s="67">
        <v>45677</v>
      </c>
      <c r="E130" s="67">
        <v>45688</v>
      </c>
      <c r="F130" s="37" t="s">
        <v>11</v>
      </c>
      <c r="G130" s="68">
        <v>0.01</v>
      </c>
      <c r="H130" s="69">
        <v>0.01</v>
      </c>
      <c r="I130" s="66" t="s">
        <v>14</v>
      </c>
      <c r="J130" s="67">
        <v>45680</v>
      </c>
      <c r="K130" s="37" t="s">
        <v>86</v>
      </c>
      <c r="L130" s="37" t="s">
        <v>379</v>
      </c>
    </row>
    <row r="131" spans="1:12">
      <c r="A131" s="37">
        <v>130</v>
      </c>
      <c r="B131" s="65" t="s">
        <v>230</v>
      </c>
      <c r="C131" s="66">
        <v>7523</v>
      </c>
      <c r="D131" s="67">
        <v>45677</v>
      </c>
      <c r="E131" s="67">
        <v>45688</v>
      </c>
      <c r="F131" s="37" t="s">
        <v>11</v>
      </c>
      <c r="G131" s="68">
        <v>0.01</v>
      </c>
      <c r="H131" s="69">
        <v>0.01</v>
      </c>
      <c r="I131" s="66" t="s">
        <v>14</v>
      </c>
      <c r="J131" s="67">
        <v>45680</v>
      </c>
      <c r="K131" s="37" t="s">
        <v>86</v>
      </c>
      <c r="L131" s="37" t="s">
        <v>379</v>
      </c>
    </row>
    <row r="132" spans="1:12">
      <c r="A132" s="37">
        <v>131</v>
      </c>
      <c r="B132" s="65" t="s">
        <v>230</v>
      </c>
      <c r="C132" s="66" t="s">
        <v>377</v>
      </c>
      <c r="D132" s="67">
        <v>45677</v>
      </c>
      <c r="E132" s="67">
        <v>45688</v>
      </c>
      <c r="F132" s="37" t="s">
        <v>11</v>
      </c>
      <c r="G132" s="68">
        <v>0.01</v>
      </c>
      <c r="H132" s="69">
        <v>0.01</v>
      </c>
      <c r="I132" s="66" t="s">
        <v>14</v>
      </c>
      <c r="J132" s="67">
        <v>45680</v>
      </c>
      <c r="K132" s="37" t="s">
        <v>86</v>
      </c>
      <c r="L132" s="37" t="s">
        <v>379</v>
      </c>
    </row>
    <row r="133" spans="1:12">
      <c r="A133" s="37">
        <v>132</v>
      </c>
      <c r="B133" s="65" t="s">
        <v>230</v>
      </c>
      <c r="C133" s="66" t="s">
        <v>378</v>
      </c>
      <c r="D133" s="67">
        <v>45677</v>
      </c>
      <c r="E133" s="67">
        <v>45688</v>
      </c>
      <c r="F133" s="37" t="s">
        <v>11</v>
      </c>
      <c r="G133" s="68">
        <v>0.01</v>
      </c>
      <c r="H133" s="69">
        <v>0.01</v>
      </c>
      <c r="I133" s="66" t="s">
        <v>14</v>
      </c>
      <c r="J133" s="67">
        <v>45680</v>
      </c>
      <c r="K133" s="37" t="s">
        <v>86</v>
      </c>
      <c r="L133" s="37" t="s">
        <v>379</v>
      </c>
    </row>
    <row r="134" spans="1:12">
      <c r="A134" s="37">
        <v>133</v>
      </c>
      <c r="B134" s="65" t="s">
        <v>230</v>
      </c>
      <c r="C134" s="66">
        <v>16726</v>
      </c>
      <c r="D134" s="67">
        <v>45680</v>
      </c>
      <c r="E134" s="67">
        <v>45688</v>
      </c>
      <c r="F134" s="37" t="s">
        <v>11</v>
      </c>
      <c r="G134" s="68">
        <v>0.01</v>
      </c>
      <c r="H134" s="69">
        <v>0.01</v>
      </c>
      <c r="I134" s="66" t="s">
        <v>13</v>
      </c>
      <c r="J134" s="67">
        <v>45684</v>
      </c>
      <c r="K134" s="37" t="s">
        <v>380</v>
      </c>
      <c r="L134" s="37" t="s">
        <v>483</v>
      </c>
    </row>
    <row r="135" spans="1:12">
      <c r="A135" s="37">
        <v>134</v>
      </c>
      <c r="B135" s="65" t="s">
        <v>230</v>
      </c>
      <c r="C135" s="66">
        <v>16726</v>
      </c>
      <c r="D135" s="67">
        <v>45680</v>
      </c>
      <c r="E135" s="67">
        <v>45688</v>
      </c>
      <c r="F135" s="37" t="s">
        <v>11</v>
      </c>
      <c r="G135" s="68">
        <v>0.01</v>
      </c>
      <c r="H135" s="69">
        <v>5.0000000000000001E-3</v>
      </c>
      <c r="I135" s="66" t="s">
        <v>13</v>
      </c>
      <c r="J135" s="67">
        <v>45684</v>
      </c>
      <c r="K135" s="37" t="s">
        <v>380</v>
      </c>
      <c r="L135" s="37" t="s">
        <v>484</v>
      </c>
    </row>
    <row r="136" spans="1:12">
      <c r="A136" s="37">
        <v>135</v>
      </c>
      <c r="B136" s="65" t="s">
        <v>230</v>
      </c>
      <c r="C136" s="66">
        <v>11633</v>
      </c>
      <c r="D136" s="67">
        <v>45658</v>
      </c>
      <c r="E136" s="67">
        <v>45688</v>
      </c>
      <c r="F136" s="37" t="s">
        <v>11</v>
      </c>
      <c r="G136" s="68">
        <v>0.01</v>
      </c>
      <c r="H136" s="69">
        <v>1.5E-3</v>
      </c>
      <c r="I136" s="66" t="s">
        <v>95</v>
      </c>
      <c r="J136" s="67">
        <v>45681</v>
      </c>
      <c r="K136" s="37" t="s">
        <v>381</v>
      </c>
      <c r="L136" s="37" t="s">
        <v>382</v>
      </c>
    </row>
    <row r="137" spans="1:12">
      <c r="A137" s="37">
        <v>136</v>
      </c>
      <c r="B137" s="65" t="s">
        <v>230</v>
      </c>
      <c r="C137" s="66">
        <v>5296</v>
      </c>
      <c r="D137" s="67">
        <v>45673</v>
      </c>
      <c r="E137" s="67">
        <v>45688</v>
      </c>
      <c r="F137" s="37" t="s">
        <v>11</v>
      </c>
      <c r="G137" s="68">
        <v>80000</v>
      </c>
      <c r="H137" s="69">
        <v>5.0000000000000001E-3</v>
      </c>
      <c r="I137" s="66" t="s">
        <v>17</v>
      </c>
      <c r="J137" s="67">
        <v>45684</v>
      </c>
      <c r="K137" s="37" t="s">
        <v>383</v>
      </c>
      <c r="L137" s="37" t="s">
        <v>390</v>
      </c>
    </row>
    <row r="138" spans="1:12">
      <c r="A138" s="37">
        <v>137</v>
      </c>
      <c r="B138" s="65" t="s">
        <v>230</v>
      </c>
      <c r="C138" s="66">
        <v>3349</v>
      </c>
      <c r="D138" s="67">
        <v>45673</v>
      </c>
      <c r="E138" s="67">
        <v>45688</v>
      </c>
      <c r="F138" s="37" t="s">
        <v>11</v>
      </c>
      <c r="G138" s="68">
        <v>80000</v>
      </c>
      <c r="H138" s="69">
        <v>5.0000000000000001E-3</v>
      </c>
      <c r="I138" s="66" t="s">
        <v>17</v>
      </c>
      <c r="J138" s="67">
        <v>45684</v>
      </c>
      <c r="K138" s="37" t="s">
        <v>384</v>
      </c>
      <c r="L138" s="37" t="s">
        <v>390</v>
      </c>
    </row>
    <row r="139" spans="1:12">
      <c r="A139" s="37">
        <v>138</v>
      </c>
      <c r="B139" s="65" t="s">
        <v>230</v>
      </c>
      <c r="C139" s="66">
        <v>8656</v>
      </c>
      <c r="D139" s="67">
        <v>45673</v>
      </c>
      <c r="E139" s="67">
        <v>45688</v>
      </c>
      <c r="F139" s="37" t="s">
        <v>11</v>
      </c>
      <c r="G139" s="68">
        <v>60000</v>
      </c>
      <c r="H139" s="69">
        <v>5.0000000000000001E-3</v>
      </c>
      <c r="I139" s="66" t="s">
        <v>17</v>
      </c>
      <c r="J139" s="67">
        <v>45684</v>
      </c>
      <c r="K139" s="37" t="s">
        <v>385</v>
      </c>
      <c r="L139" s="37" t="s">
        <v>390</v>
      </c>
    </row>
    <row r="140" spans="1:12">
      <c r="A140" s="37">
        <v>139</v>
      </c>
      <c r="B140" s="65" t="s">
        <v>230</v>
      </c>
      <c r="C140" s="66">
        <v>5311</v>
      </c>
      <c r="D140" s="67">
        <v>45673</v>
      </c>
      <c r="E140" s="67">
        <v>45688</v>
      </c>
      <c r="F140" s="37" t="s">
        <v>11</v>
      </c>
      <c r="G140" s="68">
        <v>80000</v>
      </c>
      <c r="H140" s="69">
        <v>5.0000000000000001E-3</v>
      </c>
      <c r="I140" s="66" t="s">
        <v>17</v>
      </c>
      <c r="J140" s="67">
        <v>45684</v>
      </c>
      <c r="K140" s="37" t="s">
        <v>386</v>
      </c>
      <c r="L140" s="37" t="s">
        <v>390</v>
      </c>
    </row>
    <row r="141" spans="1:12">
      <c r="A141" s="37">
        <v>140</v>
      </c>
      <c r="B141" s="65" t="s">
        <v>230</v>
      </c>
      <c r="C141" s="66">
        <v>1452</v>
      </c>
      <c r="D141" s="67">
        <v>45673</v>
      </c>
      <c r="E141" s="67">
        <v>45688</v>
      </c>
      <c r="F141" s="37" t="s">
        <v>11</v>
      </c>
      <c r="G141" s="68">
        <v>100000</v>
      </c>
      <c r="H141" s="69">
        <v>5.0000000000000001E-3</v>
      </c>
      <c r="I141" s="66" t="s">
        <v>17</v>
      </c>
      <c r="J141" s="67">
        <v>45684</v>
      </c>
      <c r="K141" s="37" t="s">
        <v>387</v>
      </c>
      <c r="L141" s="37" t="s">
        <v>390</v>
      </c>
    </row>
    <row r="142" spans="1:12">
      <c r="A142" s="37">
        <v>141</v>
      </c>
      <c r="B142" s="65" t="s">
        <v>230</v>
      </c>
      <c r="C142" s="66">
        <v>685</v>
      </c>
      <c r="D142" s="67">
        <v>45673</v>
      </c>
      <c r="E142" s="67">
        <v>45688</v>
      </c>
      <c r="F142" s="37" t="s">
        <v>11</v>
      </c>
      <c r="G142" s="68">
        <v>150000</v>
      </c>
      <c r="H142" s="69">
        <v>5.0000000000000001E-3</v>
      </c>
      <c r="I142" s="66" t="s">
        <v>17</v>
      </c>
      <c r="J142" s="67">
        <v>45684</v>
      </c>
      <c r="K142" s="37" t="s">
        <v>388</v>
      </c>
      <c r="L142" s="37" t="s">
        <v>390</v>
      </c>
    </row>
    <row r="143" spans="1:12">
      <c r="A143" s="37">
        <v>142</v>
      </c>
      <c r="B143" s="65" t="s">
        <v>230</v>
      </c>
      <c r="C143" s="66">
        <v>454</v>
      </c>
      <c r="D143" s="67">
        <v>45673</v>
      </c>
      <c r="E143" s="67">
        <v>45688</v>
      </c>
      <c r="F143" s="37" t="s">
        <v>11</v>
      </c>
      <c r="G143" s="68">
        <v>80000</v>
      </c>
      <c r="H143" s="69">
        <v>5.0000000000000001E-3</v>
      </c>
      <c r="I143" s="66" t="s">
        <v>17</v>
      </c>
      <c r="J143" s="67">
        <v>45684</v>
      </c>
      <c r="K143" s="37" t="s">
        <v>389</v>
      </c>
      <c r="L143" s="37" t="s">
        <v>390</v>
      </c>
    </row>
    <row r="144" spans="1:12">
      <c r="A144" s="37">
        <v>143</v>
      </c>
      <c r="B144" s="65" t="s">
        <v>230</v>
      </c>
      <c r="C144" s="66">
        <v>14918</v>
      </c>
      <c r="D144" s="67">
        <v>45678</v>
      </c>
      <c r="E144" s="67">
        <v>45688</v>
      </c>
      <c r="F144" s="37" t="s">
        <v>11</v>
      </c>
      <c r="G144" s="68">
        <v>150000</v>
      </c>
      <c r="H144" s="69">
        <v>0.01</v>
      </c>
      <c r="I144" s="66" t="s">
        <v>17</v>
      </c>
      <c r="J144" s="67">
        <v>45684</v>
      </c>
      <c r="K144" s="37" t="s">
        <v>112</v>
      </c>
      <c r="L144" s="37" t="s">
        <v>397</v>
      </c>
    </row>
    <row r="145" spans="1:12">
      <c r="A145" s="37">
        <v>144</v>
      </c>
      <c r="B145" s="65" t="s">
        <v>230</v>
      </c>
      <c r="C145" s="66">
        <v>14918</v>
      </c>
      <c r="D145" s="67">
        <v>45678</v>
      </c>
      <c r="E145" s="67">
        <v>45688</v>
      </c>
      <c r="F145" s="37" t="s">
        <v>11</v>
      </c>
      <c r="G145" s="68">
        <v>100000</v>
      </c>
      <c r="H145" s="69">
        <v>0.01</v>
      </c>
      <c r="I145" s="66" t="s">
        <v>17</v>
      </c>
      <c r="J145" s="67">
        <v>45684</v>
      </c>
      <c r="K145" s="37" t="s">
        <v>112</v>
      </c>
      <c r="L145" s="37" t="s">
        <v>478</v>
      </c>
    </row>
    <row r="146" spans="1:12">
      <c r="A146" s="37">
        <v>145</v>
      </c>
      <c r="B146" s="65" t="s">
        <v>230</v>
      </c>
      <c r="C146" s="66">
        <v>2689</v>
      </c>
      <c r="D146" s="67">
        <v>45674</v>
      </c>
      <c r="E146" s="67">
        <v>45688</v>
      </c>
      <c r="F146" s="37" t="s">
        <v>11</v>
      </c>
      <c r="G146" s="68">
        <v>100000</v>
      </c>
      <c r="H146" s="69">
        <v>5.0000000000000001E-3</v>
      </c>
      <c r="I146" s="66" t="s">
        <v>17</v>
      </c>
      <c r="J146" s="67">
        <v>45684</v>
      </c>
      <c r="K146" s="37" t="s">
        <v>391</v>
      </c>
      <c r="L146" s="37" t="s">
        <v>390</v>
      </c>
    </row>
    <row r="147" spans="1:12">
      <c r="A147" s="37">
        <v>146</v>
      </c>
      <c r="B147" s="65" t="s">
        <v>230</v>
      </c>
      <c r="C147" s="66">
        <v>507</v>
      </c>
      <c r="D147" s="67">
        <v>45673</v>
      </c>
      <c r="E147" s="67">
        <v>45688</v>
      </c>
      <c r="F147" s="37" t="s">
        <v>11</v>
      </c>
      <c r="G147" s="68">
        <v>60000</v>
      </c>
      <c r="H147" s="69">
        <v>5.0000000000000001E-3</v>
      </c>
      <c r="I147" s="66" t="s">
        <v>17</v>
      </c>
      <c r="J147" s="67">
        <v>45684</v>
      </c>
      <c r="K147" s="37" t="s">
        <v>392</v>
      </c>
      <c r="L147" s="37" t="s">
        <v>390</v>
      </c>
    </row>
    <row r="148" spans="1:12">
      <c r="A148" s="37">
        <v>147</v>
      </c>
      <c r="B148" s="65" t="s">
        <v>230</v>
      </c>
      <c r="C148" s="66">
        <v>16403</v>
      </c>
      <c r="D148" s="67">
        <v>45674</v>
      </c>
      <c r="E148" s="67">
        <v>45688</v>
      </c>
      <c r="F148" s="37" t="s">
        <v>11</v>
      </c>
      <c r="G148" s="68">
        <v>100000</v>
      </c>
      <c r="H148" s="69">
        <v>5.0000000000000001E-3</v>
      </c>
      <c r="I148" s="66" t="s">
        <v>17</v>
      </c>
      <c r="J148" s="67">
        <v>45684</v>
      </c>
      <c r="K148" s="37" t="s">
        <v>393</v>
      </c>
      <c r="L148" s="37" t="s">
        <v>390</v>
      </c>
    </row>
    <row r="149" spans="1:12">
      <c r="A149" s="37">
        <v>148</v>
      </c>
      <c r="B149" s="65" t="s">
        <v>230</v>
      </c>
      <c r="C149" s="66" t="s">
        <v>395</v>
      </c>
      <c r="D149" s="67">
        <v>45658</v>
      </c>
      <c r="E149" s="67">
        <v>45688</v>
      </c>
      <c r="F149" s="37" t="s">
        <v>11</v>
      </c>
      <c r="G149" s="68">
        <v>1000</v>
      </c>
      <c r="H149" s="69">
        <v>2.5000000000000001E-3</v>
      </c>
      <c r="I149" s="66" t="s">
        <v>30</v>
      </c>
      <c r="J149" s="67">
        <v>45684</v>
      </c>
      <c r="K149" s="37" t="s">
        <v>394</v>
      </c>
      <c r="L149" s="37" t="s">
        <v>396</v>
      </c>
    </row>
    <row r="150" spans="1:12">
      <c r="A150" s="37">
        <v>149</v>
      </c>
      <c r="B150" s="65" t="s">
        <v>230</v>
      </c>
      <c r="C150" s="66">
        <v>11730</v>
      </c>
      <c r="D150" s="67">
        <v>45658</v>
      </c>
      <c r="E150" s="67">
        <v>45688</v>
      </c>
      <c r="F150" s="37" t="s">
        <v>11</v>
      </c>
      <c r="G150" s="68">
        <v>0.01</v>
      </c>
      <c r="H150" s="69">
        <v>0.01</v>
      </c>
      <c r="I150" s="66" t="s">
        <v>14</v>
      </c>
      <c r="J150" s="67">
        <v>45684</v>
      </c>
      <c r="K150" s="37" t="s">
        <v>403</v>
      </c>
      <c r="L150" s="37" t="s">
        <v>404</v>
      </c>
    </row>
    <row r="151" spans="1:12">
      <c r="A151" s="37">
        <v>150</v>
      </c>
      <c r="B151" s="65" t="s">
        <v>230</v>
      </c>
      <c r="C151" s="66" t="s">
        <v>405</v>
      </c>
      <c r="D151" s="67">
        <v>45658</v>
      </c>
      <c r="E151" s="67">
        <v>45688</v>
      </c>
      <c r="F151" s="37" t="s">
        <v>11</v>
      </c>
      <c r="G151" s="68">
        <v>0.01</v>
      </c>
      <c r="H151" s="69">
        <v>5.0000000000000001E-3</v>
      </c>
      <c r="I151" s="66" t="s">
        <v>42</v>
      </c>
      <c r="J151" s="67">
        <v>45678</v>
      </c>
      <c r="K151" s="37" t="s">
        <v>406</v>
      </c>
      <c r="L151" s="37" t="s">
        <v>480</v>
      </c>
    </row>
    <row r="152" spans="1:12">
      <c r="A152" s="37">
        <v>151</v>
      </c>
      <c r="B152" s="65" t="s">
        <v>230</v>
      </c>
      <c r="C152" s="66" t="s">
        <v>405</v>
      </c>
      <c r="D152" s="67">
        <v>45658</v>
      </c>
      <c r="E152" s="67">
        <v>45688</v>
      </c>
      <c r="F152" s="37" t="s">
        <v>11</v>
      </c>
      <c r="G152" s="68">
        <v>0.01</v>
      </c>
      <c r="H152" s="69">
        <v>3.7000000000000002E-3</v>
      </c>
      <c r="I152" s="66" t="s">
        <v>42</v>
      </c>
      <c r="J152" s="67">
        <v>45678</v>
      </c>
      <c r="K152" s="37" t="s">
        <v>406</v>
      </c>
      <c r="L152" s="37" t="s">
        <v>479</v>
      </c>
    </row>
    <row r="153" spans="1:12">
      <c r="A153" s="37">
        <v>152</v>
      </c>
      <c r="B153" s="65" t="s">
        <v>230</v>
      </c>
      <c r="C153" s="66">
        <v>4353</v>
      </c>
      <c r="D153" s="67">
        <v>45681</v>
      </c>
      <c r="E153" s="67">
        <v>45688</v>
      </c>
      <c r="F153" s="37" t="s">
        <v>11</v>
      </c>
      <c r="G153" s="68">
        <v>1000</v>
      </c>
      <c r="H153" s="69">
        <v>0.01</v>
      </c>
      <c r="I153" s="66" t="s">
        <v>25</v>
      </c>
      <c r="J153" s="67">
        <v>45684</v>
      </c>
      <c r="K153" s="37" t="s">
        <v>407</v>
      </c>
      <c r="L153" s="37" t="s">
        <v>408</v>
      </c>
    </row>
    <row r="154" spans="1:12">
      <c r="A154" s="37">
        <v>153</v>
      </c>
      <c r="B154" s="65" t="s">
        <v>230</v>
      </c>
      <c r="C154" s="66">
        <v>4353</v>
      </c>
      <c r="D154" s="67">
        <v>45681</v>
      </c>
      <c r="E154" s="67">
        <v>45688</v>
      </c>
      <c r="F154" s="37" t="s">
        <v>11</v>
      </c>
      <c r="G154" s="68">
        <v>1000</v>
      </c>
      <c r="H154" s="69">
        <v>5.0000000000000001E-3</v>
      </c>
      <c r="I154" s="66" t="s">
        <v>25</v>
      </c>
      <c r="J154" s="67">
        <v>45684</v>
      </c>
      <c r="K154" s="37" t="s">
        <v>407</v>
      </c>
      <c r="L154" s="37" t="s">
        <v>409</v>
      </c>
    </row>
    <row r="155" spans="1:12">
      <c r="A155" s="37">
        <v>154</v>
      </c>
      <c r="B155" s="65" t="s">
        <v>230</v>
      </c>
      <c r="C155" s="66">
        <v>12466</v>
      </c>
      <c r="D155" s="67">
        <v>45658</v>
      </c>
      <c r="E155" s="67">
        <v>45688</v>
      </c>
      <c r="F155" s="37" t="s">
        <v>11</v>
      </c>
      <c r="G155" s="68">
        <v>0.01</v>
      </c>
      <c r="H155" s="69">
        <v>0.02</v>
      </c>
      <c r="I155" s="66" t="s">
        <v>14</v>
      </c>
      <c r="J155" s="67">
        <v>45685</v>
      </c>
      <c r="K155" s="37" t="s">
        <v>410</v>
      </c>
      <c r="L155" s="37" t="s">
        <v>427</v>
      </c>
    </row>
    <row r="156" spans="1:12">
      <c r="A156" s="37">
        <v>155</v>
      </c>
      <c r="B156" s="65" t="s">
        <v>230</v>
      </c>
      <c r="C156" s="66">
        <v>12466</v>
      </c>
      <c r="D156" s="67">
        <v>45658</v>
      </c>
      <c r="E156" s="67">
        <v>45688</v>
      </c>
      <c r="F156" s="37" t="s">
        <v>11</v>
      </c>
      <c r="G156" s="68">
        <v>0.01</v>
      </c>
      <c r="H156" s="69">
        <v>0.01</v>
      </c>
      <c r="I156" s="66" t="s">
        <v>14</v>
      </c>
      <c r="J156" s="67">
        <v>45685</v>
      </c>
      <c r="K156" s="37" t="s">
        <v>410</v>
      </c>
      <c r="L156" s="37" t="s">
        <v>428</v>
      </c>
    </row>
    <row r="157" spans="1:12">
      <c r="A157" s="37">
        <v>156</v>
      </c>
      <c r="B157" s="65" t="s">
        <v>230</v>
      </c>
      <c r="C157" s="66">
        <v>12466</v>
      </c>
      <c r="D157" s="67">
        <v>45658</v>
      </c>
      <c r="E157" s="67">
        <v>45688</v>
      </c>
      <c r="F157" s="37" t="s">
        <v>11</v>
      </c>
      <c r="G157" s="68">
        <v>0.01</v>
      </c>
      <c r="H157" s="69">
        <v>6.4999999999999997E-3</v>
      </c>
      <c r="I157" s="66" t="s">
        <v>14</v>
      </c>
      <c r="J157" s="67">
        <v>45685</v>
      </c>
      <c r="K157" s="37" t="s">
        <v>410</v>
      </c>
      <c r="L157" s="37" t="s">
        <v>72</v>
      </c>
    </row>
    <row r="158" spans="1:12">
      <c r="A158" s="37">
        <v>157</v>
      </c>
      <c r="B158" s="65" t="s">
        <v>230</v>
      </c>
      <c r="C158" s="66">
        <v>12466</v>
      </c>
      <c r="D158" s="67">
        <v>45658</v>
      </c>
      <c r="E158" s="67">
        <v>45688</v>
      </c>
      <c r="F158" s="37" t="s">
        <v>11</v>
      </c>
      <c r="G158" s="68">
        <v>0.01</v>
      </c>
      <c r="H158" s="69" t="s">
        <v>411</v>
      </c>
      <c r="I158" s="66" t="s">
        <v>14</v>
      </c>
      <c r="J158" s="67">
        <v>45685</v>
      </c>
      <c r="K158" s="37" t="s">
        <v>410</v>
      </c>
      <c r="L158" s="37" t="s">
        <v>429</v>
      </c>
    </row>
    <row r="159" spans="1:12">
      <c r="A159" s="37">
        <v>158</v>
      </c>
      <c r="B159" s="65" t="s">
        <v>230</v>
      </c>
      <c r="C159" s="66">
        <v>9566</v>
      </c>
      <c r="D159" s="67">
        <v>45658</v>
      </c>
      <c r="E159" s="67">
        <v>45688</v>
      </c>
      <c r="F159" s="37" t="s">
        <v>11</v>
      </c>
      <c r="G159" s="68">
        <v>0.01</v>
      </c>
      <c r="H159" s="69">
        <v>3.0000000000000001E-3</v>
      </c>
      <c r="I159" s="66" t="s">
        <v>14</v>
      </c>
      <c r="J159" s="67">
        <v>45685</v>
      </c>
      <c r="K159" s="37" t="s">
        <v>410</v>
      </c>
      <c r="L159" s="37" t="s">
        <v>430</v>
      </c>
    </row>
    <row r="160" spans="1:12">
      <c r="A160" s="37">
        <v>159</v>
      </c>
      <c r="B160" s="65" t="s">
        <v>230</v>
      </c>
      <c r="C160" s="66">
        <v>9566</v>
      </c>
      <c r="D160" s="67">
        <v>45658</v>
      </c>
      <c r="E160" s="67">
        <v>45688</v>
      </c>
      <c r="F160" s="37" t="s">
        <v>11</v>
      </c>
      <c r="G160" s="68">
        <v>0.01</v>
      </c>
      <c r="H160" s="69">
        <v>5.0000000000000001E-3</v>
      </c>
      <c r="I160" s="66" t="s">
        <v>14</v>
      </c>
      <c r="J160" s="67">
        <v>45685</v>
      </c>
      <c r="K160" s="37" t="s">
        <v>410</v>
      </c>
      <c r="L160" s="37" t="s">
        <v>237</v>
      </c>
    </row>
    <row r="161" spans="1:12">
      <c r="A161" s="37">
        <v>160</v>
      </c>
      <c r="B161" s="65" t="s">
        <v>230</v>
      </c>
      <c r="C161" s="66">
        <v>12800</v>
      </c>
      <c r="D161" s="67">
        <v>45658</v>
      </c>
      <c r="E161" s="67">
        <v>45688</v>
      </c>
      <c r="F161" s="37" t="s">
        <v>11</v>
      </c>
      <c r="G161" s="68">
        <v>0.01</v>
      </c>
      <c r="H161" s="69">
        <v>2.5000000000000001E-3</v>
      </c>
      <c r="I161" s="66" t="s">
        <v>14</v>
      </c>
      <c r="J161" s="67">
        <v>45685</v>
      </c>
      <c r="K161" s="37" t="s">
        <v>410</v>
      </c>
      <c r="L161" s="37" t="s">
        <v>431</v>
      </c>
    </row>
    <row r="162" spans="1:12">
      <c r="A162" s="37">
        <v>161</v>
      </c>
      <c r="B162" s="65" t="s">
        <v>230</v>
      </c>
      <c r="C162" s="66">
        <v>13922</v>
      </c>
      <c r="D162" s="67">
        <v>45658</v>
      </c>
      <c r="E162" s="67">
        <v>45688</v>
      </c>
      <c r="F162" s="37" t="s">
        <v>11</v>
      </c>
      <c r="G162" s="68">
        <v>0.01</v>
      </c>
      <c r="H162" s="69">
        <v>2.2000000000000001E-3</v>
      </c>
      <c r="I162" s="66" t="s">
        <v>14</v>
      </c>
      <c r="J162" s="67">
        <v>45685</v>
      </c>
      <c r="K162" s="37" t="s">
        <v>410</v>
      </c>
      <c r="L162" s="37" t="s">
        <v>432</v>
      </c>
    </row>
    <row r="163" spans="1:12">
      <c r="A163" s="37">
        <v>162</v>
      </c>
      <c r="B163" s="65" t="s">
        <v>230</v>
      </c>
      <c r="C163" s="66">
        <v>13922</v>
      </c>
      <c r="D163" s="67">
        <v>45658</v>
      </c>
      <c r="E163" s="67">
        <v>45688</v>
      </c>
      <c r="F163" s="37" t="s">
        <v>11</v>
      </c>
      <c r="G163" s="68">
        <v>0.01</v>
      </c>
      <c r="H163" s="69">
        <v>1.1999999999999999E-3</v>
      </c>
      <c r="I163" s="66" t="s">
        <v>14</v>
      </c>
      <c r="J163" s="67">
        <v>45685</v>
      </c>
      <c r="K163" s="37" t="s">
        <v>410</v>
      </c>
      <c r="L163" s="37" t="s">
        <v>433</v>
      </c>
    </row>
    <row r="164" spans="1:12">
      <c r="A164" s="37">
        <v>163</v>
      </c>
      <c r="B164" s="65" t="s">
        <v>230</v>
      </c>
      <c r="C164" s="66">
        <v>13922</v>
      </c>
      <c r="D164" s="67">
        <v>45658</v>
      </c>
      <c r="E164" s="67">
        <v>45688</v>
      </c>
      <c r="F164" s="37" t="s">
        <v>11</v>
      </c>
      <c r="G164" s="68">
        <v>0.01</v>
      </c>
      <c r="H164" s="69">
        <v>2.1999999999999999E-2</v>
      </c>
      <c r="I164" s="66" t="s">
        <v>14</v>
      </c>
      <c r="J164" s="67">
        <v>45685</v>
      </c>
      <c r="K164" s="37" t="s">
        <v>410</v>
      </c>
      <c r="L164" s="37" t="s">
        <v>434</v>
      </c>
    </row>
    <row r="165" spans="1:12">
      <c r="A165" s="37">
        <v>164</v>
      </c>
      <c r="B165" s="65" t="s">
        <v>230</v>
      </c>
      <c r="C165" s="66">
        <v>13922</v>
      </c>
      <c r="D165" s="67">
        <v>45658</v>
      </c>
      <c r="E165" s="67">
        <v>45688</v>
      </c>
      <c r="F165" s="37" t="s">
        <v>11</v>
      </c>
      <c r="G165" s="68">
        <v>0.01</v>
      </c>
      <c r="H165" s="69">
        <v>1.2E-2</v>
      </c>
      <c r="I165" s="66" t="s">
        <v>14</v>
      </c>
      <c r="J165" s="67">
        <v>45685</v>
      </c>
      <c r="K165" s="37" t="s">
        <v>410</v>
      </c>
      <c r="L165" s="37" t="s">
        <v>435</v>
      </c>
    </row>
    <row r="166" spans="1:12">
      <c r="A166" s="37">
        <v>165</v>
      </c>
      <c r="B166" s="65" t="s">
        <v>230</v>
      </c>
      <c r="C166" s="66">
        <v>13922</v>
      </c>
      <c r="D166" s="67">
        <v>45658</v>
      </c>
      <c r="E166" s="67">
        <v>45688</v>
      </c>
      <c r="F166" s="37" t="s">
        <v>11</v>
      </c>
      <c r="G166" s="68">
        <v>0.01</v>
      </c>
      <c r="H166" s="69">
        <v>8.9999999999999993E-3</v>
      </c>
      <c r="I166" s="66" t="s">
        <v>14</v>
      </c>
      <c r="J166" s="67">
        <v>45685</v>
      </c>
      <c r="K166" s="37" t="s">
        <v>410</v>
      </c>
      <c r="L166" s="37" t="s">
        <v>436</v>
      </c>
    </row>
    <row r="167" spans="1:12">
      <c r="A167" s="37">
        <v>166</v>
      </c>
      <c r="B167" s="65" t="s">
        <v>230</v>
      </c>
      <c r="C167" s="66">
        <v>13922</v>
      </c>
      <c r="D167" s="67">
        <v>45658</v>
      </c>
      <c r="E167" s="67">
        <v>45688</v>
      </c>
      <c r="F167" s="37" t="s">
        <v>11</v>
      </c>
      <c r="G167" s="68">
        <v>0.01</v>
      </c>
      <c r="H167" s="69">
        <v>7.0000000000000001E-3</v>
      </c>
      <c r="I167" s="66" t="s">
        <v>14</v>
      </c>
      <c r="J167" s="67">
        <v>45685</v>
      </c>
      <c r="K167" s="37" t="s">
        <v>410</v>
      </c>
      <c r="L167" s="37" t="s">
        <v>437</v>
      </c>
    </row>
    <row r="168" spans="1:12">
      <c r="A168" s="37">
        <v>167</v>
      </c>
      <c r="B168" s="65" t="s">
        <v>230</v>
      </c>
      <c r="C168" s="66">
        <v>13470</v>
      </c>
      <c r="D168" s="67">
        <v>45658</v>
      </c>
      <c r="E168" s="67">
        <v>45688</v>
      </c>
      <c r="F168" s="37" t="s">
        <v>11</v>
      </c>
      <c r="G168" s="68">
        <v>0.01</v>
      </c>
      <c r="H168" s="69">
        <v>1.5E-3</v>
      </c>
      <c r="I168" s="66" t="s">
        <v>14</v>
      </c>
      <c r="J168" s="67">
        <v>45685</v>
      </c>
      <c r="K168" s="37" t="s">
        <v>410</v>
      </c>
      <c r="L168" s="37" t="s">
        <v>412</v>
      </c>
    </row>
    <row r="169" spans="1:12">
      <c r="A169" s="37">
        <v>168</v>
      </c>
      <c r="B169" s="65" t="s">
        <v>230</v>
      </c>
      <c r="C169" s="66">
        <v>13611</v>
      </c>
      <c r="D169" s="67">
        <v>45658</v>
      </c>
      <c r="E169" s="67">
        <v>45688</v>
      </c>
      <c r="F169" s="37" t="s">
        <v>11</v>
      </c>
      <c r="G169" s="68">
        <v>0.01</v>
      </c>
      <c r="H169" s="69">
        <v>2.5000000000000001E-3</v>
      </c>
      <c r="I169" s="66" t="s">
        <v>14</v>
      </c>
      <c r="J169" s="67">
        <v>45685</v>
      </c>
      <c r="K169" s="37" t="s">
        <v>410</v>
      </c>
      <c r="L169" s="37" t="s">
        <v>136</v>
      </c>
    </row>
    <row r="170" spans="1:12">
      <c r="A170" s="37">
        <v>169</v>
      </c>
      <c r="B170" s="65" t="s">
        <v>230</v>
      </c>
      <c r="C170" s="66">
        <v>13249</v>
      </c>
      <c r="D170" s="67">
        <v>45658</v>
      </c>
      <c r="E170" s="67">
        <v>45688</v>
      </c>
      <c r="F170" s="37" t="s">
        <v>11</v>
      </c>
      <c r="G170" s="68">
        <v>0.01</v>
      </c>
      <c r="H170" s="69">
        <v>1.7999999999999999E-2</v>
      </c>
      <c r="I170" s="66" t="s">
        <v>14</v>
      </c>
      <c r="J170" s="67">
        <v>45685</v>
      </c>
      <c r="K170" s="37" t="s">
        <v>410</v>
      </c>
      <c r="L170" s="37" t="s">
        <v>438</v>
      </c>
    </row>
    <row r="171" spans="1:12">
      <c r="A171" s="37">
        <v>170</v>
      </c>
      <c r="B171" s="65" t="s">
        <v>230</v>
      </c>
      <c r="C171" s="66">
        <v>13249</v>
      </c>
      <c r="D171" s="67">
        <v>45658</v>
      </c>
      <c r="E171" s="67">
        <v>45688</v>
      </c>
      <c r="F171" s="37" t="s">
        <v>11</v>
      </c>
      <c r="G171" s="68">
        <v>0.01</v>
      </c>
      <c r="H171" s="69">
        <v>5.0000000000000001E-3</v>
      </c>
      <c r="I171" s="66" t="s">
        <v>14</v>
      </c>
      <c r="J171" s="67">
        <v>45685</v>
      </c>
      <c r="K171" s="37" t="s">
        <v>410</v>
      </c>
      <c r="L171" s="37" t="s">
        <v>439</v>
      </c>
    </row>
    <row r="172" spans="1:12">
      <c r="A172" s="37">
        <v>171</v>
      </c>
      <c r="B172" s="65" t="s">
        <v>230</v>
      </c>
      <c r="C172" s="66">
        <v>13249</v>
      </c>
      <c r="D172" s="67">
        <v>45658</v>
      </c>
      <c r="E172" s="67">
        <v>45688</v>
      </c>
      <c r="F172" s="37" t="s">
        <v>11</v>
      </c>
      <c r="G172" s="68">
        <v>0.01</v>
      </c>
      <c r="H172" s="69">
        <v>5.0000000000000001E-3</v>
      </c>
      <c r="I172" s="66" t="s">
        <v>14</v>
      </c>
      <c r="J172" s="67">
        <v>45685</v>
      </c>
      <c r="K172" s="37" t="s">
        <v>410</v>
      </c>
      <c r="L172" s="37" t="s">
        <v>441</v>
      </c>
    </row>
    <row r="173" spans="1:12">
      <c r="A173" s="37">
        <v>172</v>
      </c>
      <c r="B173" s="65" t="s">
        <v>230</v>
      </c>
      <c r="C173" s="66">
        <v>13249</v>
      </c>
      <c r="D173" s="67">
        <v>45658</v>
      </c>
      <c r="E173" s="67">
        <v>45688</v>
      </c>
      <c r="F173" s="37" t="s">
        <v>11</v>
      </c>
      <c r="G173" s="68">
        <v>0.01</v>
      </c>
      <c r="H173" s="69">
        <v>2.75E-2</v>
      </c>
      <c r="I173" s="66" t="s">
        <v>14</v>
      </c>
      <c r="J173" s="67">
        <v>45685</v>
      </c>
      <c r="K173" s="37" t="s">
        <v>410</v>
      </c>
      <c r="L173" s="37" t="s">
        <v>440</v>
      </c>
    </row>
    <row r="174" spans="1:12">
      <c r="A174" s="37">
        <v>173</v>
      </c>
      <c r="B174" s="65" t="s">
        <v>230</v>
      </c>
      <c r="C174" s="66">
        <v>16671</v>
      </c>
      <c r="D174" s="67">
        <v>45672</v>
      </c>
      <c r="E174" s="67">
        <v>45688</v>
      </c>
      <c r="F174" s="37" t="s">
        <v>11</v>
      </c>
      <c r="G174" s="68">
        <v>250000</v>
      </c>
      <c r="H174" s="69">
        <v>2.5000000000000001E-3</v>
      </c>
      <c r="I174" s="66" t="s">
        <v>18</v>
      </c>
      <c r="J174" s="67">
        <v>45685</v>
      </c>
      <c r="K174" s="37" t="s">
        <v>413</v>
      </c>
      <c r="L174" s="37" t="s">
        <v>414</v>
      </c>
    </row>
    <row r="175" spans="1:12">
      <c r="A175" s="37">
        <v>174</v>
      </c>
      <c r="B175" s="65" t="s">
        <v>230</v>
      </c>
      <c r="C175" s="66">
        <v>5839</v>
      </c>
      <c r="D175" s="67">
        <v>45681</v>
      </c>
      <c r="E175" s="67">
        <v>45688</v>
      </c>
      <c r="F175" s="37" t="s">
        <v>11</v>
      </c>
      <c r="G175" s="68">
        <v>0.01</v>
      </c>
      <c r="H175" s="69">
        <v>5.0000000000000001E-3</v>
      </c>
      <c r="I175" s="66" t="s">
        <v>95</v>
      </c>
      <c r="J175" s="67">
        <v>45686</v>
      </c>
      <c r="K175" s="37" t="s">
        <v>420</v>
      </c>
      <c r="L175" s="37" t="s">
        <v>446</v>
      </c>
    </row>
    <row r="176" spans="1:12">
      <c r="A176" s="37">
        <v>175</v>
      </c>
      <c r="B176" s="65" t="s">
        <v>230</v>
      </c>
      <c r="C176" s="66">
        <v>3503</v>
      </c>
      <c r="D176" s="67">
        <v>45684</v>
      </c>
      <c r="E176" s="67">
        <v>45688</v>
      </c>
      <c r="F176" s="37" t="s">
        <v>11</v>
      </c>
      <c r="G176" s="68">
        <v>200000</v>
      </c>
      <c r="H176" s="69">
        <v>1.5E-3</v>
      </c>
      <c r="I176" s="66" t="s">
        <v>18</v>
      </c>
      <c r="J176" s="67">
        <v>45687</v>
      </c>
      <c r="K176" s="37" t="s">
        <v>443</v>
      </c>
      <c r="L176" s="37" t="s">
        <v>452</v>
      </c>
    </row>
    <row r="177" spans="1:12">
      <c r="A177" s="37">
        <v>176</v>
      </c>
      <c r="B177" s="65" t="s">
        <v>230</v>
      </c>
      <c r="C177" s="66">
        <v>4629</v>
      </c>
      <c r="D177" s="67">
        <v>45677</v>
      </c>
      <c r="E177" s="67">
        <v>45687</v>
      </c>
      <c r="F177" s="37" t="s">
        <v>11</v>
      </c>
      <c r="G177" s="68">
        <v>0.01</v>
      </c>
      <c r="H177" s="69">
        <v>0.01</v>
      </c>
      <c r="I177" s="66" t="s">
        <v>46</v>
      </c>
      <c r="J177" s="67">
        <v>45688</v>
      </c>
      <c r="K177" s="37" t="s">
        <v>444</v>
      </c>
      <c r="L177" s="37" t="s">
        <v>445</v>
      </c>
    </row>
    <row r="178" spans="1:12">
      <c r="A178" s="37">
        <v>177</v>
      </c>
      <c r="B178" s="65" t="s">
        <v>230</v>
      </c>
      <c r="C178" s="66">
        <v>11652</v>
      </c>
      <c r="D178" s="67">
        <v>45677</v>
      </c>
      <c r="E178" s="67">
        <v>45687</v>
      </c>
      <c r="F178" s="37" t="s">
        <v>11</v>
      </c>
      <c r="G178" s="68">
        <v>0.01</v>
      </c>
      <c r="H178" s="69">
        <v>0.01</v>
      </c>
      <c r="I178" s="66" t="s">
        <v>46</v>
      </c>
      <c r="J178" s="67">
        <v>45688</v>
      </c>
      <c r="K178" s="37" t="s">
        <v>444</v>
      </c>
      <c r="L178" s="37" t="s">
        <v>445</v>
      </c>
    </row>
    <row r="179" spans="1:12">
      <c r="A179" s="37">
        <v>178</v>
      </c>
      <c r="B179" s="65" t="s">
        <v>230</v>
      </c>
      <c r="C179" s="66">
        <v>13368</v>
      </c>
      <c r="D179" s="67">
        <v>45672</v>
      </c>
      <c r="E179" s="67">
        <v>45688</v>
      </c>
      <c r="F179" s="37" t="s">
        <v>11</v>
      </c>
      <c r="G179" s="68">
        <v>0.01</v>
      </c>
      <c r="H179" s="69">
        <v>0.01</v>
      </c>
      <c r="I179" s="66" t="s">
        <v>32</v>
      </c>
      <c r="J179" s="67">
        <v>45691</v>
      </c>
      <c r="K179" s="37" t="s">
        <v>466</v>
      </c>
      <c r="L179" s="37" t="s">
        <v>467</v>
      </c>
    </row>
    <row r="180" spans="1:12">
      <c r="A180" s="37">
        <v>179</v>
      </c>
      <c r="B180" s="65" t="s">
        <v>230</v>
      </c>
      <c r="C180" s="66" t="s">
        <v>485</v>
      </c>
      <c r="D180" s="67">
        <v>45672</v>
      </c>
      <c r="E180" s="67">
        <v>45688</v>
      </c>
      <c r="F180" s="37" t="s">
        <v>197</v>
      </c>
      <c r="G180" s="68">
        <v>0.01</v>
      </c>
      <c r="H180" s="69">
        <v>0.01</v>
      </c>
      <c r="I180" s="66" t="s">
        <v>34</v>
      </c>
      <c r="J180" s="67">
        <v>45691</v>
      </c>
      <c r="K180" s="37" t="s">
        <v>468</v>
      </c>
      <c r="L180" s="37" t="s">
        <v>472</v>
      </c>
    </row>
    <row r="181" spans="1:12">
      <c r="A181" s="37">
        <v>180</v>
      </c>
      <c r="B181" s="65" t="s">
        <v>230</v>
      </c>
      <c r="C181" s="66">
        <v>11937</v>
      </c>
      <c r="D181" s="67">
        <v>45658</v>
      </c>
      <c r="E181" s="67">
        <v>45687</v>
      </c>
      <c r="F181" s="37" t="s">
        <v>11</v>
      </c>
      <c r="G181" s="68">
        <v>0.01</v>
      </c>
      <c r="H181" s="69">
        <v>1E-3</v>
      </c>
      <c r="I181" s="66" t="s">
        <v>46</v>
      </c>
      <c r="J181" s="67">
        <v>45691</v>
      </c>
      <c r="K181" s="37" t="s">
        <v>470</v>
      </c>
      <c r="L181" s="37" t="s">
        <v>471</v>
      </c>
    </row>
    <row r="182" spans="1:12">
      <c r="A182" s="37">
        <v>181</v>
      </c>
      <c r="B182" s="65" t="s">
        <v>230</v>
      </c>
      <c r="C182" s="66">
        <v>14206</v>
      </c>
      <c r="D182" s="67">
        <v>45677</v>
      </c>
      <c r="E182" s="67">
        <v>45688</v>
      </c>
      <c r="F182" s="37" t="s">
        <v>11</v>
      </c>
      <c r="G182" s="68">
        <v>0.01</v>
      </c>
      <c r="H182" s="69">
        <v>0.01</v>
      </c>
      <c r="I182" s="66" t="s">
        <v>46</v>
      </c>
      <c r="J182" s="67">
        <v>45695</v>
      </c>
      <c r="K182" s="37" t="s">
        <v>503</v>
      </c>
      <c r="L182" s="37" t="s">
        <v>144</v>
      </c>
    </row>
    <row r="183" spans="1:12">
      <c r="A183" s="37">
        <v>182</v>
      </c>
      <c r="B183" s="65" t="s">
        <v>230</v>
      </c>
      <c r="C183" s="66" t="s">
        <v>526</v>
      </c>
      <c r="D183" s="67">
        <v>45658</v>
      </c>
      <c r="E183" s="67">
        <v>45671</v>
      </c>
      <c r="F183" s="37" t="s">
        <v>11</v>
      </c>
      <c r="G183" s="68">
        <v>1000</v>
      </c>
      <c r="H183" s="69">
        <v>3.5000000000000001E-3</v>
      </c>
      <c r="I183" s="66" t="s">
        <v>30</v>
      </c>
      <c r="J183" s="67">
        <v>45695</v>
      </c>
      <c r="K183" s="37" t="s">
        <v>305</v>
      </c>
      <c r="L183" s="37" t="s">
        <v>527</v>
      </c>
    </row>
    <row r="184" spans="1:12">
      <c r="A184" s="37">
        <v>183</v>
      </c>
      <c r="B184" s="65" t="s">
        <v>230</v>
      </c>
      <c r="C184" s="66" t="s">
        <v>526</v>
      </c>
      <c r="D184" s="67">
        <v>45658</v>
      </c>
      <c r="E184" s="67">
        <v>45671</v>
      </c>
      <c r="F184" s="37" t="s">
        <v>11</v>
      </c>
      <c r="G184" s="68">
        <v>1000</v>
      </c>
      <c r="H184" s="69">
        <v>3.5000000000000001E-3</v>
      </c>
      <c r="I184" s="66" t="s">
        <v>30</v>
      </c>
      <c r="J184" s="67">
        <v>45695</v>
      </c>
      <c r="K184" s="37" t="s">
        <v>305</v>
      </c>
      <c r="L184" s="37" t="s">
        <v>528</v>
      </c>
    </row>
    <row r="185" spans="1:12">
      <c r="A185" s="37">
        <v>184</v>
      </c>
      <c r="B185" s="65" t="s">
        <v>230</v>
      </c>
      <c r="C185" s="66" t="s">
        <v>526</v>
      </c>
      <c r="D185" s="67">
        <v>45658</v>
      </c>
      <c r="E185" s="67">
        <v>45671</v>
      </c>
      <c r="F185" s="37" t="s">
        <v>11</v>
      </c>
      <c r="G185" s="68">
        <v>1000</v>
      </c>
      <c r="H185" s="69">
        <v>2E-3</v>
      </c>
      <c r="I185" s="66" t="s">
        <v>30</v>
      </c>
      <c r="J185" s="67">
        <v>45695</v>
      </c>
      <c r="K185" s="37" t="s">
        <v>305</v>
      </c>
      <c r="L185" s="37" t="s">
        <v>529</v>
      </c>
    </row>
    <row r="186" spans="1:12">
      <c r="A186" s="37">
        <v>185</v>
      </c>
      <c r="B186" s="65" t="s">
        <v>230</v>
      </c>
      <c r="C186" s="66" t="s">
        <v>526</v>
      </c>
      <c r="D186" s="67">
        <v>45658</v>
      </c>
      <c r="E186" s="67">
        <v>45671</v>
      </c>
      <c r="F186" s="37" t="s">
        <v>11</v>
      </c>
      <c r="G186" s="68">
        <v>1000</v>
      </c>
      <c r="H186" s="69">
        <v>1.5E-3</v>
      </c>
      <c r="I186" s="66" t="s">
        <v>30</v>
      </c>
      <c r="J186" s="67">
        <v>45695</v>
      </c>
      <c r="K186" s="37" t="s">
        <v>305</v>
      </c>
      <c r="L186" s="37" t="s">
        <v>530</v>
      </c>
    </row>
    <row r="187" spans="1:12">
      <c r="A187" s="37">
        <v>186</v>
      </c>
      <c r="B187" s="65" t="s">
        <v>230</v>
      </c>
      <c r="C187" s="66" t="s">
        <v>526</v>
      </c>
      <c r="D187" s="67">
        <v>45658</v>
      </c>
      <c r="E187" s="67">
        <v>45671</v>
      </c>
      <c r="F187" s="37" t="s">
        <v>11</v>
      </c>
      <c r="G187" s="68">
        <v>1000</v>
      </c>
      <c r="H187" s="69">
        <v>1E-3</v>
      </c>
      <c r="I187" s="66" t="s">
        <v>30</v>
      </c>
      <c r="J187" s="67">
        <v>45695</v>
      </c>
      <c r="K187" s="37" t="s">
        <v>305</v>
      </c>
      <c r="L187" s="37" t="s">
        <v>531</v>
      </c>
    </row>
    <row r="188" spans="1:12">
      <c r="A188" s="37">
        <v>187</v>
      </c>
      <c r="B188" s="65" t="s">
        <v>522</v>
      </c>
      <c r="C188" s="66">
        <v>8816</v>
      </c>
      <c r="D188" s="67">
        <v>45659</v>
      </c>
      <c r="E188" s="67">
        <v>45688</v>
      </c>
      <c r="F188" s="37" t="s">
        <v>11</v>
      </c>
      <c r="G188" s="68">
        <v>1000000</v>
      </c>
      <c r="H188" s="69">
        <v>1E-3</v>
      </c>
      <c r="I188" s="66" t="s">
        <v>95</v>
      </c>
      <c r="J188" s="67">
        <v>45695</v>
      </c>
      <c r="K188" s="37" t="s">
        <v>521</v>
      </c>
      <c r="L188" s="37" t="s">
        <v>523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24</TotalTime>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METAS 2025</vt:lpstr>
      <vt:lpstr>FILTRO</vt:lpstr>
      <vt:lpstr>CHAMADOS</vt:lpstr>
      <vt:lpstr>AGO - 25</vt:lpstr>
      <vt:lpstr>JUL - 25</vt:lpstr>
      <vt:lpstr>JUN - 25</vt:lpstr>
      <vt:lpstr>MAI - 25</vt:lpstr>
      <vt:lpstr>ABR - 25</vt:lpstr>
      <vt:lpstr>MAR - 25</vt:lpstr>
      <vt:lpstr>FEV - 25</vt:lpstr>
      <vt:lpstr>JAN - 25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suporte06</dc:creator>
  <dc:description/>
  <cp:lastModifiedBy>Mateus Gomes de Paula</cp:lastModifiedBy>
  <cp:revision>5</cp:revision>
  <dcterms:created xsi:type="dcterms:W3CDTF">2021-01-14T16:58:04Z</dcterms:created>
  <dcterms:modified xsi:type="dcterms:W3CDTF">2025-09-26T20:17:36Z</dcterms:modified>
  <dc:language>pt-BR</dc:language>
</cp:coreProperties>
</file>